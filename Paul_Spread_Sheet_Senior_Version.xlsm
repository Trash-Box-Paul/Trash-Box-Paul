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9060"/>
  </bookViews>
  <sheets>
    <sheet name="task" sheetId="1" r:id="rId1"/>
    <sheet name="partner" sheetId="4" r:id="rId2"/>
    <sheet name="clean_list" sheetId="5" r:id="rId3"/>
    <sheet name="notes" sheetId="3" r:id="rId4"/>
    <sheet name="Sheet2"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7" i="1" l="1"/>
  <c r="E6" i="1" l="1"/>
  <c r="E7" i="1"/>
  <c r="E9" i="1"/>
  <c r="E10" i="1"/>
  <c r="E8" i="1"/>
  <c r="E18" i="1"/>
  <c r="E11" i="1"/>
  <c r="E13" i="1"/>
  <c r="E12" i="1"/>
  <c r="E16" i="1"/>
  <c r="E17" i="1"/>
  <c r="E20" i="1"/>
  <c r="E5" i="1"/>
  <c r="E14" i="1"/>
  <c r="E4" i="1"/>
  <c r="E15" i="1"/>
  <c r="E2" i="1"/>
  <c r="E19" i="1"/>
  <c r="E3" i="1"/>
  <c r="E21" i="1"/>
  <c r="B9" i="1" l="1"/>
  <c r="B8" i="1"/>
  <c r="B18" i="1"/>
  <c r="B5" i="1"/>
  <c r="B2" i="1"/>
  <c r="B19" i="1"/>
  <c r="B10" i="1"/>
  <c r="B17" i="1"/>
  <c r="B20" i="1"/>
  <c r="B4" i="1"/>
  <c r="B3" i="1"/>
  <c r="A3" i="4" s="1"/>
  <c r="B21" i="1"/>
  <c r="B6" i="1"/>
  <c r="B11" i="1"/>
  <c r="B13" i="1"/>
  <c r="B12" i="1"/>
  <c r="B7" i="1"/>
  <c r="B16" i="1"/>
  <c r="B14" i="1"/>
  <c r="B15" i="1"/>
  <c r="A6" i="4" s="1"/>
  <c r="B22" i="1"/>
  <c r="A26" i="4" s="1"/>
  <c r="B23" i="1"/>
  <c r="A27" i="4" s="1"/>
  <c r="B24" i="1"/>
  <c r="A28" i="4" s="1"/>
  <c r="B25" i="1"/>
  <c r="A29" i="4" s="1"/>
  <c r="B26" i="1"/>
  <c r="A30" i="4" s="1"/>
  <c r="B27" i="1"/>
  <c r="A31" i="4" s="1"/>
  <c r="B28" i="1"/>
  <c r="A32" i="4" s="1"/>
  <c r="B29" i="1"/>
  <c r="A33" i="4" s="1"/>
  <c r="B30" i="1"/>
  <c r="A34" i="4" s="1"/>
  <c r="B31" i="1"/>
  <c r="A35" i="4" s="1"/>
  <c r="B32" i="1"/>
  <c r="A36" i="4" s="1"/>
  <c r="B33" i="1"/>
  <c r="A37" i="4" s="1"/>
  <c r="B34" i="1"/>
  <c r="A38" i="4" s="1"/>
  <c r="B35" i="1"/>
  <c r="A39" i="4" s="1"/>
  <c r="B36" i="1"/>
  <c r="A40" i="4" s="1"/>
  <c r="B37" i="1"/>
  <c r="A41" i="4" s="1"/>
  <c r="B38" i="1"/>
  <c r="A42" i="4" s="1"/>
  <c r="B39" i="1"/>
  <c r="A43" i="4" s="1"/>
  <c r="B40" i="1"/>
  <c r="A44" i="4" s="1"/>
  <c r="B41" i="1"/>
  <c r="A45" i="4" s="1"/>
  <c r="B42" i="1"/>
  <c r="A46" i="4" s="1"/>
  <c r="B43" i="1"/>
  <c r="A47" i="4" s="1"/>
  <c r="B44" i="1"/>
  <c r="A48" i="4" s="1"/>
  <c r="B45" i="1"/>
  <c r="A49" i="4" s="1"/>
  <c r="B46" i="1"/>
  <c r="A50" i="4" s="1"/>
  <c r="B47" i="1"/>
  <c r="A51" i="4" s="1"/>
  <c r="B48" i="1"/>
  <c r="A52" i="4" s="1"/>
  <c r="B49" i="1"/>
  <c r="A53" i="4" s="1"/>
  <c r="B50" i="1"/>
  <c r="A54" i="4" s="1"/>
  <c r="B51" i="1"/>
  <c r="A55" i="4" s="1"/>
  <c r="B52" i="1"/>
  <c r="A56" i="4" s="1"/>
  <c r="B53" i="1"/>
  <c r="A57" i="4" s="1"/>
  <c r="B54" i="1"/>
  <c r="A58" i="4" s="1"/>
  <c r="B55" i="1"/>
  <c r="A59" i="4" s="1"/>
  <c r="B56" i="1"/>
  <c r="A60" i="4" s="1"/>
  <c r="B57" i="1"/>
  <c r="A61" i="4" s="1"/>
  <c r="B58" i="1"/>
  <c r="A62" i="4" s="1"/>
  <c r="B59" i="1"/>
  <c r="A63" i="4" s="1"/>
  <c r="B60" i="1"/>
  <c r="A64" i="4" s="1"/>
  <c r="B61" i="1"/>
  <c r="A65" i="4" s="1"/>
  <c r="B62" i="1"/>
  <c r="A66" i="4" s="1"/>
  <c r="B63" i="1"/>
  <c r="A67" i="4" s="1"/>
  <c r="B64" i="1"/>
  <c r="A68" i="4" s="1"/>
  <c r="B65" i="1"/>
  <c r="A69" i="4" s="1"/>
  <c r="B66" i="1"/>
  <c r="A70" i="4" s="1"/>
  <c r="B67" i="1"/>
  <c r="A71" i="4" s="1"/>
  <c r="B68" i="1"/>
  <c r="A72" i="4" s="1"/>
  <c r="B69" i="1"/>
  <c r="A73" i="4" s="1"/>
  <c r="B70" i="1"/>
  <c r="A74" i="4" s="1"/>
  <c r="B71" i="1"/>
  <c r="A75" i="4" s="1"/>
  <c r="B72" i="1"/>
  <c r="A76" i="4" s="1"/>
  <c r="B73" i="1"/>
  <c r="A77" i="4" s="1"/>
  <c r="B74" i="1"/>
  <c r="A78" i="4" s="1"/>
  <c r="B75" i="1"/>
  <c r="A79" i="4" s="1"/>
  <c r="B76" i="1"/>
  <c r="A80" i="4" s="1"/>
  <c r="B77" i="1"/>
  <c r="A81" i="4" s="1"/>
  <c r="B78" i="1"/>
  <c r="A82" i="4" s="1"/>
  <c r="B79" i="1"/>
  <c r="A83" i="4" s="1"/>
  <c r="B80" i="1"/>
  <c r="A84" i="4" s="1"/>
  <c r="B81" i="1"/>
  <c r="A85" i="4" s="1"/>
  <c r="B82" i="1"/>
  <c r="A86" i="4" s="1"/>
  <c r="B83" i="1"/>
  <c r="A87" i="4" s="1"/>
  <c r="B84" i="1"/>
  <c r="A88" i="4" s="1"/>
  <c r="B85" i="1"/>
  <c r="A89" i="4" s="1"/>
  <c r="B86" i="1"/>
  <c r="A90" i="4" s="1"/>
  <c r="B87" i="1"/>
  <c r="A91" i="4" s="1"/>
  <c r="B88" i="1"/>
  <c r="A92" i="4" s="1"/>
  <c r="B89" i="1"/>
  <c r="A93" i="4" s="1"/>
  <c r="B90" i="1"/>
  <c r="A94" i="4" s="1"/>
  <c r="B91" i="1"/>
  <c r="A95" i="4" s="1"/>
  <c r="B92" i="1"/>
  <c r="A96" i="4" s="1"/>
  <c r="B93" i="1"/>
  <c r="A97" i="4" s="1"/>
  <c r="B94" i="1"/>
  <c r="A98" i="4" s="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C9" i="1"/>
  <c r="C8" i="1"/>
  <c r="C18" i="1"/>
  <c r="C5" i="1"/>
  <c r="C2" i="1"/>
  <c r="C19" i="1"/>
  <c r="C10" i="1"/>
  <c r="C20" i="1"/>
  <c r="C4" i="1"/>
  <c r="C3" i="1"/>
  <c r="C21" i="1"/>
  <c r="C6" i="1"/>
  <c r="C11" i="1"/>
  <c r="C13" i="1"/>
  <c r="C12" i="1"/>
  <c r="C7" i="1"/>
  <c r="C16" i="1"/>
  <c r="C14" i="1"/>
  <c r="C15"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A9" i="4" l="1"/>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26" i="1"/>
  <c r="G26" i="1" s="1"/>
  <c r="F25" i="1"/>
  <c r="G25" i="1" s="1"/>
  <c r="F24" i="1"/>
  <c r="G24" i="1" s="1"/>
  <c r="F23" i="1"/>
  <c r="G23" i="1" s="1"/>
  <c r="F22" i="1"/>
  <c r="G22" i="1" s="1"/>
  <c r="F15" i="1"/>
  <c r="G15" i="1" s="1"/>
  <c r="F14" i="1"/>
  <c r="G14" i="1" s="1"/>
  <c r="F16" i="1"/>
  <c r="G16" i="1" s="1"/>
  <c r="F7" i="1"/>
  <c r="G7" i="1" s="1"/>
  <c r="F11" i="1"/>
  <c r="G11" i="1" s="1"/>
  <c r="F13" i="1"/>
  <c r="G13" i="1" s="1"/>
  <c r="F12" i="1"/>
  <c r="G12" i="1" s="1"/>
  <c r="F6" i="1"/>
  <c r="G6" i="1" s="1"/>
  <c r="F10" i="1"/>
  <c r="G10" i="1" s="1"/>
  <c r="F19" i="1"/>
  <c r="G19" i="1" s="1"/>
  <c r="F2" i="1"/>
  <c r="G2" i="1" s="1"/>
  <c r="F5" i="1"/>
  <c r="G5" i="1" s="1"/>
  <c r="F18" i="1"/>
  <c r="G18" i="1" s="1"/>
  <c r="F8" i="1"/>
  <c r="G8" i="1" s="1"/>
  <c r="F3" i="1"/>
  <c r="G3" i="1" s="1"/>
  <c r="F4" i="1"/>
  <c r="G4" i="1" s="1"/>
  <c r="F21" i="1"/>
  <c r="G21" i="1" s="1"/>
  <c r="F20" i="1"/>
  <c r="G20" i="1" s="1"/>
  <c r="F17" i="1"/>
  <c r="G17" i="1" s="1"/>
  <c r="F9" i="1"/>
  <c r="G9" i="1" s="1"/>
  <c r="E19" i="2"/>
  <c r="E21" i="2"/>
  <c r="E32" i="2"/>
  <c r="E10" i="2"/>
  <c r="E26" i="2"/>
  <c r="D12" i="2"/>
  <c r="D6" i="2"/>
  <c r="E2" i="2"/>
  <c r="E5" i="2"/>
  <c r="D8" i="2"/>
  <c r="E27" i="2"/>
  <c r="E29" i="2"/>
  <c r="D22" i="2"/>
  <c r="E30" i="2"/>
  <c r="D23" i="2"/>
  <c r="E23" i="2"/>
  <c r="D17" i="2"/>
  <c r="D11" i="2"/>
  <c r="D14" i="2"/>
  <c r="E15" i="2"/>
  <c r="D2" i="2"/>
  <c r="E31" i="2"/>
  <c r="D7" i="2"/>
  <c r="E34" i="2"/>
  <c r="E14" i="2"/>
  <c r="E25" i="2"/>
  <c r="D15" i="2"/>
  <c r="E11" i="2"/>
  <c r="E16" i="2"/>
  <c r="E8" i="2"/>
  <c r="D9" i="2"/>
  <c r="D27" i="2"/>
  <c r="E20" i="2"/>
  <c r="E12" i="2"/>
  <c r="E7" i="2"/>
  <c r="D31" i="2"/>
  <c r="E17" i="2"/>
  <c r="E24" i="2"/>
  <c r="D24" i="2"/>
  <c r="E18" i="2"/>
  <c r="E9" i="2"/>
  <c r="E28" i="2"/>
  <c r="D25" i="2"/>
  <c r="E33" i="2"/>
  <c r="E13" i="2"/>
  <c r="D18" i="2"/>
  <c r="D13" i="2"/>
  <c r="E4" i="2"/>
  <c r="D4" i="2"/>
  <c r="E3" i="2"/>
  <c r="D20" i="2"/>
  <c r="D30" i="2"/>
  <c r="D19" i="2"/>
  <c r="E22" i="2"/>
  <c r="E6" i="2"/>
  <c r="E35" i="2"/>
  <c r="D3" i="2"/>
  <c r="D21" i="2"/>
  <c r="D29" i="2"/>
  <c r="D10" i="2"/>
  <c r="D26" i="2"/>
  <c r="D5" i="2"/>
  <c r="D16" i="2"/>
  <c r="D28" i="2"/>
</calcChain>
</file>

<file path=xl/sharedStrings.xml><?xml version="1.0" encoding="utf-8"?>
<sst xmlns="http://schemas.openxmlformats.org/spreadsheetml/2006/main" count="126" uniqueCount="126">
  <si>
    <t>Testing : Carestream : New Trading Partner Setup</t>
  </si>
  <si>
    <t>Marilyn Eaton</t>
  </si>
  <si>
    <t>marilyn.eaton@carestream.com</t>
  </si>
  <si>
    <t>Testing : GSK Consumer Healthcare : New Trading Partner Setup</t>
  </si>
  <si>
    <t>John Ettore</t>
  </si>
  <si>
    <t>chna.edi@gsk.com</t>
  </si>
  <si>
    <t>Testing : Ipex : New Trading Partner Setup</t>
  </si>
  <si>
    <t>Johanne Lussier</t>
  </si>
  <si>
    <t>Johanne.Lussier@ipexinc.com</t>
  </si>
  <si>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</si>
  <si>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</si>
  <si>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</si>
  <si>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</si>
  <si>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</si>
  <si>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</si>
  <si>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</si>
  <si>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</si>
  <si>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</si>
  <si>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</si>
  <si>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</si>
  <si>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</si>
  <si>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</si>
  <si>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</si>
  <si>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</si>
  <si>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</si>
  <si>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</si>
  <si>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</si>
  <si>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</si>
  <si>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</si>
  <si>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</si>
  <si>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</si>
  <si>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</si>
  <si>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</si>
  <si>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</si>
  <si>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</si>
  <si>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</si>
  <si>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</si>
  <si>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</si>
  <si>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</si>
  <si>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</si>
  <si>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</si>
  <si>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</si>
  <si>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</si>
  <si>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</si>
  <si>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</si>
  <si>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</si>
  <si>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</si>
  <si>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</si>
  <si>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</si>
  <si>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</si>
  <si>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</si>
  <si>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Testing : Petstock AU : New Trading Partner Setup</t>
  </si>
  <si>
    <t>Testing : Valmar Surgical Supplies : New Trading Partner Setup</t>
  </si>
  <si>
    <t>Huvi Boxer</t>
  </si>
  <si>
    <t>huvi@thevalmedgroup.com</t>
  </si>
  <si>
    <t>SOPI: Pick and pack
SOIP: Standard
SOI: Pick and Pack No Pack
SOTPI: Pallet Pick and Pack
SOITP: Pallet Standard</t>
  </si>
  <si>
    <t>Testing : Coupa - Waste Management Partner : New Trading Partner Setup</t>
  </si>
  <si>
    <t>Testing : Dell Australia : New Trading Partner Setup</t>
  </si>
  <si>
    <t>Testing : Medical Action : New Trading Partner Setup</t>
  </si>
  <si>
    <t>Testing : Startrack - 3PL : New Trading Partner Setup</t>
  </si>
  <si>
    <t>Testing : TSC Stores Dropship : New Trading Partner Setup</t>
  </si>
  <si>
    <t>Kumar</t>
  </si>
  <si>
    <t>m.kumar@b-globaltechnology.net</t>
  </si>
  <si>
    <t>EDI Support</t>
  </si>
  <si>
    <t>Yves Belmont</t>
  </si>
  <si>
    <t>yves.belmont@hyh.com</t>
  </si>
  <si>
    <t>it@radiantdelivers.com</t>
  </si>
  <si>
    <t>mmelcher@tscstores.com</t>
  </si>
  <si>
    <t>Myles Melchers</t>
  </si>
  <si>
    <t>directions</t>
  </si>
  <si>
    <t>Specs</t>
  </si>
  <si>
    <t>EDI ID</t>
  </si>
  <si>
    <t>Van/AS2/FTP</t>
  </si>
  <si>
    <t>Column1</t>
  </si>
  <si>
    <t>jpernoud@wm.com</t>
  </si>
  <si>
    <t>rideva@wm.com</t>
  </si>
  <si>
    <t>swilde@petstock.com.au</t>
  </si>
  <si>
    <r>
      <t>Steve Wilde</t>
    </r>
    <r>
      <rPr>
        <sz val="11"/>
        <color theme="1"/>
        <rFont val="Calibri"/>
        <family val="2"/>
        <scheme val="minor"/>
      </rPr>
      <t xml:space="preserve">  </t>
    </r>
  </si>
  <si>
    <t>Testing : Commercial Spring &amp; Tool : New Trading Partner Setup</t>
  </si>
  <si>
    <t>charles_smikle@commercialspring.com</t>
  </si>
  <si>
    <t>https://network.truecommerce.com:5743/invoke/wm.EDIINT/receive</t>
  </si>
  <si>
    <t>Gurbinder Dhatt</t>
  </si>
  <si>
    <t>Gurbinder.Dhatt@nttdata.com</t>
  </si>
  <si>
    <t>Testing : Asda : New Trading Partner Setup</t>
  </si>
  <si>
    <t>Testing : Flex-N-Gate Effingham LLC : New Trading Partner Setup</t>
  </si>
  <si>
    <t>Testing : Dufry : New Trading Partner Setup</t>
  </si>
  <si>
    <t>Testing : Doordash : New Trading Partner Setup</t>
  </si>
  <si>
    <t>Michelle.Hopper@asda.co.uk</t>
  </si>
  <si>
    <t>gssukfinance@mailgb.custhelp.com</t>
  </si>
  <si>
    <t>Paul.WrightFinance@asda.co.uk</t>
  </si>
  <si>
    <t>cphouk@spscommerce.com</t>
  </si>
  <si>
    <t>hsalvatierra@edicomgroup.com</t>
  </si>
  <si>
    <t>JCook@flexngate.com</t>
  </si>
  <si>
    <t>Testing : Babymoov : New Trading Partner Setup</t>
  </si>
  <si>
    <t>Testing : Groupe Robert Inc. : New Trading Partner Setup</t>
  </si>
  <si>
    <t>Testing : Oakwood Group : New Trading Partner Setup</t>
  </si>
  <si>
    <t>Testing : Save On Foods : New Trading Partner Setup</t>
  </si>
  <si>
    <t>Neele-vat PO ACK test</t>
  </si>
  <si>
    <t>sarah@edisupportllc.com</t>
  </si>
  <si>
    <t>Sarah Lowe</t>
  </si>
  <si>
    <t>Support-edi-customer@robert.ca</t>
  </si>
  <si>
    <t>fbowlin@theoakwoodgroup.com</t>
  </si>
  <si>
    <t>mobrekke@spscommerce.com</t>
  </si>
  <si>
    <t>Notes</t>
  </si>
  <si>
    <t>I am still waiting for your EDI information to start setup on my end. Whenever you have a chance, could you help me provide following EDI information?</t>
  </si>
  <si>
    <t>8.16.21 Unassigned case need reach out to customer for the updates 
8.10.21 Unassigned case need reach out to customer for the updates 
8.2.21 Reach out to trading partner</t>
  </si>
  <si>
    <t>8.16.21 Reach out to the new contact:1
8.10.21 Ask Jodi for the rest of EDI information from customer</t>
  </si>
  <si>
    <t>8.16.21 Assign a mapping case:13774262
8.10.21 Reach out to trading partner:2
7.29.21 Reach out to trading partner</t>
  </si>
  <si>
    <t>\\Truecommerce.com\data\Corp\Departments\Professional Services\TPS\TPS Documentation</t>
  </si>
  <si>
    <t>8.19.21 assign a mapping case 13783082
8.11.21 Need directions from trading partners
8.4.21 Reach out to trading partner</t>
  </si>
  <si>
    <t>8.19.21 Reach out to carestream/Descates again
8.11.21 Reaching out to Descartes again for the connection method
8.2.21 Assign a mapping case 13729182 and Confirm again with Descartes
21.5.25 Reached out to Trading partner
21.5.31 Reached out to Trading partner again
6.4.21 Reached out to Trading partner for third time
6.15.21 Reached out to Implement for new contact
6.21.21 Reached out to Implement for updates on new contact</t>
  </si>
  <si>
    <t>8.19.21 Reach out to contact:4
8.11.21 Reach out to Brandon Jones for a new contact
8.5.21 Reach out to trading partner:3</t>
  </si>
  <si>
    <t>8.19.21 Reach out to Brad Sears for detail of Cxml.
8.11.21 Reach out to Brad Sears for a new contact
8.2.21 Reach out to trading partner:3</t>
  </si>
  <si>
    <t>8.19.21 Reach out to trading partner:3
8.11.21 Reach out to trading partner:2
8.2.21 Reach out to trading partner</t>
  </si>
  <si>
    <t>8.20.21 Reach out to IM and new contact 
8.11.21 Reach out to trading partner:2
8.2.21 Reach out to trading partner</t>
  </si>
  <si>
    <t>8.23.21 Assign a mapping case: 13788976 and waiting for EDI ID from TP
8.11.21 Reach out to trading partner:2
8.2.21 Reach out to trading partner</t>
  </si>
  <si>
    <t>8.23.21 Assign a mapping case: 13789003
8.12.21 Reach out to trading partner:2
8.4.21 Reach out to trading partner</t>
  </si>
  <si>
    <t>8.23.21 Reach out to trading partner and internal team again:3
8.12.21 Reach out to trading partner:2
8.4.21 Reach out to trading partner</t>
  </si>
  <si>
    <t>8.23.21 Assign a mapping case: 13789305
8.12.21 Wait trading partner for reply AS2 Inform
8.4.21 Reach out to trading partner</t>
  </si>
  <si>
    <t>8.23.21 Wait for the meeting monday
8.12.21 Waiting for Dan solve their problems
8.5.21 GSK implement after today's meeting
21.5.20 reached out to trading partner
21.5.21 case 13551875 submitted to mapping group
21.5.25 mapping finished. Reached out TP for more inform
21.6.7 Reached out TP for more inform</t>
  </si>
  <si>
    <t>8.23.21 Waiting for new contact from customer
8.13.21 Reach out to Brandon for new contact
8.5.21 Reach out to new contact of trading partner: 2</t>
  </si>
  <si>
    <t>8.23 Reached out to customer for a new contact
8.13.21 Reached out to team for new contact
8.5.21 Reached out to jerie for new contact
6.1.21 Reached out to trading partner
6.8.21 Reached out to trading partner
6.15.21 Reached out to trading partner:3
6.22.21 Reached out to IM for new Contact
7.1.21 Reach out to new Contact</t>
  </si>
  <si>
    <t>8.23.21 Wait for email from customer and Jerie
8.13.21 Wait for trading partner‘s reply
6.4.21 Reached out to trading partner
6.11.21 Reached out to trading partner
6.18.21 Reached out to trading partner</t>
  </si>
  <si>
    <t>8.23.21 Reach out to Kristi for a new contact
8.13.21 Reach out to Kristi for a new contact
8.6.21 Reach out to Kristi for a new contact</t>
  </si>
  <si>
    <t>8.23.21 Reach out to customer for a new contact:1
8.13.21 Reach out to trading partner new contact:3
8.6.21 Reach out to trading partner new contact:2</t>
  </si>
  <si>
    <t>8.23.21 Waiting for trading partner's replies
8.13.21 Waiting for trading partner's replies
8.5.21 Waiting for trading partner's replies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</si>
</sst>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2"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b/>
      <sz val="11"/>
      <color theme="1"/>
      <name val="Calibri"/>
      <family val="2"/>
      <scheme val="minor"/>
    </font>
    <font>
      <sz val="9"/>
      <color rgb="FF666666"/>
      <name val="Tahoma"/>
      <family val="2"/>
    </font>
    <font>
      <sz val="11"/>
      <color rgb="FF7030A0"/>
      <name val="Calibri"/>
      <family val="2"/>
      <scheme val="minor"/>
    </font>
    <font>
      <sz val="11"/>
      <name val="Calibri"/>
      <family val="2"/>
      <scheme val="minor"/>
    </font>
  </fonts>
  <fills count="8">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s>
  <borders count="4">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rgb="FFEBEBEB"/>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52">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3"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0" fillId="0" borderId="0" xfId="0" applyBorder="1" applyAlignment="1">
      <alignment vertical="top" wrapText="1"/>
    </xf>
    <xf numFmtId="0" fontId="11" fillId="0" borderId="0" xfId="0" applyFont="1"/>
    <xf numFmtId="0" fontId="10" fillId="4" borderId="0" xfId="4" applyFont="1"/>
    <xf numFmtId="0" fontId="11" fillId="3" borderId="0" xfId="2" applyFont="1"/>
    <xf numFmtId="0" fontId="11" fillId="0" borderId="0" xfId="0" applyFont="1" applyBorder="1" applyAlignment="1">
      <alignment vertical="top" wrapText="1"/>
    </xf>
    <xf numFmtId="0" fontId="0" fillId="0" borderId="0" xfId="0" applyAlignment="1">
      <alignment vertical="top"/>
    </xf>
    <xf numFmtId="0" fontId="0" fillId="0" borderId="0" xfId="0" applyBorder="1" applyAlignment="1">
      <alignment vertical="top"/>
    </xf>
    <xf numFmtId="0" fontId="0" fillId="0" borderId="3" xfId="0" applyBorder="1" applyAlignment="1">
      <alignment vertical="top"/>
    </xf>
    <xf numFmtId="0" fontId="0" fillId="0" borderId="0" xfId="0" applyAlignment="1">
      <alignment horizontal="center" wrapText="1"/>
    </xf>
    <xf numFmtId="0" fontId="0" fillId="0" borderId="0" xfId="0" applyAlignment="1">
      <alignment horizontal="center"/>
    </xf>
    <xf numFmtId="0" fontId="0" fillId="7" borderId="0" xfId="0" applyFill="1"/>
    <xf numFmtId="0" fontId="5" fillId="7" borderId="0" xfId="4" applyFill="1"/>
    <xf numFmtId="0" fontId="2" fillId="6" borderId="0" xfId="0" applyFont="1" applyFill="1" applyBorder="1" applyAlignment="1">
      <alignment horizontal="left" vertical="center"/>
    </xf>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0" fontId="2" fillId="0" borderId="0" xfId="0" applyFont="1" applyBorder="1" applyAlignment="1"/>
    <xf numFmtId="165" fontId="0" fillId="0" borderId="0" xfId="0" applyNumberFormat="1" applyBorder="1" applyAlignment="1">
      <alignment vertical="top"/>
    </xf>
    <xf numFmtId="14" fontId="0" fillId="0" borderId="0" xfId="0" applyNumberFormat="1" applyAlignment="1"/>
    <xf numFmtId="0" fontId="0" fillId="0" borderId="2" xfId="0" applyBorder="1" applyAlignment="1"/>
    <xf numFmtId="165" fontId="0" fillId="0" borderId="3" xfId="0" applyNumberFormat="1" applyBorder="1" applyAlignment="1">
      <alignment vertical="top"/>
    </xf>
    <xf numFmtId="0" fontId="11" fillId="0" borderId="0" xfId="0" applyFont="1" applyBorder="1" applyAlignment="1">
      <alignment vertical="top"/>
    </xf>
    <xf numFmtId="14" fontId="11" fillId="0" borderId="0" xfId="0" applyNumberFormat="1" applyFont="1" applyAlignment="1">
      <alignment vertical="top"/>
    </xf>
    <xf numFmtId="165" fontId="11" fillId="0" borderId="0" xfId="0" applyNumberFormat="1" applyFont="1" applyBorder="1" applyAlignment="1">
      <alignment vertical="top"/>
    </xf>
    <xf numFmtId="0" fontId="2" fillId="6" borderId="3" xfId="0" applyFont="1" applyFill="1" applyBorder="1" applyAlignment="1">
      <alignment horizontal="left" vertical="center"/>
    </xf>
    <xf numFmtId="0" fontId="8" fillId="0" borderId="0" xfId="0" applyFont="1" applyBorder="1" applyAlignment="1"/>
    <xf numFmtId="0" fontId="2" fillId="7" borderId="0" xfId="0" applyFont="1" applyFill="1" applyBorder="1" applyAlignment="1">
      <alignment horizontal="left" vertical="center"/>
    </xf>
    <xf numFmtId="0" fontId="0" fillId="7" borderId="0" xfId="0" applyFill="1" applyAlignment="1">
      <alignment vertical="top"/>
    </xf>
    <xf numFmtId="14" fontId="0" fillId="7" borderId="0" xfId="0" applyNumberFormat="1" applyFill="1" applyAlignment="1">
      <alignment vertical="top"/>
    </xf>
    <xf numFmtId="0" fontId="0" fillId="7" borderId="0" xfId="0" applyFill="1" applyAlignment="1"/>
    <xf numFmtId="0" fontId="0" fillId="7" borderId="0" xfId="0" applyFill="1" applyBorder="1" applyAlignment="1"/>
    <xf numFmtId="0" fontId="7" fillId="7" borderId="0" xfId="0" applyFont="1" applyFill="1" applyAlignment="1"/>
    <xf numFmtId="0" fontId="2" fillId="0" borderId="3" xfId="0" applyFont="1" applyBorder="1" applyAlignment="1"/>
    <xf numFmtId="0" fontId="9" fillId="0" borderId="0" xfId="0" applyFont="1" applyBorder="1" applyAlignment="1"/>
    <xf numFmtId="0" fontId="7" fillId="6" borderId="0" xfId="0" applyFont="1" applyFill="1" applyBorder="1" applyAlignment="1">
      <alignment vertical="top"/>
    </xf>
    <xf numFmtId="0" fontId="2" fillId="7" borderId="0" xfId="0" applyFont="1" applyFill="1" applyBorder="1" applyAlignment="1"/>
    <xf numFmtId="0" fontId="0" fillId="7" borderId="0" xfId="0" applyFill="1" applyBorder="1" applyAlignment="1">
      <alignment vertical="top"/>
    </xf>
    <xf numFmtId="165" fontId="0" fillId="7" borderId="0" xfId="0" applyNumberFormat="1" applyFill="1" applyBorder="1" applyAlignment="1">
      <alignment vertical="top"/>
    </xf>
    <xf numFmtId="0" fontId="0" fillId="0" borderId="3" xfId="0" applyBorder="1" applyAlignment="1"/>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3">
    <dxf>
      <fill>
        <patternFill>
          <bgColor rgb="FF00B0F0"/>
        </patternFill>
      </fill>
    </dxf>
    <dxf>
      <font>
        <color theme="0"/>
      </font>
      <fill>
        <patternFill>
          <bgColor rgb="FF7030A0"/>
        </patternFill>
      </fill>
    </dxf>
    <dxf>
      <font>
        <color auto="1"/>
      </font>
      <fill>
        <patternFill>
          <bgColor theme="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e2" displayName="Table2" ref="A1:AB217" totalsRowShown="0" headerRowDxfId="32" dataDxfId="3" headerRowCellStyle="Check Cell" dataCellStyle="Normal">
  <autoFilter ref="A1:AB217"/>
  <sortState ref="A2:AB217">
    <sortCondition ref="G1:G217"/>
  </sortState>
  <tableColumns count="28">
    <tableColumn id="1" name="PSA Task Name" dataDxfId="31" dataCellStyle="Normal"/>
    <tableColumn id="2" name="Partner Name" dataDxfId="30" dataCellStyle="Normal">
      <calculatedColumnFormula xml:space="preserve"> MID(A2,SEARCH(":",A2)+2,SEARCH(":",A2,SEARCH(":",A2)+1)-SEARCH(":",A2)-3)</calculatedColumnFormula>
    </tableColumn>
    <tableColumn id="3" name="Partner Name2" dataDxfId="29" dataCellStyle="Normal">
      <calculatedColumnFormula>"part:"&amp;MID(A2,SEARCH(":",A2)+1,SEARCH(":",A2,SEARCH(":",A2)+1)-SEARCH(":",A2)-1)</calculatedColumnFormula>
    </tableColumn>
    <tableColumn id="29" name="Notes" dataDxfId="28"/>
    <tableColumn id="4" name="Latest Note" dataDxfId="27" dataCellStyle="Normal"/>
    <tableColumn id="5" name="4/30/21" dataDxfId="26" dataCellStyle="Normal">
      <calculatedColumnFormula>DATEVALUE(SUBSTITUTE(LEFT(E2,SEARCH(" ",E2)-1),".","/"))</calculatedColumnFormula>
    </tableColumn>
    <tableColumn id="6" name="Date" dataDxfId="25" dataCellStyle="Normal"/>
    <tableColumn id="7" name="Contact" dataDxfId="24" dataCellStyle="Normal"/>
    <tableColumn id="8" name="Email" dataDxfId="23" dataCellStyle="Normal"/>
    <tableColumn id="9" name="Column1" dataDxfId="22" dataCellStyle="Normal"/>
    <tableColumn id="10" name="directions" dataDxfId="21" dataCellStyle="Normal"/>
    <tableColumn id="11" name="Specs" dataDxfId="20" dataCellStyle="Normal"/>
    <tableColumn id="12" name="EDI ID" dataDxfId="19" dataCellStyle="Normal"/>
    <tableColumn id="13" name="Van/AS2/FTP" dataDxfId="18" dataCellStyle="Normal"/>
    <tableColumn id="14" name="Column10" dataDxfId="17" dataCellStyle="Normal"/>
    <tableColumn id="15" name="Column11" dataDxfId="16" dataCellStyle="Normal"/>
    <tableColumn id="16" name="Column12" dataDxfId="15" dataCellStyle="Normal"/>
    <tableColumn id="17" name="Column13" dataDxfId="14" dataCellStyle="Normal"/>
    <tableColumn id="18" name="Column14" dataDxfId="13" dataCellStyle="Normal"/>
    <tableColumn id="19" name="Column15" dataDxfId="12" dataCellStyle="Normal"/>
    <tableColumn id="20" name="Column16" dataDxfId="11" dataCellStyle="Normal"/>
    <tableColumn id="21" name="Column17" dataDxfId="10" dataCellStyle="Normal"/>
    <tableColumn id="22" name="Column18" dataDxfId="9" dataCellStyle="Normal"/>
    <tableColumn id="23" name="Column19" dataDxfId="8" dataCellStyle="Normal"/>
    <tableColumn id="24" name="Column20" dataDxfId="7" dataCellStyle="Normal"/>
    <tableColumn id="25" name="Column21" dataDxfId="6" dataCellStyle="Normal"/>
    <tableColumn id="26" name="Column22" dataDxfId="5" dataCellStyle="Normal"/>
    <tableColumn id="27" name="Column23" dataDxfId="4"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217"/>
  <sheetViews>
    <sheetView tabSelected="1" zoomScaleNormal="100" workbookViewId="0">
      <selection activeCell="D3" sqref="D3"/>
    </sheetView>
  </sheetViews>
  <sheetFormatPr defaultRowHeight="15" x14ac:dyDescent="0.25"/>
  <cols>
    <col min="1" max="1" width="55.140625" customWidth="1"/>
    <col min="2" max="2" width="23.7109375" customWidth="1"/>
    <col min="3" max="3" width="25" customWidth="1"/>
    <col min="4" max="4" width="54.42578125" style="3" customWidth="1"/>
    <col min="5" max="5" width="51.28515625" customWidth="1"/>
    <col min="6" max="6" width="7.85546875"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23</v>
      </c>
      <c r="B1" s="1" t="s">
        <v>24</v>
      </c>
      <c r="C1" s="1" t="s">
        <v>25</v>
      </c>
      <c r="D1" s="18" t="s">
        <v>103</v>
      </c>
      <c r="E1" s="1" t="s">
        <v>26</v>
      </c>
      <c r="F1" s="1" t="s">
        <v>27</v>
      </c>
      <c r="G1" s="6" t="s">
        <v>28</v>
      </c>
      <c r="H1" s="1" t="s">
        <v>29</v>
      </c>
      <c r="I1" s="1" t="s">
        <v>30</v>
      </c>
      <c r="J1" s="10" t="s">
        <v>73</v>
      </c>
      <c r="K1" s="1" t="s">
        <v>69</v>
      </c>
      <c r="L1" s="1" t="s">
        <v>70</v>
      </c>
      <c r="M1" s="1" t="s">
        <v>71</v>
      </c>
      <c r="N1" s="1" t="s">
        <v>72</v>
      </c>
      <c r="O1" s="1" t="s">
        <v>12</v>
      </c>
      <c r="P1" s="8" t="s">
        <v>13</v>
      </c>
      <c r="Q1" s="8" t="s">
        <v>14</v>
      </c>
      <c r="R1" s="8" t="s">
        <v>15</v>
      </c>
      <c r="S1" s="9" t="s">
        <v>16</v>
      </c>
      <c r="T1" s="9" t="s">
        <v>17</v>
      </c>
      <c r="U1" s="9" t="s">
        <v>18</v>
      </c>
      <c r="V1" s="9" t="s">
        <v>19</v>
      </c>
      <c r="W1" s="9" t="s">
        <v>20</v>
      </c>
      <c r="X1" s="9" t="s">
        <v>21</v>
      </c>
      <c r="Y1" s="9" t="s">
        <v>22</v>
      </c>
      <c r="Z1" s="9" t="s">
        <v>31</v>
      </c>
      <c r="AA1" s="9" t="s">
        <v>32</v>
      </c>
      <c r="AB1" s="9" t="s">
        <v>33</v>
      </c>
    </row>
    <row r="2" spans="1:28" ht="45.75" thickTop="1" x14ac:dyDescent="0.25">
      <c r="A2" s="25" t="s">
        <v>59</v>
      </c>
      <c r="B2" s="18" t="str">
        <f xml:space="preserve"> MID(A2,SEARCH(":",A2)+2,SEARCH(":",A2,SEARCH(":",A2)+1)-SEARCH(":",A2)-3)</f>
        <v>Startrack - 3PL</v>
      </c>
      <c r="C2" s="18" t="str">
        <f>"part:"&amp;MID(A2,SEARCH(":",A2)+1,SEARCH(":",A2,SEARCH(":",A2)+1)-SEARCH(":",A2)-1)</f>
        <v xml:space="preserve">part: Startrack - 3PL </v>
      </c>
      <c r="D2" s="1" t="s">
        <v>124</v>
      </c>
      <c r="E2" s="18" t="str">
        <f>IF(Table2[[#This Row],[Notes]]="","",LEFT(Table2[[#This Row],[Notes]],FIND(CHAR(10),Table2[[#This Row],[Notes]]&amp;CHAR(10))-1))</f>
        <v>8.23.21 Reach out to customer for a new contact:1</v>
      </c>
      <c r="F2" s="18">
        <f>DATEVALUE(SUBSTITUTE(LEFT(E2,SEARCH(" ",E2)-1),".","/"))</f>
        <v>44431</v>
      </c>
      <c r="G2" s="26">
        <f ca="1">IF(ISERROR(F2),TODAY(),F2)</f>
        <v>44431</v>
      </c>
      <c r="H2" s="3" t="s">
        <v>63</v>
      </c>
      <c r="I2" s="3" t="s">
        <v>66</v>
      </c>
      <c r="J2" s="28"/>
      <c r="K2" s="18"/>
      <c r="L2" s="18"/>
      <c r="M2" s="18"/>
      <c r="N2" s="18"/>
      <c r="O2" s="18"/>
      <c r="P2" s="18"/>
      <c r="Q2" s="18"/>
      <c r="R2" s="18"/>
      <c r="S2" s="18"/>
      <c r="T2" s="18"/>
      <c r="U2" s="18"/>
      <c r="V2" s="18"/>
      <c r="W2" s="18"/>
      <c r="X2" s="18"/>
      <c r="Y2" s="18"/>
      <c r="Z2" s="18"/>
      <c r="AA2" s="18"/>
      <c r="AB2" s="18"/>
    </row>
    <row r="3" spans="1:28" ht="45" x14ac:dyDescent="0.25">
      <c r="A3" s="34" t="s">
        <v>52</v>
      </c>
      <c r="B3" s="34" t="str">
        <f xml:space="preserve"> MID(A3,SEARCH(":",A3)+2,SEARCH(":",A3,SEARCH(":",A3)+1)-SEARCH(":",A3)-3)</f>
        <v>Valmar Surgical Supplies</v>
      </c>
      <c r="C3" s="34" t="str">
        <f>"part:"&amp;MID(A3,SEARCH(":",A3)+1,SEARCH(":",A3,SEARCH(":",A3)+1)-SEARCH(":",A3)-1)</f>
        <v xml:space="preserve">part: Valmar Surgical Supplies </v>
      </c>
      <c r="D3" s="17" t="s">
        <v>125</v>
      </c>
      <c r="E3" s="18" t="str">
        <f>IF(Table2[[#This Row],[Notes]]="","",LEFT(Table2[[#This Row],[Notes]],FIND(CHAR(10),Table2[[#This Row],[Notes]]&amp;CHAR(10))-1))</f>
        <v>8.23.21 Waiting for trading partner's replies</v>
      </c>
      <c r="F3" s="34">
        <f>DATEVALUE(SUBSTITUTE(LEFT(E3,SEARCH(" ",E3)-1),".","/"))</f>
        <v>44431</v>
      </c>
      <c r="G3" s="35">
        <f ca="1">IF(ISERROR(F3),TODAY(),F3)</f>
        <v>44431</v>
      </c>
      <c r="H3" s="34" t="s">
        <v>53</v>
      </c>
      <c r="I3" s="34" t="s">
        <v>54</v>
      </c>
      <c r="J3" s="36"/>
      <c r="K3" s="34"/>
      <c r="L3" s="34"/>
      <c r="M3" s="34"/>
      <c r="N3" s="34"/>
      <c r="O3" s="34"/>
      <c r="P3" s="34"/>
      <c r="Q3" s="34"/>
      <c r="R3" s="34"/>
      <c r="S3" s="34"/>
      <c r="T3" s="34"/>
      <c r="U3" s="34"/>
      <c r="V3" s="34"/>
      <c r="W3" s="34"/>
      <c r="X3" s="34"/>
      <c r="Y3" s="34"/>
      <c r="Z3" s="34"/>
      <c r="AA3" s="34"/>
      <c r="AB3" s="34"/>
    </row>
    <row r="4" spans="1:28" ht="45" x14ac:dyDescent="0.25">
      <c r="A4" s="19" t="s">
        <v>51</v>
      </c>
      <c r="B4" s="18" t="str">
        <f xml:space="preserve"> MID(A4,SEARCH(":",A4)+2,SEARCH(":",A4,SEARCH(":",A4)+1)-SEARCH(":",A4)-3)</f>
        <v>Petstock AU</v>
      </c>
      <c r="C4" s="18" t="str">
        <f>"part:"&amp;MID(A4,SEARCH(":",A4)+1,SEARCH(":",A4,SEARCH(":",A4)+1)-SEARCH(":",A4)-1)</f>
        <v xml:space="preserve">part: Petstock AU </v>
      </c>
      <c r="D4" s="1" t="s">
        <v>107</v>
      </c>
      <c r="E4" s="18" t="str">
        <f>IF(Table2[[#This Row],[Notes]]="","",LEFT(Table2[[#This Row],[Notes]],FIND(CHAR(10),Table2[[#This Row],[Notes]]&amp;CHAR(10))-1))</f>
        <v>8.16.21 Assign a mapping case:13774262</v>
      </c>
      <c r="F4" s="18">
        <f>DATEVALUE(SUBSTITUTE(LEFT(E4,SEARCH(" ",E4)-1),".","/"))</f>
        <v>44424</v>
      </c>
      <c r="G4" s="26">
        <f ca="1">IF(ISERROR(F4),TODAY(),F4)</f>
        <v>44424</v>
      </c>
      <c r="H4" s="38" t="s">
        <v>77</v>
      </c>
      <c r="I4" s="27" t="s">
        <v>76</v>
      </c>
      <c r="J4" s="28"/>
      <c r="K4" s="18"/>
      <c r="L4" s="18"/>
      <c r="M4" s="18"/>
      <c r="N4" s="18"/>
      <c r="O4" s="18"/>
      <c r="P4" s="18"/>
      <c r="Q4" s="18"/>
      <c r="R4" s="18"/>
      <c r="S4" s="18"/>
      <c r="T4" s="18"/>
      <c r="U4" s="18"/>
      <c r="V4" s="18"/>
      <c r="W4" s="18"/>
      <c r="X4" s="18"/>
      <c r="Y4" s="18"/>
      <c r="Z4" s="18"/>
      <c r="AA4" s="18"/>
      <c r="AB4" s="18"/>
    </row>
    <row r="5" spans="1:28" s="1" customFormat="1" ht="15.75" thickBot="1" x14ac:dyDescent="0.3">
      <c r="A5" s="39" t="s">
        <v>58</v>
      </c>
      <c r="B5" s="40" t="str">
        <f xml:space="preserve"> MID(A5,SEARCH(":",A5)+2,SEARCH(":",A5,SEARCH(":",A5)+1)-SEARCH(":",A5)-3)</f>
        <v>Medical Action</v>
      </c>
      <c r="C5" s="40" t="str">
        <f>"part:"&amp;MID(A5,SEARCH(":",A5)+1,SEARCH(":",A5,SEARCH(":",A5)+1)-SEARCH(":",A5)-1)</f>
        <v xml:space="preserve">part: Medical Action </v>
      </c>
      <c r="D5" s="40" t="s">
        <v>106</v>
      </c>
      <c r="E5" s="40" t="str">
        <f>IF(Table2[[#This Row],[Notes]]="","",LEFT(Table2[[#This Row],[Notes]],FIND(CHAR(10),Table2[[#This Row],[Notes]]&amp;CHAR(10))-1))</f>
        <v>8.16.21 Reach out to the new contact:1</v>
      </c>
      <c r="F5" s="40">
        <f>DATEVALUE(SUBSTITUTE(LEFT(E5,SEARCH(" ",E5)-1),".","/"))</f>
        <v>44424</v>
      </c>
      <c r="G5" s="41">
        <f ca="1">IF(ISERROR(F5),TODAY(),F5)</f>
        <v>44424</v>
      </c>
      <c r="H5" s="42" t="s">
        <v>64</v>
      </c>
      <c r="I5" s="43" t="s">
        <v>65</v>
      </c>
      <c r="J5" s="44" t="s">
        <v>81</v>
      </c>
      <c r="K5" s="44" t="s">
        <v>82</v>
      </c>
      <c r="L5" s="40"/>
      <c r="M5" s="40"/>
      <c r="N5" s="40"/>
      <c r="O5" s="40"/>
      <c r="P5" s="40"/>
      <c r="Q5" s="40"/>
      <c r="R5" s="40"/>
      <c r="S5" s="40"/>
      <c r="T5" s="40"/>
      <c r="U5" s="40"/>
      <c r="V5" s="40"/>
      <c r="W5" s="40"/>
      <c r="X5" s="40"/>
      <c r="Y5" s="40"/>
      <c r="Z5" s="40"/>
      <c r="AA5" s="40"/>
      <c r="AB5" s="40"/>
    </row>
    <row r="6" spans="1:28" s="14" customFormat="1" ht="15.75" thickBot="1" x14ac:dyDescent="0.3">
      <c r="A6" s="45" t="s">
        <v>83</v>
      </c>
      <c r="B6" s="18" t="str">
        <f xml:space="preserve"> MID(A6,SEARCH(":",A6)+2,SEARCH(":",A6,SEARCH(":",A6)+1)-SEARCH(":",A6)-3)</f>
        <v>Asda</v>
      </c>
      <c r="C6" s="18" t="str">
        <f>"part:"&amp;MID(A6,SEARCH(":",A6)+1,SEARCH(":",A6,SEARCH(":",A6)+1)-SEARCH(":",A6)-1)</f>
        <v xml:space="preserve">part: Asda </v>
      </c>
      <c r="D6" s="18" t="s">
        <v>105</v>
      </c>
      <c r="E6" s="18" t="str">
        <f>IF(Table2[[#This Row],[Notes]]="","",LEFT(Table2[[#This Row],[Notes]],FIND(CHAR(10),Table2[[#This Row],[Notes]]&amp;CHAR(10))-1))</f>
        <v xml:space="preserve">8.16.21 Unassigned case need reach out to customer for the updates </v>
      </c>
      <c r="F6" s="18">
        <f>DATEVALUE(SUBSTITUTE(LEFT(E6,SEARCH(" ",E6)-1),".","/"))</f>
        <v>44424</v>
      </c>
      <c r="G6" s="26">
        <f ca="1">IF(ISERROR(F6),TODAY(),F6)</f>
        <v>44424</v>
      </c>
      <c r="H6" s="32" t="s">
        <v>87</v>
      </c>
      <c r="I6" s="3" t="s">
        <v>88</v>
      </c>
      <c r="J6" s="3" t="s">
        <v>89</v>
      </c>
      <c r="K6" s="18"/>
      <c r="L6" s="18"/>
      <c r="M6" s="18"/>
      <c r="N6" s="18"/>
      <c r="O6" s="18"/>
      <c r="P6" s="18"/>
      <c r="Q6" s="18"/>
      <c r="R6" s="18"/>
      <c r="S6" s="18"/>
      <c r="T6" s="18"/>
      <c r="U6" s="18"/>
      <c r="V6" s="18"/>
      <c r="W6" s="18"/>
      <c r="X6" s="18"/>
      <c r="Y6" s="18"/>
      <c r="Z6" s="18"/>
      <c r="AA6" s="18"/>
      <c r="AB6" s="18"/>
    </row>
    <row r="7" spans="1:28" s="15" customFormat="1" ht="15.75" thickBot="1" x14ac:dyDescent="0.3">
      <c r="A7" s="29" t="s">
        <v>93</v>
      </c>
      <c r="B7" s="19" t="str">
        <f xml:space="preserve"> MID(A7,SEARCH(":",A7)+2,SEARCH(":",A7,SEARCH(":",A7)+1)-SEARCH(":",A7)-3)</f>
        <v>Babymoov</v>
      </c>
      <c r="C7" s="19" t="str">
        <f>"part:"&amp;MID(A7,SEARCH(":",A7)+1,SEARCH(":",A7,SEARCH(":",A7)+1)-SEARCH(":",A7)-1)</f>
        <v xml:space="preserve">part: Babymoov </v>
      </c>
      <c r="D7" s="19" t="s">
        <v>109</v>
      </c>
      <c r="E7" s="18" t="str">
        <f>IF(Table2[[#This Row],[Notes]]="","",LEFT(Table2[[#This Row],[Notes]],FIND(CHAR(10),Table2[[#This Row],[Notes]]&amp;CHAR(10))-1))</f>
        <v>8.19.21 assign a mapping case 13783082</v>
      </c>
      <c r="F7" s="19">
        <f>DATEVALUE(SUBSTITUTE(LEFT(E7,SEARCH(" ",E7)-1),".","/"))</f>
        <v>44427</v>
      </c>
      <c r="G7" s="26">
        <f ca="1">IF(ISERROR(F7),TODAY(),F7)</f>
        <v>44427</v>
      </c>
      <c r="H7" s="27" t="s">
        <v>99</v>
      </c>
      <c r="I7" s="32" t="s">
        <v>98</v>
      </c>
      <c r="J7" s="30"/>
      <c r="K7" s="19"/>
      <c r="L7" s="19"/>
      <c r="M7" s="19"/>
      <c r="N7" s="19"/>
      <c r="O7" s="19"/>
      <c r="P7" s="19"/>
      <c r="Q7" s="19"/>
      <c r="R7" s="19"/>
      <c r="S7" s="19"/>
      <c r="T7" s="19"/>
      <c r="U7" s="19"/>
      <c r="V7" s="19"/>
      <c r="W7" s="19"/>
      <c r="X7" s="19"/>
      <c r="Y7" s="19"/>
      <c r="Z7" s="19"/>
      <c r="AA7" s="19"/>
      <c r="AB7" s="19"/>
    </row>
    <row r="8" spans="1:28" s="5" customFormat="1" x14ac:dyDescent="0.25">
      <c r="A8" s="19" t="s">
        <v>56</v>
      </c>
      <c r="B8" s="18" t="str">
        <f xml:space="preserve"> MID(A8,SEARCH(":",A8)+2,SEARCH(":",A8,SEARCH(":",A8)+1)-SEARCH(":",A8)-3)</f>
        <v>Coupa - Waste Management Partner</v>
      </c>
      <c r="C8" s="18" t="str">
        <f>"part:"&amp;MID(A8,SEARCH(":",A8)+1,SEARCH(":",A8,SEARCH(":",A8)+1)-SEARCH(":",A8)-1)</f>
        <v xml:space="preserve">part: Coupa - Waste Management Partner </v>
      </c>
      <c r="D8" s="18" t="s">
        <v>112</v>
      </c>
      <c r="E8" s="18" t="str">
        <f>IF(Table2[[#This Row],[Notes]]="","",LEFT(Table2[[#This Row],[Notes]],FIND(CHAR(10),Table2[[#This Row],[Notes]]&amp;CHAR(10))-1))</f>
        <v>8.19.21 Reach out to Brad Sears for detail of Cxml.</v>
      </c>
      <c r="F8" s="18">
        <f>DATEVALUE(SUBSTITUTE(LEFT(E8,SEARCH(" ",E8)-1),".","/"))</f>
        <v>44427</v>
      </c>
      <c r="G8" s="26">
        <f ca="1">IF(ISERROR(F8),TODAY(),F8)</f>
        <v>44427</v>
      </c>
      <c r="H8" s="27" t="s">
        <v>75</v>
      </c>
      <c r="I8" s="3" t="s">
        <v>74</v>
      </c>
      <c r="J8" s="18"/>
      <c r="K8" s="18"/>
      <c r="L8" s="18"/>
      <c r="M8" s="18"/>
      <c r="N8" s="18"/>
      <c r="O8" s="18"/>
      <c r="P8" s="18"/>
      <c r="Q8" s="18"/>
      <c r="R8" s="18"/>
      <c r="S8" s="18"/>
      <c r="T8" s="18"/>
      <c r="U8" s="18"/>
      <c r="V8" s="18"/>
      <c r="W8" s="18"/>
      <c r="X8" s="18"/>
      <c r="Y8" s="18"/>
      <c r="Z8" s="18"/>
      <c r="AA8" s="18"/>
      <c r="AB8" s="18"/>
    </row>
    <row r="9" spans="1:28" ht="15.75" thickBot="1" x14ac:dyDescent="0.3">
      <c r="A9" s="19" t="s">
        <v>0</v>
      </c>
      <c r="B9" s="19" t="str">
        <f xml:space="preserve"> MID(A9,SEARCH(":",A9)+2,SEARCH(":",A9,SEARCH(":",A9)+1)-SEARCH(":",A9)-3)</f>
        <v>Carestream</v>
      </c>
      <c r="C9" s="19" t="str">
        <f>"part:"&amp;MID(A9,SEARCH(":",A9)+1,SEARCH(":",A9,SEARCH(":",A9)+1)-SEARCH(":",A9)-1)</f>
        <v xml:space="preserve">part: Carestream </v>
      </c>
      <c r="D9" s="19" t="s">
        <v>110</v>
      </c>
      <c r="E9" s="18" t="str">
        <f>IF(Table2[[#This Row],[Notes]]="","",LEFT(Table2[[#This Row],[Notes]],FIND(CHAR(10),Table2[[#This Row],[Notes]]&amp;CHAR(10))-1))</f>
        <v>8.19.21 Reach out to carestream/Descates again</v>
      </c>
      <c r="F9" s="19">
        <f>DATEVALUE(SUBSTITUTE(LEFT(E9,SEARCH(" ",E9)-1),".","/"))</f>
        <v>44427</v>
      </c>
      <c r="G9" s="26">
        <f ca="1">IF(ISERROR(F9),TODAY(),F9)</f>
        <v>44427</v>
      </c>
      <c r="H9" s="19" t="s">
        <v>1</v>
      </c>
      <c r="I9" s="19" t="s">
        <v>2</v>
      </c>
      <c r="J9" s="46"/>
      <c r="K9" s="19"/>
      <c r="L9" s="19"/>
      <c r="M9" s="19"/>
      <c r="N9" s="19"/>
      <c r="O9" s="19"/>
      <c r="P9" s="19"/>
      <c r="Q9" s="19"/>
      <c r="R9" s="19"/>
      <c r="S9" s="19"/>
      <c r="T9" s="19"/>
      <c r="U9" s="19"/>
      <c r="V9" s="19"/>
      <c r="W9" s="19"/>
      <c r="X9" s="19"/>
      <c r="Y9" s="19"/>
      <c r="Z9" s="19"/>
      <c r="AA9" s="19"/>
      <c r="AB9" s="19"/>
    </row>
    <row r="10" spans="1:28" s="23" customFormat="1" ht="15.75" thickBot="1" x14ac:dyDescent="0.3">
      <c r="A10" s="37" t="s">
        <v>78</v>
      </c>
      <c r="B10" s="18" t="str">
        <f xml:space="preserve"> MID(A10,SEARCH(":",A10)+2,SEARCH(":",A10,SEARCH(":",A10)+1)-SEARCH(":",A10)-3)</f>
        <v>Commercial Spring &amp; Tool</v>
      </c>
      <c r="C10" s="18" t="str">
        <f>"part:"&amp;MID(A10,SEARCH(":",A10)+1,SEARCH(":",A10,SEARCH(":",A10)+1)-SEARCH(":",A10)-1)</f>
        <v xml:space="preserve">part: Commercial Spring &amp; Tool </v>
      </c>
      <c r="D10" s="18" t="s">
        <v>111</v>
      </c>
      <c r="E10" s="18" t="str">
        <f>IF(Table2[[#This Row],[Notes]]="","",LEFT(Table2[[#This Row],[Notes]],FIND(CHAR(10),Table2[[#This Row],[Notes]]&amp;CHAR(10))-1))</f>
        <v>8.19.21 Reach out to contact:4</v>
      </c>
      <c r="F10" s="18">
        <f>DATEVALUE(SUBSTITUTE(LEFT(E10,SEARCH(" ",E10)-1),".","/"))</f>
        <v>44427</v>
      </c>
      <c r="G10" s="26">
        <f ca="1">IF(ISERROR(F10),TODAY(),F10)</f>
        <v>44427</v>
      </c>
      <c r="H10" s="47"/>
      <c r="I10" s="27" t="s">
        <v>79</v>
      </c>
      <c r="J10" s="28"/>
      <c r="K10" s="18"/>
      <c r="L10" s="18"/>
      <c r="M10" s="18"/>
      <c r="N10" s="18"/>
      <c r="O10" s="18"/>
      <c r="P10" s="18"/>
      <c r="Q10" s="18"/>
      <c r="R10" s="18"/>
      <c r="S10" s="18"/>
      <c r="T10" s="18"/>
      <c r="U10" s="18"/>
      <c r="V10" s="18"/>
      <c r="W10" s="18"/>
      <c r="X10" s="18"/>
      <c r="Y10" s="18"/>
      <c r="Z10" s="18"/>
      <c r="AA10" s="18"/>
      <c r="AB10" s="18"/>
    </row>
    <row r="11" spans="1:28" x14ac:dyDescent="0.25">
      <c r="A11" s="45" t="s">
        <v>86</v>
      </c>
      <c r="B11" s="20" t="str">
        <f xml:space="preserve"> MID(A11,SEARCH(":",A11)+2,SEARCH(":",A11,SEARCH(":",A11)+1)-SEARCH(":",A11)-3)</f>
        <v>Doordash</v>
      </c>
      <c r="C11" s="20" t="str">
        <f>"part:"&amp;MID(A11,SEARCH(":",A11)+1,SEARCH(":",A11,SEARCH(":",A11)+1)-SEARCH(":",A11)-1)</f>
        <v xml:space="preserve">part: Doordash </v>
      </c>
      <c r="D11" s="20" t="s">
        <v>113</v>
      </c>
      <c r="E11" s="18" t="str">
        <f>IF(Table2[[#This Row],[Notes]]="","",LEFT(Table2[[#This Row],[Notes]],FIND(CHAR(10),Table2[[#This Row],[Notes]]&amp;CHAR(10))-1))</f>
        <v>8.19.21 Reach out to trading partner:3</v>
      </c>
      <c r="F11" s="20">
        <f>DATEVALUE(SUBSTITUTE(LEFT(E11,SEARCH(" ",E11)-1),".","/"))</f>
        <v>44427</v>
      </c>
      <c r="G11" s="26">
        <f ca="1">IF(ISERROR(F11),TODAY(),F11)</f>
        <v>44427</v>
      </c>
      <c r="H11" s="51" t="s">
        <v>90</v>
      </c>
      <c r="I11" s="20"/>
      <c r="J11" s="33"/>
      <c r="K11" s="20"/>
      <c r="L11" s="20"/>
      <c r="M11" s="20"/>
      <c r="N11" s="20"/>
      <c r="O11" s="20"/>
      <c r="P11" s="20"/>
      <c r="Q11" s="20"/>
      <c r="R11" s="20"/>
      <c r="S11" s="20"/>
      <c r="T11" s="20"/>
      <c r="U11" s="20"/>
      <c r="V11" s="20"/>
      <c r="W11" s="20"/>
      <c r="X11" s="20"/>
      <c r="Y11" s="20"/>
      <c r="Z11" s="20"/>
      <c r="AA11" s="20"/>
      <c r="AB11" s="20"/>
    </row>
    <row r="12" spans="1:28" s="1" customFormat="1" ht="15.75" thickBot="1" x14ac:dyDescent="0.3">
      <c r="A12" s="48" t="s">
        <v>84</v>
      </c>
      <c r="B12" s="49" t="str">
        <f xml:space="preserve"> MID(A12,SEARCH(":",A12)+2,SEARCH(":",A12,SEARCH(":",A12)+1)-SEARCH(":",A12)-3)</f>
        <v>Flex-N-Gate Effingham LLC</v>
      </c>
      <c r="C12" s="49" t="str">
        <f>"part:"&amp;MID(A12,SEARCH(":",A12)+1,SEARCH(":",A12,SEARCH(":",A12)+1)-SEARCH(":",A12)-1)</f>
        <v xml:space="preserve">part: Flex-N-Gate Effingham LLC </v>
      </c>
      <c r="D12" s="49" t="s">
        <v>114</v>
      </c>
      <c r="E12" s="40" t="str">
        <f>IF(Table2[[#This Row],[Notes]]="","",LEFT(Table2[[#This Row],[Notes]],FIND(CHAR(10),Table2[[#This Row],[Notes]]&amp;CHAR(10))-1))</f>
        <v xml:space="preserve">8.20.21 Reach out to IM and new contact </v>
      </c>
      <c r="F12" s="49">
        <f>DATEVALUE(SUBSTITUTE(LEFT(E12,SEARCH(" ",E12)-1),".","/"))</f>
        <v>44428</v>
      </c>
      <c r="G12" s="41">
        <f ca="1">IF(ISERROR(F12),TODAY(),F12)</f>
        <v>44428</v>
      </c>
      <c r="H12" s="43" t="s">
        <v>92</v>
      </c>
      <c r="I12" s="49"/>
      <c r="J12" s="50"/>
      <c r="K12" s="49"/>
      <c r="L12" s="49"/>
      <c r="M12" s="49"/>
      <c r="N12" s="49"/>
      <c r="O12" s="49"/>
      <c r="P12" s="49"/>
      <c r="Q12" s="49"/>
      <c r="R12" s="49"/>
      <c r="S12" s="49"/>
      <c r="T12" s="49"/>
      <c r="U12" s="49"/>
      <c r="V12" s="49"/>
      <c r="W12" s="49"/>
      <c r="X12" s="49"/>
      <c r="Y12" s="49"/>
      <c r="Z12" s="49"/>
      <c r="AA12" s="49"/>
      <c r="AB12" s="49"/>
    </row>
    <row r="13" spans="1:28" ht="60" x14ac:dyDescent="0.25">
      <c r="A13" s="37" t="s">
        <v>85</v>
      </c>
      <c r="B13" s="18" t="str">
        <f xml:space="preserve"> MID(A13,SEARCH(":",A13)+2,SEARCH(":",A13,SEARCH(":",A13)+1)-SEARCH(":",A13)-3)</f>
        <v>Dufry</v>
      </c>
      <c r="C13" s="18" t="str">
        <f>"part:"&amp;MID(A13,SEARCH(":",A13)+1,SEARCH(":",A13,SEARCH(":",A13)+1)-SEARCH(":",A13)-1)</f>
        <v xml:space="preserve">part: Dufry </v>
      </c>
      <c r="D13" s="1" t="s">
        <v>115</v>
      </c>
      <c r="E13" s="18" t="str">
        <f>IF(Table2[[#This Row],[Notes]]="","",LEFT(Table2[[#This Row],[Notes]],FIND(CHAR(10),Table2[[#This Row],[Notes]]&amp;CHAR(10))-1))</f>
        <v>8.23.21 Assign a mapping case: 13788976 and waiting for EDI ID from TP</v>
      </c>
      <c r="F13" s="18">
        <f>DATEVALUE(SUBSTITUTE(LEFT(E13,SEARCH(" ",E13)-1),".","/"))</f>
        <v>44431</v>
      </c>
      <c r="G13" s="26">
        <f ca="1">IF(ISERROR(F13),TODAY(),F13)</f>
        <v>44431</v>
      </c>
      <c r="H13" s="27" t="s">
        <v>91</v>
      </c>
      <c r="I13" s="19"/>
      <c r="J13" s="28"/>
      <c r="K13" s="18"/>
      <c r="L13" s="18"/>
      <c r="M13" s="18"/>
      <c r="N13" s="18"/>
      <c r="O13" s="18"/>
      <c r="P13" s="18"/>
      <c r="Q13" s="18"/>
      <c r="R13" s="18"/>
      <c r="S13" s="18"/>
      <c r="T13" s="18"/>
      <c r="U13" s="18"/>
      <c r="V13" s="18"/>
      <c r="W13" s="18"/>
      <c r="X13" s="18"/>
      <c r="Y13" s="18"/>
      <c r="Z13" s="18"/>
      <c r="AA13" s="18"/>
      <c r="AB13" s="18"/>
    </row>
    <row r="14" spans="1:28" ht="45" x14ac:dyDescent="0.25">
      <c r="A14" s="29" t="s">
        <v>95</v>
      </c>
      <c r="B14" s="19" t="str">
        <f xml:space="preserve"> MID(A14,SEARCH(":",A14)+2,SEARCH(":",A14,SEARCH(":",A14)+1)-SEARCH(":",A14)-3)</f>
        <v>Oakwood Group</v>
      </c>
      <c r="C14" s="19" t="str">
        <f>"part:"&amp;MID(A14,SEARCH(":",A14)+1,SEARCH(":",A14,SEARCH(":",A14)+1)-SEARCH(":",A14)-1)</f>
        <v xml:space="preserve">part: Oakwood Group </v>
      </c>
      <c r="D14" s="13" t="s">
        <v>116</v>
      </c>
      <c r="E14" s="18" t="str">
        <f>IF(Table2[[#This Row],[Notes]]="","",LEFT(Table2[[#This Row],[Notes]],FIND(CHAR(10),Table2[[#This Row],[Notes]]&amp;CHAR(10))-1))</f>
        <v>8.23.21 Assign a mapping case: 13789003</v>
      </c>
      <c r="F14" s="19">
        <f>DATEVALUE(SUBSTITUTE(LEFT(E14,SEARCH(" ",E14)-1),".","/"))</f>
        <v>44431</v>
      </c>
      <c r="G14" s="26">
        <f ca="1">IF(ISERROR(F14),TODAY(),F14)</f>
        <v>44431</v>
      </c>
      <c r="H14" s="27" t="s">
        <v>101</v>
      </c>
      <c r="I14" s="19"/>
      <c r="J14" s="30"/>
      <c r="K14" s="19"/>
      <c r="L14" s="19"/>
      <c r="M14" s="19"/>
      <c r="N14" s="19"/>
      <c r="O14" s="19"/>
      <c r="P14" s="19"/>
      <c r="Q14" s="19"/>
      <c r="R14" s="19"/>
      <c r="S14" s="19"/>
      <c r="T14" s="19"/>
      <c r="U14" s="19"/>
      <c r="V14" s="19"/>
      <c r="W14" s="19"/>
      <c r="X14" s="19"/>
      <c r="Y14" s="19"/>
      <c r="Z14" s="19"/>
      <c r="AA14" s="19"/>
      <c r="AB14" s="19"/>
    </row>
    <row r="15" spans="1:28" ht="60.75" thickBot="1" x14ac:dyDescent="0.3">
      <c r="A15" s="25" t="s">
        <v>96</v>
      </c>
      <c r="B15" s="18" t="str">
        <f xml:space="preserve"> MID(A15,SEARCH(":",A15)+2,SEARCH(":",A15,SEARCH(":",A15)+1)-SEARCH(":",A15)-3)</f>
        <v>Save On Foods</v>
      </c>
      <c r="C15" s="18" t="str">
        <f>"part:"&amp;MID(A15,SEARCH(":",A15)+1,SEARCH(":",A15,SEARCH(":",A15)+1)-SEARCH(":",A15)-1)</f>
        <v xml:space="preserve">part: Save On Foods </v>
      </c>
      <c r="D15" s="13" t="s">
        <v>117</v>
      </c>
      <c r="E15" s="18" t="str">
        <f>IF(Table2[[#This Row],[Notes]]="","",LEFT(Table2[[#This Row],[Notes]],FIND(CHAR(10),Table2[[#This Row],[Notes]]&amp;CHAR(10))-1))</f>
        <v>8.23.21 Reach out to trading partner and internal team again:3</v>
      </c>
      <c r="F15" s="18">
        <f>DATEVALUE(SUBSTITUTE(LEFT(E15,SEARCH(" ",E15)-1),".","/"))</f>
        <v>44431</v>
      </c>
      <c r="G15" s="26">
        <f ca="1">IF(ISERROR(F15),TODAY(),F15)</f>
        <v>44431</v>
      </c>
      <c r="H15" s="3" t="s">
        <v>102</v>
      </c>
      <c r="I15" s="19"/>
      <c r="J15" s="28"/>
      <c r="K15" s="18"/>
      <c r="L15" s="18"/>
      <c r="M15" s="18"/>
      <c r="N15" s="18"/>
      <c r="O15" s="18"/>
      <c r="P15" s="18"/>
      <c r="Q15" s="18"/>
      <c r="R15" s="18"/>
      <c r="S15" s="18"/>
      <c r="T15" s="18"/>
      <c r="U15" s="18"/>
      <c r="V15" s="18"/>
      <c r="W15" s="18"/>
      <c r="X15" s="18"/>
      <c r="Y15" s="18"/>
      <c r="Z15" s="18"/>
      <c r="AA15" s="18"/>
      <c r="AB15" s="18"/>
    </row>
    <row r="16" spans="1:28" s="24" customFormat="1" ht="45" x14ac:dyDescent="0.25">
      <c r="A16" s="45" t="s">
        <v>94</v>
      </c>
      <c r="B16" s="19" t="str">
        <f xml:space="preserve"> MID(A16,SEARCH(":",A16)+2,SEARCH(":",A16,SEARCH(":",A16)+1)-SEARCH(":",A16)-3)</f>
        <v>Groupe Robert Inc.</v>
      </c>
      <c r="C16" s="19" t="str">
        <f>"part:"&amp;MID(A16,SEARCH(":",A16)+1,SEARCH(":",A16,SEARCH(":",A16)+1)-SEARCH(":",A16)-1)</f>
        <v xml:space="preserve">part: Groupe Robert Inc. </v>
      </c>
      <c r="D16" s="13" t="s">
        <v>118</v>
      </c>
      <c r="E16" s="18" t="str">
        <f>IF(Table2[[#This Row],[Notes]]="","",LEFT(Table2[[#This Row],[Notes]],FIND(CHAR(10),Table2[[#This Row],[Notes]]&amp;CHAR(10))-1))</f>
        <v>8.23.21 Assign a mapping case: 13789305</v>
      </c>
      <c r="F16" s="19">
        <f>DATEVALUE(SUBSTITUTE(LEFT(E16,SEARCH(" ",E16)-1),".","/"))</f>
        <v>44431</v>
      </c>
      <c r="G16" s="26">
        <f ca="1">IF(ISERROR(F16),TODAY(),F16)</f>
        <v>44431</v>
      </c>
      <c r="H16" s="27" t="s">
        <v>100</v>
      </c>
      <c r="I16" s="19"/>
      <c r="J16" s="30"/>
      <c r="K16" s="19"/>
      <c r="L16" s="19"/>
      <c r="M16" s="19"/>
      <c r="N16" s="19"/>
      <c r="O16" s="19"/>
      <c r="P16" s="19"/>
      <c r="Q16" s="19"/>
      <c r="R16" s="19"/>
      <c r="S16" s="19"/>
      <c r="T16" s="19"/>
      <c r="U16" s="19"/>
      <c r="V16" s="19"/>
      <c r="W16" s="19"/>
      <c r="X16" s="19"/>
      <c r="Y16" s="19"/>
      <c r="Z16" s="19"/>
      <c r="AA16" s="19"/>
      <c r="AB16" s="19"/>
    </row>
    <row r="17" spans="1:28" ht="105" x14ac:dyDescent="0.25">
      <c r="A17" s="19" t="s">
        <v>3</v>
      </c>
      <c r="B17" s="19" t="str">
        <f xml:space="preserve"> MID(A17,SEARCH(":",A17)+2,SEARCH(":",A17,SEARCH(":",A17)+1)-SEARCH(":",A17)-3)</f>
        <v>GSK Consumer Healthcare</v>
      </c>
      <c r="C17" s="19" t="str">
        <f>"part:"&amp;MID(A17,SEARCH(":",A17)+1,SEARCH(":",A17,SEARCH(":",A17)+1)-SEARCH(":",A17)-1)</f>
        <v xml:space="preserve">part: GSK Consumer Healthcare </v>
      </c>
      <c r="D17" s="13" t="s">
        <v>119</v>
      </c>
      <c r="E17" s="18" t="str">
        <f>IF(Table2[[#This Row],[Notes]]="","",LEFT(Table2[[#This Row],[Notes]],FIND(CHAR(10),Table2[[#This Row],[Notes]]&amp;CHAR(10))-1))</f>
        <v>8.23.21 Wait for the meeting monday</v>
      </c>
      <c r="F17" s="19">
        <f>DATEVALUE(SUBSTITUTE(LEFT(E17,SEARCH(" ",E17)-1),".","/"))</f>
        <v>44431</v>
      </c>
      <c r="G17" s="26">
        <f ca="1">IF(ISERROR(F17),TODAY(),F17)</f>
        <v>44431</v>
      </c>
      <c r="H17" s="19" t="s">
        <v>4</v>
      </c>
      <c r="I17" s="19" t="s">
        <v>5</v>
      </c>
      <c r="J17" s="30"/>
      <c r="K17" s="19"/>
      <c r="L17" s="19"/>
      <c r="M17" s="19"/>
      <c r="N17" s="19"/>
      <c r="O17" s="19"/>
      <c r="P17" s="19"/>
      <c r="Q17" s="19"/>
      <c r="R17" s="19"/>
      <c r="S17" s="19"/>
      <c r="T17" s="19"/>
      <c r="U17" s="19"/>
      <c r="V17" s="19"/>
      <c r="W17" s="19"/>
      <c r="X17" s="19"/>
      <c r="Y17" s="19"/>
      <c r="Z17" s="19"/>
      <c r="AA17" s="19"/>
      <c r="AB17" s="19"/>
    </row>
    <row r="18" spans="1:28" s="4" customFormat="1" ht="45" x14ac:dyDescent="0.25">
      <c r="A18" s="27" t="s">
        <v>57</v>
      </c>
      <c r="B18" s="3" t="str">
        <f xml:space="preserve"> MID(A18,SEARCH(":",A18)+2,SEARCH(":",A18,SEARCH(":",A18)+1)-SEARCH(":",A18)-3)</f>
        <v>Dell Australia</v>
      </c>
      <c r="C18" s="3" t="str">
        <f>"part:"&amp;MID(A18,SEARCH(":",A18)+1,SEARCH(":",A18,SEARCH(":",A18)+1)-SEARCH(":",A18)-1)</f>
        <v xml:space="preserve">part: Dell Australia </v>
      </c>
      <c r="D18" s="1" t="s">
        <v>120</v>
      </c>
      <c r="E18" s="18" t="str">
        <f>IF(Table2[[#This Row],[Notes]]="","",LEFT(Table2[[#This Row],[Notes]],FIND(CHAR(10),Table2[[#This Row],[Notes]]&amp;CHAR(10))-1))</f>
        <v>8.23.21 Waiting for new contact from customer</v>
      </c>
      <c r="F18" s="3">
        <f>DATEVALUE(SUBSTITUTE(LEFT(E18,SEARCH(" ",E18)-1),".","/"))</f>
        <v>44431</v>
      </c>
      <c r="G18" s="31">
        <f ca="1">IF(ISERROR(F18),TODAY(),F18)</f>
        <v>44431</v>
      </c>
      <c r="H18" s="27" t="s">
        <v>61</v>
      </c>
      <c r="I18" s="27" t="s">
        <v>62</v>
      </c>
      <c r="J18" s="3"/>
      <c r="K18" s="3"/>
      <c r="L18" s="3"/>
      <c r="M18" s="3"/>
      <c r="N18" s="3"/>
      <c r="O18" s="3"/>
      <c r="P18" s="3"/>
      <c r="Q18" s="3"/>
      <c r="R18" s="3"/>
      <c r="S18" s="3"/>
      <c r="T18" s="3"/>
      <c r="U18" s="3"/>
      <c r="V18" s="3"/>
      <c r="W18" s="3"/>
      <c r="X18" s="3"/>
      <c r="Y18" s="3"/>
      <c r="Z18" s="3"/>
      <c r="AA18" s="3"/>
      <c r="AB18" s="3"/>
    </row>
    <row r="19" spans="1:28" s="4" customFormat="1" ht="45.75" thickBot="1" x14ac:dyDescent="0.3">
      <c r="A19" s="25" t="s">
        <v>60</v>
      </c>
      <c r="B19" s="19" t="str">
        <f xml:space="preserve"> MID(A19,SEARCH(":",A19)+2,SEARCH(":",A19,SEARCH(":",A19)+1)-SEARCH(":",A19)-3)</f>
        <v>TSC Stores Dropship</v>
      </c>
      <c r="C19" s="19" t="str">
        <f>"part:"&amp;MID(A19,SEARCH(":",A19)+1,SEARCH(":",A19,SEARCH(":",A19)+1)-SEARCH(":",A19)-1)</f>
        <v xml:space="preserve">part: TSC Stores Dropship </v>
      </c>
      <c r="D19" s="13" t="s">
        <v>123</v>
      </c>
      <c r="E19" s="18" t="str">
        <f>IF(Table2[[#This Row],[Notes]]="","",LEFT(Table2[[#This Row],[Notes]],FIND(CHAR(10),Table2[[#This Row],[Notes]]&amp;CHAR(10))-1))</f>
        <v>8.23.21 Reach out to Kristi for a new contact</v>
      </c>
      <c r="F19" s="19">
        <f>DATEVALUE(SUBSTITUTE(LEFT(E19,SEARCH(" ",E19)-1),".","/"))</f>
        <v>44431</v>
      </c>
      <c r="G19" s="26">
        <f ca="1">IF(ISERROR(F19),TODAY(),F19)</f>
        <v>44431</v>
      </c>
      <c r="H19" s="27" t="s">
        <v>68</v>
      </c>
      <c r="I19" s="3" t="s">
        <v>67</v>
      </c>
      <c r="J19" s="30"/>
      <c r="K19" s="19"/>
      <c r="L19" s="19"/>
      <c r="M19" s="19"/>
      <c r="N19" s="19"/>
      <c r="O19" s="19"/>
      <c r="P19" s="19"/>
      <c r="Q19" s="19"/>
      <c r="R19" s="19"/>
      <c r="S19" s="19"/>
      <c r="T19" s="19"/>
      <c r="U19" s="19"/>
      <c r="V19" s="19"/>
      <c r="W19" s="19"/>
      <c r="X19" s="19"/>
      <c r="Y19" s="19"/>
      <c r="Z19" s="19"/>
      <c r="AA19" s="19"/>
      <c r="AB19" s="19"/>
    </row>
    <row r="20" spans="1:28" s="4" customFormat="1" ht="120" x14ac:dyDescent="0.25">
      <c r="A20" s="20" t="s">
        <v>6</v>
      </c>
      <c r="B20" s="19" t="str">
        <f xml:space="preserve"> MID(A20,SEARCH(":",A20)+2,SEARCH(":",A20,SEARCH(":",A20)+1)-SEARCH(":",A20)-3)</f>
        <v>Ipex</v>
      </c>
      <c r="C20" s="19" t="str">
        <f>"part:"&amp;MID(A20,SEARCH(":",A20)+1,SEARCH(":",A20,SEARCH(":",A20)+1)-SEARCH(":",A20)-1)</f>
        <v xml:space="preserve">part: Ipex </v>
      </c>
      <c r="D20" s="13" t="s">
        <v>121</v>
      </c>
      <c r="E20" s="18" t="str">
        <f>IF(Table2[[#This Row],[Notes]]="","",LEFT(Table2[[#This Row],[Notes]],FIND(CHAR(10),Table2[[#This Row],[Notes]]&amp;CHAR(10))-1))</f>
        <v>8.23 Reached out to customer for a new contact</v>
      </c>
      <c r="F20" s="19">
        <f>DATEVALUE(SUBSTITUTE(LEFT(E20,SEARCH(" ",E20)-1),".","/"))</f>
        <v>44431</v>
      </c>
      <c r="G20" s="26">
        <f ca="1">IF(ISERROR(F20),TODAY(),F20)</f>
        <v>44431</v>
      </c>
      <c r="H20" s="19" t="s">
        <v>7</v>
      </c>
      <c r="I20" s="19" t="s">
        <v>8</v>
      </c>
      <c r="J20" s="30"/>
      <c r="K20" s="19"/>
      <c r="L20" s="19"/>
      <c r="M20" s="19"/>
      <c r="N20" s="19"/>
      <c r="O20" s="19"/>
      <c r="P20" s="19"/>
      <c r="Q20" s="19"/>
      <c r="R20" s="19"/>
      <c r="S20" s="19"/>
      <c r="T20" s="19"/>
      <c r="U20" s="19"/>
      <c r="V20" s="19"/>
      <c r="W20" s="19"/>
      <c r="X20" s="19"/>
      <c r="Y20" s="19"/>
      <c r="Z20" s="19"/>
      <c r="AA20" s="19"/>
      <c r="AB20" s="19"/>
    </row>
    <row r="21" spans="1:28" ht="75" x14ac:dyDescent="0.25">
      <c r="A21" s="19" t="s">
        <v>9</v>
      </c>
      <c r="B21" s="19" t="str">
        <f xml:space="preserve"> MID(A21,SEARCH(":",A21)+2,SEARCH(":",A21,SEARCH(":",A21)+1)-SEARCH(":",A21)-3)</f>
        <v>Volkswagen.De</v>
      </c>
      <c r="C21" s="19" t="str">
        <f>"part:"&amp;MID(A21,SEARCH(":",A21)+1,SEARCH(":",A21,SEARCH(":",A21)+1)-SEARCH(":",A21)-1)</f>
        <v xml:space="preserve">part: Volkswagen.De </v>
      </c>
      <c r="D21" s="13" t="s">
        <v>122</v>
      </c>
      <c r="E21" s="18" t="str">
        <f>IF(Table2[[#This Row],[Notes]]="","",LEFT(Table2[[#This Row],[Notes]],FIND(CHAR(10),Table2[[#This Row],[Notes]]&amp;CHAR(10))-1))</f>
        <v>8.23.21 Wait for email from customer and Jerie</v>
      </c>
      <c r="F21" s="19">
        <f>DATEVALUE(SUBSTITUTE(LEFT(E21,SEARCH(" ",E21)-1),".","/"))</f>
        <v>44431</v>
      </c>
      <c r="G21" s="26">
        <f ca="1">IF(ISERROR(F21),TODAY(),F21)</f>
        <v>44431</v>
      </c>
      <c r="H21" s="19" t="s">
        <v>10</v>
      </c>
      <c r="I21" s="19" t="s">
        <v>11</v>
      </c>
      <c r="J21" s="30"/>
      <c r="K21" s="19"/>
      <c r="L21" s="19"/>
      <c r="M21" s="19"/>
      <c r="N21" s="19"/>
      <c r="O21" s="19"/>
      <c r="P21" s="19"/>
      <c r="Q21" s="19"/>
      <c r="R21" s="19"/>
      <c r="S21" s="19"/>
      <c r="T21" s="19"/>
      <c r="U21" s="19"/>
      <c r="V21" s="19"/>
      <c r="W21" s="19"/>
      <c r="X21" s="19"/>
      <c r="Y21" s="19"/>
      <c r="Z21" s="19"/>
      <c r="AA21" s="19"/>
      <c r="AB21" s="19"/>
    </row>
    <row r="22" spans="1:28" s="1" customFormat="1" x14ac:dyDescent="0.25">
      <c r="A22" s="18"/>
      <c r="B22" s="18" t="e">
        <f xml:space="preserve"> MID(A22,SEARCH(":",A22)+2,SEARCH(":",A22,SEARCH(":",A22)+1)-SEARCH(":",A22)-3)</f>
        <v>#VALUE!</v>
      </c>
      <c r="C22" s="18" t="e">
        <f>"part:"&amp;MID(A22,SEARCH(":",A22)+1,SEARCH(":",A22,SEARCH(":",A22)+1)-SEARCH(":",A22)-1)</f>
        <v>#VALUE!</v>
      </c>
      <c r="D22" s="18"/>
      <c r="E22" s="18"/>
      <c r="F22" s="18" t="e">
        <f>DATEVALUE(SUBSTITUTE(LEFT(E22,SEARCH(" ",E22)-1),".","/"))</f>
        <v>#VALUE!</v>
      </c>
      <c r="G22" s="26">
        <f ca="1">IF(ISERROR(F22),TODAY(),F22)</f>
        <v>44432</v>
      </c>
      <c r="H22" s="18"/>
      <c r="I22" s="18"/>
      <c r="J22" s="28"/>
      <c r="K22" s="18"/>
      <c r="L22" s="18"/>
      <c r="M22" s="18"/>
      <c r="N22" s="18"/>
      <c r="O22" s="18"/>
      <c r="P22" s="18"/>
      <c r="Q22" s="18"/>
      <c r="R22" s="18"/>
      <c r="S22" s="18"/>
      <c r="T22" s="18"/>
      <c r="U22" s="18"/>
      <c r="V22" s="18"/>
      <c r="W22" s="18"/>
      <c r="X22" s="18"/>
      <c r="Y22" s="18"/>
      <c r="Z22" s="18"/>
      <c r="AA22" s="18"/>
      <c r="AB22" s="18"/>
    </row>
    <row r="23" spans="1:28" x14ac:dyDescent="0.25">
      <c r="A23" s="18"/>
      <c r="B23" s="18" t="e">
        <f xml:space="preserve"> MID(A23,SEARCH(":",A23)+2,SEARCH(":",A23,SEARCH(":",A23)+1)-SEARCH(":",A23)-3)</f>
        <v>#VALUE!</v>
      </c>
      <c r="C23" s="18" t="e">
        <f>"part:"&amp;MID(A23,SEARCH(":",A23)+1,SEARCH(":",A23,SEARCH(":",A23)+1)-SEARCH(":",A23)-1)</f>
        <v>#VALUE!</v>
      </c>
      <c r="D23" s="18"/>
      <c r="E23" s="18"/>
      <c r="F23" s="18" t="e">
        <f>DATEVALUE(SUBSTITUTE(LEFT(E23,SEARCH(" ",E23)-1),".","/"))</f>
        <v>#VALUE!</v>
      </c>
      <c r="G23" s="26">
        <f ca="1">IF(ISERROR(F23),TODAY(),F23)</f>
        <v>44432</v>
      </c>
      <c r="H23" s="18"/>
      <c r="I23" s="18"/>
      <c r="J23" s="28"/>
      <c r="K23" s="18"/>
      <c r="L23" s="18"/>
      <c r="M23" s="18"/>
      <c r="N23" s="18"/>
      <c r="O23" s="18"/>
      <c r="P23" s="18"/>
      <c r="Q23" s="18"/>
      <c r="R23" s="18"/>
      <c r="S23" s="18"/>
      <c r="T23" s="18"/>
      <c r="U23" s="18"/>
      <c r="V23" s="18"/>
      <c r="W23" s="18"/>
      <c r="X23" s="18"/>
      <c r="Y23" s="18"/>
      <c r="Z23" s="18"/>
      <c r="AA23" s="18"/>
      <c r="AB23" s="18"/>
    </row>
    <row r="24" spans="1:28" s="16" customFormat="1" x14ac:dyDescent="0.25">
      <c r="A24" s="18"/>
      <c r="B24" s="18" t="e">
        <f xml:space="preserve"> MID(A24,SEARCH(":",A24)+2,SEARCH(":",A24,SEARCH(":",A24)+1)-SEARCH(":",A24)-3)</f>
        <v>#VALUE!</v>
      </c>
      <c r="C24" s="18" t="e">
        <f>"part:"&amp;MID(A24,SEARCH(":",A24)+1,SEARCH(":",A24,SEARCH(":",A24)+1)-SEARCH(":",A24)-1)</f>
        <v>#VALUE!</v>
      </c>
      <c r="D24" s="18"/>
      <c r="E24" s="18"/>
      <c r="F24" s="18" t="e">
        <f>DATEVALUE(SUBSTITUTE(LEFT(E24,SEARCH(" ",E24)-1),".","/"))</f>
        <v>#VALUE!</v>
      </c>
      <c r="G24" s="26">
        <f ca="1">IF(ISERROR(F24),TODAY(),F24)</f>
        <v>44432</v>
      </c>
      <c r="H24" s="18"/>
      <c r="I24" s="18"/>
      <c r="J24" s="28"/>
      <c r="K24" s="18"/>
      <c r="L24" s="18"/>
      <c r="M24" s="18"/>
      <c r="N24" s="18"/>
      <c r="O24" s="18"/>
      <c r="P24" s="18"/>
      <c r="Q24" s="18"/>
      <c r="R24" s="18"/>
      <c r="S24" s="18"/>
      <c r="T24" s="18"/>
      <c r="U24" s="18"/>
      <c r="V24" s="18"/>
      <c r="W24" s="18"/>
      <c r="X24" s="18"/>
      <c r="Y24" s="18"/>
      <c r="Z24" s="18"/>
      <c r="AA24" s="18"/>
      <c r="AB24" s="18"/>
    </row>
    <row r="25" spans="1:28" x14ac:dyDescent="0.25">
      <c r="A25" s="18"/>
      <c r="B25" s="18" t="e">
        <f xml:space="preserve"> MID(A25,SEARCH(":",A25)+2,SEARCH(":",A25,SEARCH(":",A25)+1)-SEARCH(":",A25)-3)</f>
        <v>#VALUE!</v>
      </c>
      <c r="C25" s="18" t="e">
        <f>"part:"&amp;MID(A25,SEARCH(":",A25)+1,SEARCH(":",A25,SEARCH(":",A25)+1)-SEARCH(":",A25)-1)</f>
        <v>#VALUE!</v>
      </c>
      <c r="D25" s="18"/>
      <c r="E25" s="18"/>
      <c r="F25" s="18" t="e">
        <f>DATEVALUE(SUBSTITUTE(LEFT(E25,SEARCH(" ",E25)-1),".","/"))</f>
        <v>#VALUE!</v>
      </c>
      <c r="G25" s="26">
        <f ca="1">IF(ISERROR(F25),TODAY(),F25)</f>
        <v>44432</v>
      </c>
      <c r="H25" s="18"/>
      <c r="I25" s="18"/>
      <c r="J25" s="28"/>
      <c r="K25" s="18"/>
      <c r="L25" s="18"/>
      <c r="M25" s="18"/>
      <c r="N25" s="18"/>
      <c r="O25" s="18"/>
      <c r="P25" s="18"/>
      <c r="Q25" s="18"/>
      <c r="R25" s="18"/>
      <c r="S25" s="18"/>
      <c r="T25" s="18"/>
      <c r="U25" s="18"/>
      <c r="V25" s="18"/>
      <c r="W25" s="18"/>
      <c r="X25" s="18"/>
      <c r="Y25" s="18"/>
      <c r="Z25" s="18"/>
      <c r="AA25" s="18"/>
      <c r="AB25" s="18"/>
    </row>
    <row r="26" spans="1:28" x14ac:dyDescent="0.25">
      <c r="A26" s="18"/>
      <c r="B26" s="18" t="e">
        <f xml:space="preserve"> MID(A26,SEARCH(":",A26)+2,SEARCH(":",A26,SEARCH(":",A26)+1)-SEARCH(":",A26)-3)</f>
        <v>#VALUE!</v>
      </c>
      <c r="C26" s="18" t="e">
        <f>"part:"&amp;MID(A26,SEARCH(":",A26)+1,SEARCH(":",A26,SEARCH(":",A26)+1)-SEARCH(":",A26)-1)</f>
        <v>#VALUE!</v>
      </c>
      <c r="D26" s="18"/>
      <c r="E26" s="18"/>
      <c r="F26" s="18" t="e">
        <f>DATEVALUE(SUBSTITUTE(LEFT(E26,SEARCH(" ",E26)-1),".","/"))</f>
        <v>#VALUE!</v>
      </c>
      <c r="G26" s="26">
        <f ca="1">IF(ISERROR(F26),TODAY(),F26)</f>
        <v>44432</v>
      </c>
      <c r="H26" s="18"/>
      <c r="I26" s="18"/>
      <c r="J26" s="28"/>
      <c r="K26" s="18"/>
      <c r="L26" s="18"/>
      <c r="M26" s="18"/>
      <c r="N26" s="18"/>
      <c r="O26" s="18"/>
      <c r="P26" s="18"/>
      <c r="Q26" s="18"/>
      <c r="R26" s="18"/>
      <c r="S26" s="18"/>
      <c r="T26" s="18"/>
      <c r="U26" s="18"/>
      <c r="V26" s="18"/>
      <c r="W26" s="18"/>
      <c r="X26" s="18"/>
      <c r="Y26" s="18"/>
      <c r="Z26" s="18"/>
      <c r="AA26" s="18"/>
      <c r="AB26" s="18"/>
    </row>
    <row r="27" spans="1:28" x14ac:dyDescent="0.25">
      <c r="A27" s="18"/>
      <c r="B27" s="18" t="e">
        <f xml:space="preserve"> MID(A27,SEARCH(":",A27)+2,SEARCH(":",A27,SEARCH(":",A27)+1)-SEARCH(":",A27)-3)</f>
        <v>#VALUE!</v>
      </c>
      <c r="C27" s="18" t="e">
        <f>"part:"&amp;MID(A27,SEARCH(":",A27)+1,SEARCH(":",A27,SEARCH(":",A27)+1)-SEARCH(":",A27)-1)</f>
        <v>#VALUE!</v>
      </c>
      <c r="D27" s="18"/>
      <c r="E27" s="18"/>
      <c r="F27" s="18" t="e">
        <f>DATEVALUE(SUBSTITUTE(LEFT(E27,SEARCH(" ",E27)-1),".","/"))</f>
        <v>#VALUE!</v>
      </c>
      <c r="G27" s="26">
        <f ca="1">IF(ISERROR(F27),TODAY(),F27)</f>
        <v>44432</v>
      </c>
      <c r="H27" s="18"/>
      <c r="I27" s="18"/>
      <c r="J27" s="28"/>
      <c r="K27" s="18"/>
      <c r="L27" s="18"/>
      <c r="M27" s="18"/>
      <c r="N27" s="18"/>
      <c r="O27" s="18"/>
      <c r="P27" s="18"/>
      <c r="Q27" s="18"/>
      <c r="R27" s="18"/>
      <c r="S27" s="18"/>
      <c r="T27" s="18"/>
      <c r="U27" s="18"/>
      <c r="V27" s="18"/>
      <c r="W27" s="18"/>
      <c r="X27" s="18"/>
      <c r="Y27" s="18"/>
      <c r="Z27" s="18"/>
      <c r="AA27" s="18"/>
      <c r="AB27" s="18"/>
    </row>
    <row r="28" spans="1:28" x14ac:dyDescent="0.25">
      <c r="A28" s="18"/>
      <c r="B28" s="18" t="e">
        <f xml:space="preserve"> MID(A28,SEARCH(":",A28)+2,SEARCH(":",A28,SEARCH(":",A28)+1)-SEARCH(":",A28)-3)</f>
        <v>#VALUE!</v>
      </c>
      <c r="C28" s="18" t="e">
        <f>"part:"&amp;MID(A28,SEARCH(":",A28)+1,SEARCH(":",A28,SEARCH(":",A28)+1)-SEARCH(":",A28)-1)</f>
        <v>#VALUE!</v>
      </c>
      <c r="D28" s="18"/>
      <c r="E28" s="18"/>
      <c r="F28" s="18" t="e">
        <f>DATEVALUE(SUBSTITUTE(LEFT(E28,SEARCH(" ",E28)-1),".","/"))</f>
        <v>#VALUE!</v>
      </c>
      <c r="G28" s="26">
        <f ca="1">IF(ISERROR(F28),TODAY(),F28)</f>
        <v>44432</v>
      </c>
      <c r="H28" s="18"/>
      <c r="I28" s="18"/>
      <c r="J28" s="28"/>
      <c r="K28" s="18"/>
      <c r="L28" s="18"/>
      <c r="M28" s="18"/>
      <c r="N28" s="18"/>
      <c r="O28" s="18"/>
      <c r="P28" s="18"/>
      <c r="Q28" s="18"/>
      <c r="R28" s="18"/>
      <c r="S28" s="18"/>
      <c r="T28" s="18"/>
      <c r="U28" s="18"/>
      <c r="V28" s="18"/>
      <c r="W28" s="18"/>
      <c r="X28" s="18"/>
      <c r="Y28" s="18"/>
      <c r="Z28" s="18"/>
      <c r="AA28" s="18"/>
      <c r="AB28" s="18"/>
    </row>
    <row r="29" spans="1:28" ht="15.75" thickBot="1" x14ac:dyDescent="0.3">
      <c r="A29" s="18"/>
      <c r="B29" s="18" t="e">
        <f xml:space="preserve"> MID(A29,SEARCH(":",A29)+2,SEARCH(":",A29,SEARCH(":",A29)+1)-SEARCH(":",A29)-3)</f>
        <v>#VALUE!</v>
      </c>
      <c r="C29" s="18" t="e">
        <f>"part:"&amp;MID(A29,SEARCH(":",A29)+1,SEARCH(":",A29,SEARCH(":",A29)+1)-SEARCH(":",A29)-1)</f>
        <v>#VALUE!</v>
      </c>
      <c r="D29" s="18"/>
      <c r="E29" s="18"/>
      <c r="F29" s="18" t="e">
        <f>DATEVALUE(SUBSTITUTE(LEFT(E29,SEARCH(" ",E29)-1),".","/"))</f>
        <v>#VALUE!</v>
      </c>
      <c r="G29" s="26">
        <f ca="1">IF(ISERROR(F29),TODAY(),F29)</f>
        <v>44432</v>
      </c>
      <c r="H29" s="18"/>
      <c r="I29" s="18"/>
      <c r="J29" s="28"/>
      <c r="K29" s="18"/>
      <c r="L29" s="18"/>
      <c r="M29" s="18"/>
      <c r="N29" s="18"/>
      <c r="O29" s="18"/>
      <c r="P29" s="18"/>
      <c r="Q29" s="18"/>
      <c r="R29" s="18"/>
      <c r="S29" s="18"/>
      <c r="T29" s="18"/>
      <c r="U29" s="18"/>
      <c r="V29" s="18"/>
      <c r="W29" s="18"/>
      <c r="X29" s="18"/>
      <c r="Y29" s="18"/>
      <c r="Z29" s="18"/>
      <c r="AA29" s="18"/>
      <c r="AB29" s="18"/>
    </row>
    <row r="30" spans="1:28" s="7" customFormat="1" x14ac:dyDescent="0.25">
      <c r="A30" s="18"/>
      <c r="B30" s="18" t="e">
        <f xml:space="preserve"> MID(A30,SEARCH(":",A30)+2,SEARCH(":",A30,SEARCH(":",A30)+1)-SEARCH(":",A30)-3)</f>
        <v>#VALUE!</v>
      </c>
      <c r="C30" s="18" t="e">
        <f>"part:"&amp;MID(A30,SEARCH(":",A30)+1,SEARCH(":",A30,SEARCH(":",A30)+1)-SEARCH(":",A30)-1)</f>
        <v>#VALUE!</v>
      </c>
      <c r="D30" s="18"/>
      <c r="E30" s="18"/>
      <c r="F30" s="18" t="e">
        <f>DATEVALUE(SUBSTITUTE(LEFT(E30,SEARCH(" ",E30)-1),".","/"))</f>
        <v>#VALUE!</v>
      </c>
      <c r="G30" s="26">
        <f ca="1">IF(ISERROR(F30),TODAY(),F30)</f>
        <v>44432</v>
      </c>
      <c r="H30" s="18"/>
      <c r="I30" s="18"/>
      <c r="J30" s="28"/>
      <c r="K30" s="18"/>
      <c r="L30" s="18"/>
      <c r="M30" s="18"/>
      <c r="N30" s="18"/>
      <c r="O30" s="18"/>
      <c r="P30" s="18"/>
      <c r="Q30" s="18"/>
      <c r="R30" s="18"/>
      <c r="S30" s="18"/>
      <c r="T30" s="18"/>
      <c r="U30" s="18"/>
      <c r="V30" s="18"/>
      <c r="W30" s="18"/>
      <c r="X30" s="18"/>
      <c r="Y30" s="18"/>
      <c r="Z30" s="18"/>
      <c r="AA30" s="18"/>
      <c r="AB30" s="18"/>
    </row>
    <row r="31" spans="1:28" x14ac:dyDescent="0.25">
      <c r="A31" s="18"/>
      <c r="B31" s="18" t="e">
        <f xml:space="preserve"> MID(A31,SEARCH(":",A31)+2,SEARCH(":",A31,SEARCH(":",A31)+1)-SEARCH(":",A31)-3)</f>
        <v>#VALUE!</v>
      </c>
      <c r="C31" s="18" t="e">
        <f>"part:"&amp;MID(A31,SEARCH(":",A31)+1,SEARCH(":",A31,SEARCH(":",A31)+1)-SEARCH(":",A31)-1)</f>
        <v>#VALUE!</v>
      </c>
      <c r="D31" s="18"/>
      <c r="E31" s="18"/>
      <c r="F31" s="18" t="e">
        <f>DATEVALUE(SUBSTITUTE(LEFT(E31,SEARCH(" ",E31)-1),".","/"))</f>
        <v>#VALUE!</v>
      </c>
      <c r="G31" s="26">
        <f ca="1">IF(ISERROR(F31),TODAY(),F31)</f>
        <v>44432</v>
      </c>
      <c r="H31" s="18"/>
      <c r="I31" s="18"/>
      <c r="J31" s="28"/>
      <c r="K31" s="18"/>
      <c r="L31" s="18"/>
      <c r="M31" s="18"/>
      <c r="N31" s="18"/>
      <c r="O31" s="18"/>
      <c r="P31" s="18"/>
      <c r="Q31" s="18"/>
      <c r="R31" s="18"/>
      <c r="S31" s="18"/>
      <c r="T31" s="18"/>
      <c r="U31" s="18"/>
      <c r="V31" s="18"/>
      <c r="W31" s="18"/>
      <c r="X31" s="18"/>
      <c r="Y31" s="18"/>
      <c r="Z31" s="18"/>
      <c r="AA31" s="18"/>
      <c r="AB31" s="18"/>
    </row>
    <row r="32" spans="1:28" x14ac:dyDescent="0.25">
      <c r="A32" s="18"/>
      <c r="B32" s="18" t="e">
        <f xml:space="preserve"> MID(A32,SEARCH(":",A32)+2,SEARCH(":",A32,SEARCH(":",A32)+1)-SEARCH(":",A32)-3)</f>
        <v>#VALUE!</v>
      </c>
      <c r="C32" s="18" t="e">
        <f>"part:"&amp;MID(A32,SEARCH(":",A32)+1,SEARCH(":",A32,SEARCH(":",A32)+1)-SEARCH(":",A32)-1)</f>
        <v>#VALUE!</v>
      </c>
      <c r="D32" s="18"/>
      <c r="E32" s="18"/>
      <c r="F32" s="18" t="e">
        <f>DATEVALUE(SUBSTITUTE(LEFT(E32,SEARCH(" ",E32)-1),".","/"))</f>
        <v>#VALUE!</v>
      </c>
      <c r="G32" s="26">
        <f ca="1">IF(ISERROR(F32),TODAY(),F32)</f>
        <v>44432</v>
      </c>
      <c r="H32" s="18"/>
      <c r="I32" s="18"/>
      <c r="J32" s="28"/>
      <c r="K32" s="18"/>
      <c r="L32" s="18"/>
      <c r="M32" s="18"/>
      <c r="N32" s="18"/>
      <c r="O32" s="18"/>
      <c r="P32" s="18"/>
      <c r="Q32" s="18"/>
      <c r="R32" s="18"/>
      <c r="S32" s="18"/>
      <c r="T32" s="18"/>
      <c r="U32" s="18"/>
      <c r="V32" s="18"/>
      <c r="W32" s="18"/>
      <c r="X32" s="18"/>
      <c r="Y32" s="18"/>
      <c r="Z32" s="18"/>
      <c r="AA32" s="18"/>
      <c r="AB32" s="18"/>
    </row>
    <row r="33" spans="1:28" x14ac:dyDescent="0.25">
      <c r="A33" s="18"/>
      <c r="B33" s="18" t="e">
        <f xml:space="preserve"> MID(A33,SEARCH(":",A33)+2,SEARCH(":",A33,SEARCH(":",A33)+1)-SEARCH(":",A33)-3)</f>
        <v>#VALUE!</v>
      </c>
      <c r="C33" s="18" t="e">
        <f>"part:"&amp;MID(A33,SEARCH(":",A33)+1,SEARCH(":",A33,SEARCH(":",A33)+1)-SEARCH(":",A33)-1)</f>
        <v>#VALUE!</v>
      </c>
      <c r="D33" s="18"/>
      <c r="E33" s="18"/>
      <c r="F33" s="18" t="e">
        <f>DATEVALUE(SUBSTITUTE(LEFT(E33,SEARCH(" ",E33)-1),".","/"))</f>
        <v>#VALUE!</v>
      </c>
      <c r="G33" s="26">
        <f ca="1">IF(ISERROR(F33),TODAY(),F33)</f>
        <v>44432</v>
      </c>
      <c r="H33" s="18"/>
      <c r="I33" s="18"/>
      <c r="J33" s="28"/>
      <c r="K33" s="18"/>
      <c r="L33" s="18"/>
      <c r="M33" s="18"/>
      <c r="N33" s="18"/>
      <c r="O33" s="18"/>
      <c r="P33" s="18"/>
      <c r="Q33" s="18"/>
      <c r="R33" s="18"/>
      <c r="S33" s="18"/>
      <c r="T33" s="18"/>
      <c r="U33" s="18"/>
      <c r="V33" s="18"/>
      <c r="W33" s="18"/>
      <c r="X33" s="18"/>
      <c r="Y33" s="18"/>
      <c r="Z33" s="18"/>
      <c r="AA33" s="18"/>
      <c r="AB33" s="18"/>
    </row>
    <row r="34" spans="1:28" x14ac:dyDescent="0.25">
      <c r="A34" s="18"/>
      <c r="B34" s="18" t="e">
        <f xml:space="preserve"> MID(A34,SEARCH(":",A34)+2,SEARCH(":",A34,SEARCH(":",A34)+1)-SEARCH(":",A34)-3)</f>
        <v>#VALUE!</v>
      </c>
      <c r="C34" s="18" t="e">
        <f>"part:"&amp;MID(A34,SEARCH(":",A34)+1,SEARCH(":",A34,SEARCH(":",A34)+1)-SEARCH(":",A34)-1)</f>
        <v>#VALUE!</v>
      </c>
      <c r="D34" s="18"/>
      <c r="E34" s="18"/>
      <c r="F34" s="18" t="e">
        <f>DATEVALUE(SUBSTITUTE(LEFT(E34,SEARCH(" ",E34)-1),".","/"))</f>
        <v>#VALUE!</v>
      </c>
      <c r="G34" s="26">
        <f ca="1">IF(ISERROR(F34),TODAY(),F34)</f>
        <v>44432</v>
      </c>
      <c r="H34" s="18"/>
      <c r="I34" s="18"/>
      <c r="J34" s="28"/>
      <c r="K34" s="18"/>
      <c r="L34" s="18"/>
      <c r="M34" s="18"/>
      <c r="N34" s="18"/>
      <c r="O34" s="18"/>
      <c r="P34" s="18"/>
      <c r="Q34" s="18"/>
      <c r="R34" s="18"/>
      <c r="S34" s="18"/>
      <c r="T34" s="18"/>
      <c r="U34" s="18"/>
      <c r="V34" s="18"/>
      <c r="W34" s="18"/>
      <c r="X34" s="18"/>
      <c r="Y34" s="18"/>
      <c r="Z34" s="18"/>
      <c r="AA34" s="18"/>
      <c r="AB34" s="18"/>
    </row>
    <row r="35" spans="1:28" x14ac:dyDescent="0.25">
      <c r="A35" s="18"/>
      <c r="B35" s="18" t="e">
        <f xml:space="preserve"> MID(A35,SEARCH(":",A35)+2,SEARCH(":",A35,SEARCH(":",A35)+1)-SEARCH(":",A35)-3)</f>
        <v>#VALUE!</v>
      </c>
      <c r="C35" s="18" t="e">
        <f>"part:"&amp;MID(A35,SEARCH(":",A35)+1,SEARCH(":",A35,SEARCH(":",A35)+1)-SEARCH(":",A35)-1)</f>
        <v>#VALUE!</v>
      </c>
      <c r="D35" s="18"/>
      <c r="E35" s="18"/>
      <c r="F35" s="18" t="e">
        <f>DATEVALUE(SUBSTITUTE(LEFT(E35,SEARCH(" ",E35)-1),".","/"))</f>
        <v>#VALUE!</v>
      </c>
      <c r="G35" s="26">
        <f ca="1">IF(ISERROR(F35),TODAY(),F35)</f>
        <v>44432</v>
      </c>
      <c r="H35" s="18"/>
      <c r="I35" s="18"/>
      <c r="J35" s="28"/>
      <c r="K35" s="18"/>
      <c r="L35" s="18"/>
      <c r="M35" s="18"/>
      <c r="N35" s="18"/>
      <c r="O35" s="18"/>
      <c r="P35" s="18"/>
      <c r="Q35" s="18"/>
      <c r="R35" s="18"/>
      <c r="S35" s="18"/>
      <c r="T35" s="18"/>
      <c r="U35" s="18"/>
      <c r="V35" s="18"/>
      <c r="W35" s="18"/>
      <c r="X35" s="18"/>
      <c r="Y35" s="18"/>
      <c r="Z35" s="18"/>
      <c r="AA35" s="18"/>
      <c r="AB35" s="18"/>
    </row>
    <row r="36" spans="1:28" x14ac:dyDescent="0.25">
      <c r="A36" s="18"/>
      <c r="B36" s="18" t="e">
        <f xml:space="preserve"> MID(A36,SEARCH(":",A36)+2,SEARCH(":",A36,SEARCH(":",A36)+1)-SEARCH(":",A36)-3)</f>
        <v>#VALUE!</v>
      </c>
      <c r="C36" s="18" t="e">
        <f>"part:"&amp;MID(A36,SEARCH(":",A36)+1,SEARCH(":",A36,SEARCH(":",A36)+1)-SEARCH(":",A36)-1)</f>
        <v>#VALUE!</v>
      </c>
      <c r="D36" s="18"/>
      <c r="E36" s="18"/>
      <c r="F36" s="18" t="e">
        <f>DATEVALUE(SUBSTITUTE(LEFT(E36,SEARCH(" ",E36)-1),".","/"))</f>
        <v>#VALUE!</v>
      </c>
      <c r="G36" s="26">
        <f ca="1">IF(ISERROR(F36),TODAY(),F36)</f>
        <v>44432</v>
      </c>
      <c r="H36" s="18"/>
      <c r="I36" s="18"/>
      <c r="J36" s="28"/>
      <c r="K36" s="18"/>
      <c r="L36" s="18"/>
      <c r="M36" s="18"/>
      <c r="N36" s="18"/>
      <c r="O36" s="18"/>
      <c r="P36" s="18"/>
      <c r="Q36" s="18"/>
      <c r="R36" s="18"/>
      <c r="S36" s="18"/>
      <c r="T36" s="18"/>
      <c r="U36" s="18"/>
      <c r="V36" s="18"/>
      <c r="W36" s="18"/>
      <c r="X36" s="18"/>
      <c r="Y36" s="18"/>
      <c r="Z36" s="18"/>
      <c r="AA36" s="18"/>
      <c r="AB36" s="18"/>
    </row>
    <row r="37" spans="1:28" x14ac:dyDescent="0.25">
      <c r="A37" s="18"/>
      <c r="B37" s="18" t="e">
        <f xml:space="preserve"> MID(A37,SEARCH(":",A37)+2,SEARCH(":",A37,SEARCH(":",A37)+1)-SEARCH(":",A37)-3)</f>
        <v>#VALUE!</v>
      </c>
      <c r="C37" s="18" t="e">
        <f>"part:"&amp;MID(A37,SEARCH(":",A37)+1,SEARCH(":",A37,SEARCH(":",A37)+1)-SEARCH(":",A37)-1)</f>
        <v>#VALUE!</v>
      </c>
      <c r="D37" s="18"/>
      <c r="E37" s="18"/>
      <c r="F37" s="18" t="e">
        <f>DATEVALUE(SUBSTITUTE(LEFT(E37,SEARCH(" ",E37)-1),".","/"))</f>
        <v>#VALUE!</v>
      </c>
      <c r="G37" s="26">
        <f ca="1">IF(ISERROR(F37),TODAY(),F37)</f>
        <v>44432</v>
      </c>
      <c r="H37" s="18"/>
      <c r="I37" s="18"/>
      <c r="J37" s="28"/>
      <c r="K37" s="18"/>
      <c r="L37" s="18"/>
      <c r="M37" s="18"/>
      <c r="N37" s="18"/>
      <c r="O37" s="18"/>
      <c r="P37" s="18"/>
      <c r="Q37" s="18"/>
      <c r="R37" s="18"/>
      <c r="S37" s="18"/>
      <c r="T37" s="18"/>
      <c r="U37" s="18"/>
      <c r="V37" s="18"/>
      <c r="W37" s="18"/>
      <c r="X37" s="18"/>
      <c r="Y37" s="18"/>
      <c r="Z37" s="18"/>
      <c r="AA37" s="18"/>
      <c r="AB37" s="18"/>
    </row>
    <row r="38" spans="1:28" x14ac:dyDescent="0.25">
      <c r="A38" s="18"/>
      <c r="B38" s="18" t="e">
        <f xml:space="preserve"> MID(A38,SEARCH(":",A38)+2,SEARCH(":",A38,SEARCH(":",A38)+1)-SEARCH(":",A38)-3)</f>
        <v>#VALUE!</v>
      </c>
      <c r="C38" s="18" t="e">
        <f>"part:"&amp;MID(A38,SEARCH(":",A38)+1,SEARCH(":",A38,SEARCH(":",A38)+1)-SEARCH(":",A38)-1)</f>
        <v>#VALUE!</v>
      </c>
      <c r="D38" s="18"/>
      <c r="E38" s="18"/>
      <c r="F38" s="18" t="e">
        <f>DATEVALUE(SUBSTITUTE(LEFT(E38,SEARCH(" ",E38)-1),".","/"))</f>
        <v>#VALUE!</v>
      </c>
      <c r="G38" s="26">
        <f ca="1">IF(ISERROR(F38),TODAY(),F38)</f>
        <v>44432</v>
      </c>
      <c r="H38" s="18"/>
      <c r="I38" s="18"/>
      <c r="J38" s="28"/>
      <c r="K38" s="18"/>
      <c r="L38" s="18"/>
      <c r="M38" s="18"/>
      <c r="N38" s="18"/>
      <c r="O38" s="18"/>
      <c r="P38" s="18"/>
      <c r="Q38" s="18"/>
      <c r="R38" s="18"/>
      <c r="S38" s="18"/>
      <c r="T38" s="18"/>
      <c r="U38" s="18"/>
      <c r="V38" s="18"/>
      <c r="W38" s="18"/>
      <c r="X38" s="18"/>
      <c r="Y38" s="18"/>
      <c r="Z38" s="18"/>
      <c r="AA38" s="18"/>
      <c r="AB38" s="18"/>
    </row>
    <row r="39" spans="1:28" x14ac:dyDescent="0.25">
      <c r="A39" s="18"/>
      <c r="B39" s="18" t="e">
        <f xml:space="preserve"> MID(A39,SEARCH(":",A39)+2,SEARCH(":",A39,SEARCH(":",A39)+1)-SEARCH(":",A39)-3)</f>
        <v>#VALUE!</v>
      </c>
      <c r="C39" s="18" t="e">
        <f>"part:"&amp;MID(A39,SEARCH(":",A39)+1,SEARCH(":",A39,SEARCH(":",A39)+1)-SEARCH(":",A39)-1)</f>
        <v>#VALUE!</v>
      </c>
      <c r="D39" s="18"/>
      <c r="E39" s="18"/>
      <c r="F39" s="18" t="e">
        <f>DATEVALUE(SUBSTITUTE(LEFT(E39,SEARCH(" ",E39)-1),".","/"))</f>
        <v>#VALUE!</v>
      </c>
      <c r="G39" s="26">
        <f ca="1">IF(ISERROR(F39),TODAY(),F39)</f>
        <v>44432</v>
      </c>
      <c r="H39" s="18"/>
      <c r="I39" s="18"/>
      <c r="J39" s="28"/>
      <c r="K39" s="18"/>
      <c r="L39" s="18"/>
      <c r="M39" s="18"/>
      <c r="N39" s="18"/>
      <c r="O39" s="18"/>
      <c r="P39" s="18"/>
      <c r="Q39" s="18"/>
      <c r="R39" s="18"/>
      <c r="S39" s="18"/>
      <c r="T39" s="18"/>
      <c r="U39" s="18"/>
      <c r="V39" s="18"/>
      <c r="W39" s="18"/>
      <c r="X39" s="18"/>
      <c r="Y39" s="18"/>
      <c r="Z39" s="18"/>
      <c r="AA39" s="18"/>
      <c r="AB39" s="18"/>
    </row>
    <row r="40" spans="1:28" x14ac:dyDescent="0.25">
      <c r="A40" s="18"/>
      <c r="B40" s="18" t="e">
        <f xml:space="preserve"> MID(A40,SEARCH(":",A40)+2,SEARCH(":",A40,SEARCH(":",A40)+1)-SEARCH(":",A40)-3)</f>
        <v>#VALUE!</v>
      </c>
      <c r="C40" s="18" t="e">
        <f>"part:"&amp;MID(A40,SEARCH(":",A40)+1,SEARCH(":",A40,SEARCH(":",A40)+1)-SEARCH(":",A40)-1)</f>
        <v>#VALUE!</v>
      </c>
      <c r="D40" s="18"/>
      <c r="E40" s="18"/>
      <c r="F40" s="18" t="e">
        <f>DATEVALUE(SUBSTITUTE(LEFT(E40,SEARCH(" ",E40)-1),".","/"))</f>
        <v>#VALUE!</v>
      </c>
      <c r="G40" s="26">
        <f ca="1">IF(ISERROR(F40),TODAY(),F40)</f>
        <v>44432</v>
      </c>
      <c r="H40" s="18"/>
      <c r="I40" s="18"/>
      <c r="J40" s="28"/>
      <c r="K40" s="18"/>
      <c r="L40" s="18"/>
      <c r="M40" s="18"/>
      <c r="N40" s="18"/>
      <c r="O40" s="18"/>
      <c r="P40" s="18"/>
      <c r="Q40" s="18"/>
      <c r="R40" s="18"/>
      <c r="S40" s="18"/>
      <c r="T40" s="18"/>
      <c r="U40" s="18"/>
      <c r="V40" s="18"/>
      <c r="W40" s="18"/>
      <c r="X40" s="18"/>
      <c r="Y40" s="18"/>
      <c r="Z40" s="18"/>
      <c r="AA40" s="18"/>
      <c r="AB40" s="18"/>
    </row>
    <row r="41" spans="1:28" x14ac:dyDescent="0.25">
      <c r="A41" s="18"/>
      <c r="B41" s="18" t="e">
        <f xml:space="preserve"> MID(A41,SEARCH(":",A41)+2,SEARCH(":",A41,SEARCH(":",A41)+1)-SEARCH(":",A41)-3)</f>
        <v>#VALUE!</v>
      </c>
      <c r="C41" s="18" t="e">
        <f>"part:"&amp;MID(A41,SEARCH(":",A41)+1,SEARCH(":",A41,SEARCH(":",A41)+1)-SEARCH(":",A41)-1)</f>
        <v>#VALUE!</v>
      </c>
      <c r="D41" s="18"/>
      <c r="E41" s="18"/>
      <c r="F41" s="18" t="e">
        <f>DATEVALUE(SUBSTITUTE(LEFT(E41,SEARCH(" ",E41)-1),".","/"))</f>
        <v>#VALUE!</v>
      </c>
      <c r="G41" s="26">
        <f ca="1">IF(ISERROR(F41),TODAY(),F41)</f>
        <v>44432</v>
      </c>
      <c r="H41" s="18"/>
      <c r="I41" s="18"/>
      <c r="J41" s="28"/>
      <c r="K41" s="18"/>
      <c r="L41" s="18"/>
      <c r="M41" s="18"/>
      <c r="N41" s="18"/>
      <c r="O41" s="18"/>
      <c r="P41" s="18"/>
      <c r="Q41" s="18"/>
      <c r="R41" s="18"/>
      <c r="S41" s="18"/>
      <c r="T41" s="18"/>
      <c r="U41" s="18"/>
      <c r="V41" s="18"/>
      <c r="W41" s="18"/>
      <c r="X41" s="18"/>
      <c r="Y41" s="18"/>
      <c r="Z41" s="18"/>
      <c r="AA41" s="18"/>
      <c r="AB41" s="18"/>
    </row>
    <row r="42" spans="1:28" x14ac:dyDescent="0.25">
      <c r="A42" s="18"/>
      <c r="B42" s="18" t="e">
        <f xml:space="preserve"> MID(A42,SEARCH(":",A42)+2,SEARCH(":",A42,SEARCH(":",A42)+1)-SEARCH(":",A42)-3)</f>
        <v>#VALUE!</v>
      </c>
      <c r="C42" s="18" t="e">
        <f>"part:"&amp;MID(A42,SEARCH(":",A42)+1,SEARCH(":",A42,SEARCH(":",A42)+1)-SEARCH(":",A42)-1)</f>
        <v>#VALUE!</v>
      </c>
      <c r="D42" s="18"/>
      <c r="E42" s="18"/>
      <c r="F42" s="18" t="e">
        <f>DATEVALUE(SUBSTITUTE(LEFT(E42,SEARCH(" ",E42)-1),".","/"))</f>
        <v>#VALUE!</v>
      </c>
      <c r="G42" s="26">
        <f ca="1">IF(ISERROR(F42),TODAY(),F42)</f>
        <v>44432</v>
      </c>
      <c r="H42" s="18"/>
      <c r="I42" s="18"/>
      <c r="J42" s="28"/>
      <c r="K42" s="18"/>
      <c r="L42" s="18"/>
      <c r="M42" s="18"/>
      <c r="N42" s="18"/>
      <c r="O42" s="18"/>
      <c r="P42" s="18"/>
      <c r="Q42" s="18"/>
      <c r="R42" s="18"/>
      <c r="S42" s="18"/>
      <c r="T42" s="18"/>
      <c r="U42" s="18"/>
      <c r="V42" s="18"/>
      <c r="W42" s="18"/>
      <c r="X42" s="18"/>
      <c r="Y42" s="18"/>
      <c r="Z42" s="18"/>
      <c r="AA42" s="18"/>
      <c r="AB42" s="18"/>
    </row>
    <row r="43" spans="1:28" x14ac:dyDescent="0.25">
      <c r="A43" s="18"/>
      <c r="B43" s="18" t="e">
        <f xml:space="preserve"> MID(A43,SEARCH(":",A43)+2,SEARCH(":",A43,SEARCH(":",A43)+1)-SEARCH(":",A43)-3)</f>
        <v>#VALUE!</v>
      </c>
      <c r="C43" s="18" t="e">
        <f>"part:"&amp;MID(A43,SEARCH(":",A43)+1,SEARCH(":",A43,SEARCH(":",A43)+1)-SEARCH(":",A43)-1)</f>
        <v>#VALUE!</v>
      </c>
      <c r="D43" s="18"/>
      <c r="E43" s="18"/>
      <c r="F43" s="18" t="e">
        <f>DATEVALUE(SUBSTITUTE(LEFT(E43,SEARCH(" ",E43)-1),".","/"))</f>
        <v>#VALUE!</v>
      </c>
      <c r="G43" s="26">
        <f ca="1">IF(ISERROR(F43),TODAY(),F43)</f>
        <v>44432</v>
      </c>
      <c r="H43" s="18"/>
      <c r="I43" s="18"/>
      <c r="J43" s="28"/>
      <c r="K43" s="18"/>
      <c r="L43" s="18"/>
      <c r="M43" s="18"/>
      <c r="N43" s="18"/>
      <c r="O43" s="18"/>
      <c r="P43" s="18"/>
      <c r="Q43" s="18"/>
      <c r="R43" s="18"/>
      <c r="S43" s="18"/>
      <c r="T43" s="18"/>
      <c r="U43" s="18"/>
      <c r="V43" s="18"/>
      <c r="W43" s="18"/>
      <c r="X43" s="18"/>
      <c r="Y43" s="18"/>
      <c r="Z43" s="18"/>
      <c r="AA43" s="18"/>
      <c r="AB43" s="18"/>
    </row>
    <row r="44" spans="1:28" x14ac:dyDescent="0.25">
      <c r="A44" s="18"/>
      <c r="B44" s="18" t="e">
        <f xml:space="preserve"> MID(A44,SEARCH(":",A44)+2,SEARCH(":",A44,SEARCH(":",A44)+1)-SEARCH(":",A44)-3)</f>
        <v>#VALUE!</v>
      </c>
      <c r="C44" s="18" t="e">
        <f>"part:"&amp;MID(A44,SEARCH(":",A44)+1,SEARCH(":",A44,SEARCH(":",A44)+1)-SEARCH(":",A44)-1)</f>
        <v>#VALUE!</v>
      </c>
      <c r="D44" s="18"/>
      <c r="E44" s="18"/>
      <c r="F44" s="18" t="e">
        <f>DATEVALUE(SUBSTITUTE(LEFT(E44,SEARCH(" ",E44)-1),".","/"))</f>
        <v>#VALUE!</v>
      </c>
      <c r="G44" s="26">
        <f ca="1">IF(ISERROR(F44),TODAY(),F44)</f>
        <v>44432</v>
      </c>
      <c r="H44" s="18"/>
      <c r="I44" s="18"/>
      <c r="J44" s="28"/>
      <c r="K44" s="18"/>
      <c r="L44" s="18"/>
      <c r="M44" s="18"/>
      <c r="N44" s="18"/>
      <c r="O44" s="18"/>
      <c r="P44" s="18"/>
      <c r="Q44" s="18"/>
      <c r="R44" s="18"/>
      <c r="S44" s="18"/>
      <c r="T44" s="18"/>
      <c r="U44" s="18"/>
      <c r="V44" s="18"/>
      <c r="W44" s="18"/>
      <c r="X44" s="18"/>
      <c r="Y44" s="18"/>
      <c r="Z44" s="18"/>
      <c r="AA44" s="18"/>
      <c r="AB44" s="18"/>
    </row>
    <row r="45" spans="1:28" x14ac:dyDescent="0.25">
      <c r="A45" s="18"/>
      <c r="B45" s="18" t="e">
        <f xml:space="preserve"> MID(A45,SEARCH(":",A45)+2,SEARCH(":",A45,SEARCH(":",A45)+1)-SEARCH(":",A45)-3)</f>
        <v>#VALUE!</v>
      </c>
      <c r="C45" s="18" t="e">
        <f>"part:"&amp;MID(A45,SEARCH(":",A45)+1,SEARCH(":",A45,SEARCH(":",A45)+1)-SEARCH(":",A45)-1)</f>
        <v>#VALUE!</v>
      </c>
      <c r="D45" s="18"/>
      <c r="E45" s="18"/>
      <c r="F45" s="18" t="e">
        <f>DATEVALUE(SUBSTITUTE(LEFT(E45,SEARCH(" ",E45)-1),".","/"))</f>
        <v>#VALUE!</v>
      </c>
      <c r="G45" s="26">
        <f ca="1">IF(ISERROR(F45),TODAY(),F45)</f>
        <v>44432</v>
      </c>
      <c r="H45" s="18"/>
      <c r="I45" s="18"/>
      <c r="J45" s="28"/>
      <c r="K45" s="18"/>
      <c r="L45" s="18"/>
      <c r="M45" s="18"/>
      <c r="N45" s="18"/>
      <c r="O45" s="18"/>
      <c r="P45" s="18"/>
      <c r="Q45" s="18"/>
      <c r="R45" s="18"/>
      <c r="S45" s="18"/>
      <c r="T45" s="18"/>
      <c r="U45" s="18"/>
      <c r="V45" s="18"/>
      <c r="W45" s="18"/>
      <c r="X45" s="18"/>
      <c r="Y45" s="18"/>
      <c r="Z45" s="18"/>
      <c r="AA45" s="18"/>
      <c r="AB45" s="18"/>
    </row>
    <row r="46" spans="1:28" x14ac:dyDescent="0.25">
      <c r="A46" s="18"/>
      <c r="B46" s="18" t="e">
        <f xml:space="preserve"> MID(A46,SEARCH(":",A46)+2,SEARCH(":",A46,SEARCH(":",A46)+1)-SEARCH(":",A46)-3)</f>
        <v>#VALUE!</v>
      </c>
      <c r="C46" s="18" t="e">
        <f>"part:"&amp;MID(A46,SEARCH(":",A46)+1,SEARCH(":",A46,SEARCH(":",A46)+1)-SEARCH(":",A46)-1)</f>
        <v>#VALUE!</v>
      </c>
      <c r="D46" s="18"/>
      <c r="E46" s="18"/>
      <c r="F46" s="18" t="e">
        <f>DATEVALUE(SUBSTITUTE(LEFT(E46,SEARCH(" ",E46)-1),".","/"))</f>
        <v>#VALUE!</v>
      </c>
      <c r="G46" s="26">
        <f ca="1">IF(ISERROR(F46),TODAY(),F46)</f>
        <v>44432</v>
      </c>
      <c r="H46" s="18"/>
      <c r="I46" s="18"/>
      <c r="J46" s="28"/>
      <c r="K46" s="18"/>
      <c r="L46" s="18"/>
      <c r="M46" s="18"/>
      <c r="N46" s="18"/>
      <c r="O46" s="18"/>
      <c r="P46" s="18"/>
      <c r="Q46" s="18"/>
      <c r="R46" s="18"/>
      <c r="S46" s="18"/>
      <c r="T46" s="18"/>
      <c r="U46" s="18"/>
      <c r="V46" s="18"/>
      <c r="W46" s="18"/>
      <c r="X46" s="18"/>
      <c r="Y46" s="18"/>
      <c r="Z46" s="18"/>
      <c r="AA46" s="18"/>
      <c r="AB46" s="18"/>
    </row>
    <row r="47" spans="1:28" x14ac:dyDescent="0.25">
      <c r="A47" s="18"/>
      <c r="B47" s="18" t="e">
        <f xml:space="preserve"> MID(A47,SEARCH(":",A47)+2,SEARCH(":",A47,SEARCH(":",A47)+1)-SEARCH(":",A47)-3)</f>
        <v>#VALUE!</v>
      </c>
      <c r="C47" s="18" t="e">
        <f>"part:"&amp;MID(A47,SEARCH(":",A47)+1,SEARCH(":",A47,SEARCH(":",A47)+1)-SEARCH(":",A47)-1)</f>
        <v>#VALUE!</v>
      </c>
      <c r="D47" s="18"/>
      <c r="E47" s="18"/>
      <c r="F47" s="18" t="e">
        <f>DATEVALUE(SUBSTITUTE(LEFT(E47,SEARCH(" ",E47)-1),".","/"))</f>
        <v>#VALUE!</v>
      </c>
      <c r="G47" s="26">
        <f ca="1">IF(ISERROR(F47),TODAY(),F47)</f>
        <v>44432</v>
      </c>
      <c r="H47" s="18"/>
      <c r="I47" s="18"/>
      <c r="J47" s="28"/>
      <c r="K47" s="18"/>
      <c r="L47" s="18"/>
      <c r="M47" s="18"/>
      <c r="N47" s="18"/>
      <c r="O47" s="18"/>
      <c r="P47" s="18"/>
      <c r="Q47" s="18"/>
      <c r="R47" s="18"/>
      <c r="S47" s="18"/>
      <c r="T47" s="18"/>
      <c r="U47" s="18"/>
      <c r="V47" s="18"/>
      <c r="W47" s="18"/>
      <c r="X47" s="18"/>
      <c r="Y47" s="18"/>
      <c r="Z47" s="18"/>
      <c r="AA47" s="18"/>
      <c r="AB47" s="18"/>
    </row>
    <row r="48" spans="1:28" x14ac:dyDescent="0.25">
      <c r="A48" s="18"/>
      <c r="B48" s="18" t="e">
        <f xml:space="preserve"> MID(A48,SEARCH(":",A48)+2,SEARCH(":",A48,SEARCH(":",A48)+1)-SEARCH(":",A48)-3)</f>
        <v>#VALUE!</v>
      </c>
      <c r="C48" s="18" t="e">
        <f>"part:"&amp;MID(A48,SEARCH(":",A48)+1,SEARCH(":",A48,SEARCH(":",A48)+1)-SEARCH(":",A48)-1)</f>
        <v>#VALUE!</v>
      </c>
      <c r="D48" s="18"/>
      <c r="E48" s="18"/>
      <c r="F48" s="18" t="e">
        <f>DATEVALUE(SUBSTITUTE(LEFT(E48,SEARCH(" ",E48)-1),".","/"))</f>
        <v>#VALUE!</v>
      </c>
      <c r="G48" s="26">
        <f ca="1">IF(ISERROR(F48),TODAY(),F48)</f>
        <v>44432</v>
      </c>
      <c r="H48" s="18"/>
      <c r="I48" s="18"/>
      <c r="J48" s="28"/>
      <c r="K48" s="18"/>
      <c r="L48" s="18"/>
      <c r="M48" s="18"/>
      <c r="N48" s="18"/>
      <c r="O48" s="18"/>
      <c r="P48" s="18"/>
      <c r="Q48" s="18"/>
      <c r="R48" s="18"/>
      <c r="S48" s="18"/>
      <c r="T48" s="18"/>
      <c r="U48" s="18"/>
      <c r="V48" s="18"/>
      <c r="W48" s="18"/>
      <c r="X48" s="18"/>
      <c r="Y48" s="18"/>
      <c r="Z48" s="18"/>
      <c r="AA48" s="18"/>
      <c r="AB48" s="18"/>
    </row>
    <row r="49" spans="1:28" x14ac:dyDescent="0.25">
      <c r="A49" s="18"/>
      <c r="B49" s="18" t="e">
        <f xml:space="preserve"> MID(A49,SEARCH(":",A49)+2,SEARCH(":",A49,SEARCH(":",A49)+1)-SEARCH(":",A49)-3)</f>
        <v>#VALUE!</v>
      </c>
      <c r="C49" s="18" t="e">
        <f>"part:"&amp;MID(A49,SEARCH(":",A49)+1,SEARCH(":",A49,SEARCH(":",A49)+1)-SEARCH(":",A49)-1)</f>
        <v>#VALUE!</v>
      </c>
      <c r="D49" s="18"/>
      <c r="E49" s="18"/>
      <c r="F49" s="18" t="e">
        <f>DATEVALUE(SUBSTITUTE(LEFT(E49,SEARCH(" ",E49)-1),".","/"))</f>
        <v>#VALUE!</v>
      </c>
      <c r="G49" s="26">
        <f ca="1">IF(ISERROR(F49),TODAY(),F49)</f>
        <v>44432</v>
      </c>
      <c r="H49" s="18"/>
      <c r="I49" s="18"/>
      <c r="J49" s="28"/>
      <c r="K49" s="18"/>
      <c r="L49" s="18"/>
      <c r="M49" s="18"/>
      <c r="N49" s="18"/>
      <c r="O49" s="18"/>
      <c r="P49" s="18"/>
      <c r="Q49" s="18"/>
      <c r="R49" s="18"/>
      <c r="S49" s="18"/>
      <c r="T49" s="18"/>
      <c r="U49" s="18"/>
      <c r="V49" s="18"/>
      <c r="W49" s="18"/>
      <c r="X49" s="18"/>
      <c r="Y49" s="18"/>
      <c r="Z49" s="18"/>
      <c r="AA49" s="18"/>
      <c r="AB49" s="18"/>
    </row>
    <row r="50" spans="1:28" x14ac:dyDescent="0.25">
      <c r="A50" s="18"/>
      <c r="B50" s="18" t="e">
        <f xml:space="preserve"> MID(A50,SEARCH(":",A50)+2,SEARCH(":",A50,SEARCH(":",A50)+1)-SEARCH(":",A50)-3)</f>
        <v>#VALUE!</v>
      </c>
      <c r="C50" s="18" t="e">
        <f>"part:"&amp;MID(A50,SEARCH(":",A50)+1,SEARCH(":",A50,SEARCH(":",A50)+1)-SEARCH(":",A50)-1)</f>
        <v>#VALUE!</v>
      </c>
      <c r="D50" s="18"/>
      <c r="E50" s="18"/>
      <c r="F50" s="18" t="e">
        <f>DATEVALUE(SUBSTITUTE(LEFT(E50,SEARCH(" ",E50)-1),".","/"))</f>
        <v>#VALUE!</v>
      </c>
      <c r="G50" s="26">
        <f ca="1">IF(ISERROR(F50),TODAY(),F50)</f>
        <v>44432</v>
      </c>
      <c r="H50" s="18"/>
      <c r="I50" s="18"/>
      <c r="J50" s="28"/>
      <c r="K50" s="18"/>
      <c r="L50" s="18"/>
      <c r="M50" s="18"/>
      <c r="N50" s="18"/>
      <c r="O50" s="18"/>
      <c r="P50" s="18"/>
      <c r="Q50" s="18"/>
      <c r="R50" s="18"/>
      <c r="S50" s="18"/>
      <c r="T50" s="18"/>
      <c r="U50" s="18"/>
      <c r="V50" s="18"/>
      <c r="W50" s="18"/>
      <c r="X50" s="18"/>
      <c r="Y50" s="18"/>
      <c r="Z50" s="18"/>
      <c r="AA50" s="18"/>
      <c r="AB50" s="18"/>
    </row>
    <row r="51" spans="1:28" x14ac:dyDescent="0.25">
      <c r="A51" s="18"/>
      <c r="B51" s="18" t="e">
        <f xml:space="preserve"> MID(A51,SEARCH(":",A51)+2,SEARCH(":",A51,SEARCH(":",A51)+1)-SEARCH(":",A51)-3)</f>
        <v>#VALUE!</v>
      </c>
      <c r="C51" s="18" t="e">
        <f>"part:"&amp;MID(A51,SEARCH(":",A51)+1,SEARCH(":",A51,SEARCH(":",A51)+1)-SEARCH(":",A51)-1)</f>
        <v>#VALUE!</v>
      </c>
      <c r="D51" s="18"/>
      <c r="E51" s="18"/>
      <c r="F51" s="18" t="e">
        <f>DATEVALUE(SUBSTITUTE(LEFT(E51,SEARCH(" ",E51)-1),".","/"))</f>
        <v>#VALUE!</v>
      </c>
      <c r="G51" s="26">
        <f ca="1">IF(ISERROR(F51),TODAY(),F51)</f>
        <v>44432</v>
      </c>
      <c r="H51" s="18"/>
      <c r="I51" s="18"/>
      <c r="J51" s="28"/>
      <c r="K51" s="18"/>
      <c r="L51" s="18"/>
      <c r="M51" s="18"/>
      <c r="N51" s="18"/>
      <c r="O51" s="18"/>
      <c r="P51" s="18"/>
      <c r="Q51" s="18"/>
      <c r="R51" s="18"/>
      <c r="S51" s="18"/>
      <c r="T51" s="18"/>
      <c r="U51" s="18"/>
      <c r="V51" s="18"/>
      <c r="W51" s="18"/>
      <c r="X51" s="18"/>
      <c r="Y51" s="18"/>
      <c r="Z51" s="18"/>
      <c r="AA51" s="18"/>
      <c r="AB51" s="18"/>
    </row>
    <row r="52" spans="1:28" x14ac:dyDescent="0.25">
      <c r="A52" s="18"/>
      <c r="B52" s="18" t="e">
        <f xml:space="preserve"> MID(A52,SEARCH(":",A52)+2,SEARCH(":",A52,SEARCH(":",A52)+1)-SEARCH(":",A52)-3)</f>
        <v>#VALUE!</v>
      </c>
      <c r="C52" s="18" t="e">
        <f>"part:"&amp;MID(A52,SEARCH(":",A52)+1,SEARCH(":",A52,SEARCH(":",A52)+1)-SEARCH(":",A52)-1)</f>
        <v>#VALUE!</v>
      </c>
      <c r="D52" s="18"/>
      <c r="E52" s="18"/>
      <c r="F52" s="18" t="e">
        <f>DATEVALUE(SUBSTITUTE(LEFT(E52,SEARCH(" ",E52)-1),".","/"))</f>
        <v>#VALUE!</v>
      </c>
      <c r="G52" s="26">
        <f ca="1">IF(ISERROR(F52),TODAY(),F52)</f>
        <v>44432</v>
      </c>
      <c r="H52" s="18"/>
      <c r="I52" s="18"/>
      <c r="J52" s="28"/>
      <c r="K52" s="18"/>
      <c r="L52" s="18"/>
      <c r="M52" s="18"/>
      <c r="N52" s="18"/>
      <c r="O52" s="18"/>
      <c r="P52" s="18"/>
      <c r="Q52" s="18"/>
      <c r="R52" s="18"/>
      <c r="S52" s="18"/>
      <c r="T52" s="18"/>
      <c r="U52" s="18"/>
      <c r="V52" s="18"/>
      <c r="W52" s="18"/>
      <c r="X52" s="18"/>
      <c r="Y52" s="18"/>
      <c r="Z52" s="18"/>
      <c r="AA52" s="18"/>
      <c r="AB52" s="18"/>
    </row>
    <row r="53" spans="1:28" x14ac:dyDescent="0.25">
      <c r="A53" s="18"/>
      <c r="B53" s="18" t="e">
        <f xml:space="preserve"> MID(A53,SEARCH(":",A53)+2,SEARCH(":",A53,SEARCH(":",A53)+1)-SEARCH(":",A53)-3)</f>
        <v>#VALUE!</v>
      </c>
      <c r="C53" s="18" t="e">
        <f>"part:"&amp;MID(A53,SEARCH(":",A53)+1,SEARCH(":",A53,SEARCH(":",A53)+1)-SEARCH(":",A53)-1)</f>
        <v>#VALUE!</v>
      </c>
      <c r="D53" s="18"/>
      <c r="E53" s="18"/>
      <c r="F53" s="18" t="e">
        <f>DATEVALUE(SUBSTITUTE(LEFT(E53,SEARCH(" ",E53)-1),".","/"))</f>
        <v>#VALUE!</v>
      </c>
      <c r="G53" s="26">
        <f ca="1">IF(ISERROR(F53),TODAY(),F53)</f>
        <v>44432</v>
      </c>
      <c r="H53" s="18"/>
      <c r="I53" s="18"/>
      <c r="J53" s="28"/>
      <c r="K53" s="18"/>
      <c r="L53" s="18"/>
      <c r="M53" s="18"/>
      <c r="N53" s="18"/>
      <c r="O53" s="18"/>
      <c r="P53" s="18"/>
      <c r="Q53" s="18"/>
      <c r="R53" s="18"/>
      <c r="S53" s="18"/>
      <c r="T53" s="18"/>
      <c r="U53" s="18"/>
      <c r="V53" s="18"/>
      <c r="W53" s="18"/>
      <c r="X53" s="18"/>
      <c r="Y53" s="18"/>
      <c r="Z53" s="18"/>
      <c r="AA53" s="18"/>
      <c r="AB53" s="18"/>
    </row>
    <row r="54" spans="1:28" x14ac:dyDescent="0.25">
      <c r="A54" s="18"/>
      <c r="B54" s="18" t="e">
        <f xml:space="preserve"> MID(A54,SEARCH(":",A54)+2,SEARCH(":",A54,SEARCH(":",A54)+1)-SEARCH(":",A54)-3)</f>
        <v>#VALUE!</v>
      </c>
      <c r="C54" s="18" t="e">
        <f>"part:"&amp;MID(A54,SEARCH(":",A54)+1,SEARCH(":",A54,SEARCH(":",A54)+1)-SEARCH(":",A54)-1)</f>
        <v>#VALUE!</v>
      </c>
      <c r="D54" s="18"/>
      <c r="E54" s="18"/>
      <c r="F54" s="18" t="e">
        <f>DATEVALUE(SUBSTITUTE(LEFT(E54,SEARCH(" ",E54)-1),".","/"))</f>
        <v>#VALUE!</v>
      </c>
      <c r="G54" s="26">
        <f ca="1">IF(ISERROR(F54),TODAY(),F54)</f>
        <v>44432</v>
      </c>
      <c r="H54" s="18"/>
      <c r="I54" s="18"/>
      <c r="J54" s="28"/>
      <c r="K54" s="18"/>
      <c r="L54" s="18"/>
      <c r="M54" s="18"/>
      <c r="N54" s="18"/>
      <c r="O54" s="18"/>
      <c r="P54" s="18"/>
      <c r="Q54" s="18"/>
      <c r="R54" s="18"/>
      <c r="S54" s="18"/>
      <c r="T54" s="18"/>
      <c r="U54" s="18"/>
      <c r="V54" s="18"/>
      <c r="W54" s="18"/>
      <c r="X54" s="18"/>
      <c r="Y54" s="18"/>
      <c r="Z54" s="18"/>
      <c r="AA54" s="18"/>
      <c r="AB54" s="18"/>
    </row>
    <row r="55" spans="1:28" x14ac:dyDescent="0.25">
      <c r="A55" s="18"/>
      <c r="B55" s="18" t="e">
        <f xml:space="preserve"> MID(A55,SEARCH(":",A55)+2,SEARCH(":",A55,SEARCH(":",A55)+1)-SEARCH(":",A55)-3)</f>
        <v>#VALUE!</v>
      </c>
      <c r="C55" s="18" t="e">
        <f>"part:"&amp;MID(A55,SEARCH(":",A55)+1,SEARCH(":",A55,SEARCH(":",A55)+1)-SEARCH(":",A55)-1)</f>
        <v>#VALUE!</v>
      </c>
      <c r="D55" s="18"/>
      <c r="E55" s="18"/>
      <c r="F55" s="18" t="e">
        <f>DATEVALUE(SUBSTITUTE(LEFT(E55,SEARCH(" ",E55)-1),".","/"))</f>
        <v>#VALUE!</v>
      </c>
      <c r="G55" s="26">
        <f ca="1">IF(ISERROR(F55),TODAY(),F55)</f>
        <v>44432</v>
      </c>
      <c r="H55" s="18"/>
      <c r="I55" s="18"/>
      <c r="J55" s="28"/>
      <c r="K55" s="18"/>
      <c r="L55" s="18"/>
      <c r="M55" s="18"/>
      <c r="N55" s="18"/>
      <c r="O55" s="18"/>
      <c r="P55" s="18"/>
      <c r="Q55" s="18"/>
      <c r="R55" s="18"/>
      <c r="S55" s="18"/>
      <c r="T55" s="18"/>
      <c r="U55" s="18"/>
      <c r="V55" s="18"/>
      <c r="W55" s="18"/>
      <c r="X55" s="18"/>
      <c r="Y55" s="18"/>
      <c r="Z55" s="18"/>
      <c r="AA55" s="18"/>
      <c r="AB55" s="18"/>
    </row>
    <row r="56" spans="1:28" x14ac:dyDescent="0.25">
      <c r="A56" s="18"/>
      <c r="B56" s="18" t="e">
        <f xml:space="preserve"> MID(A56,SEARCH(":",A56)+2,SEARCH(":",A56,SEARCH(":",A56)+1)-SEARCH(":",A56)-3)</f>
        <v>#VALUE!</v>
      </c>
      <c r="C56" s="18" t="e">
        <f>"part:"&amp;MID(A56,SEARCH(":",A56)+1,SEARCH(":",A56,SEARCH(":",A56)+1)-SEARCH(":",A56)-1)</f>
        <v>#VALUE!</v>
      </c>
      <c r="D56" s="18"/>
      <c r="E56" s="18"/>
      <c r="F56" s="18" t="e">
        <f>DATEVALUE(SUBSTITUTE(LEFT(E56,SEARCH(" ",E56)-1),".","/"))</f>
        <v>#VALUE!</v>
      </c>
      <c r="G56" s="26">
        <f ca="1">IF(ISERROR(F56),TODAY(),F56)</f>
        <v>44432</v>
      </c>
      <c r="H56" s="18"/>
      <c r="I56" s="18"/>
      <c r="J56" s="28"/>
      <c r="K56" s="18"/>
      <c r="L56" s="18"/>
      <c r="M56" s="18"/>
      <c r="N56" s="18"/>
      <c r="O56" s="18"/>
      <c r="P56" s="18"/>
      <c r="Q56" s="18"/>
      <c r="R56" s="18"/>
      <c r="S56" s="18"/>
      <c r="T56" s="18"/>
      <c r="U56" s="18"/>
      <c r="V56" s="18"/>
      <c r="W56" s="18"/>
      <c r="X56" s="18"/>
      <c r="Y56" s="18"/>
      <c r="Z56" s="18"/>
      <c r="AA56" s="18"/>
      <c r="AB56" s="18"/>
    </row>
    <row r="57" spans="1:28" x14ac:dyDescent="0.25">
      <c r="A57" s="18"/>
      <c r="B57" s="18" t="e">
        <f xml:space="preserve"> MID(A57,SEARCH(":",A57)+2,SEARCH(":",A57,SEARCH(":",A57)+1)-SEARCH(":",A57)-3)</f>
        <v>#VALUE!</v>
      </c>
      <c r="C57" s="18" t="e">
        <f>"part:"&amp;MID(A57,SEARCH(":",A57)+1,SEARCH(":",A57,SEARCH(":",A57)+1)-SEARCH(":",A57)-1)</f>
        <v>#VALUE!</v>
      </c>
      <c r="D57" s="18"/>
      <c r="E57" s="18"/>
      <c r="F57" s="18" t="e">
        <f>DATEVALUE(SUBSTITUTE(LEFT(E57,SEARCH(" ",E57)-1),".","/"))</f>
        <v>#VALUE!</v>
      </c>
      <c r="G57" s="26">
        <f ca="1">IF(ISERROR(F57),TODAY(),F57)</f>
        <v>44432</v>
      </c>
      <c r="H57" s="18"/>
      <c r="I57" s="18"/>
      <c r="J57" s="28"/>
      <c r="K57" s="18"/>
      <c r="L57" s="18"/>
      <c r="M57" s="18"/>
      <c r="N57" s="18"/>
      <c r="O57" s="18"/>
      <c r="P57" s="18"/>
      <c r="Q57" s="18"/>
      <c r="R57" s="18"/>
      <c r="S57" s="18"/>
      <c r="T57" s="18"/>
      <c r="U57" s="18"/>
      <c r="V57" s="18"/>
      <c r="W57" s="18"/>
      <c r="X57" s="18"/>
      <c r="Y57" s="18"/>
      <c r="Z57" s="18"/>
      <c r="AA57" s="18"/>
      <c r="AB57" s="18"/>
    </row>
    <row r="58" spans="1:28" x14ac:dyDescent="0.25">
      <c r="A58" s="18"/>
      <c r="B58" s="18" t="e">
        <f xml:space="preserve"> MID(A58,SEARCH(":",A58)+2,SEARCH(":",A58,SEARCH(":",A58)+1)-SEARCH(":",A58)-3)</f>
        <v>#VALUE!</v>
      </c>
      <c r="C58" s="18" t="e">
        <f>"part:"&amp;MID(A58,SEARCH(":",A58)+1,SEARCH(":",A58,SEARCH(":",A58)+1)-SEARCH(":",A58)-1)</f>
        <v>#VALUE!</v>
      </c>
      <c r="D58" s="18"/>
      <c r="E58" s="18"/>
      <c r="F58" s="18" t="e">
        <f>DATEVALUE(SUBSTITUTE(LEFT(E58,SEARCH(" ",E58)-1),".","/"))</f>
        <v>#VALUE!</v>
      </c>
      <c r="G58" s="26">
        <f ca="1">IF(ISERROR(F58),TODAY(),F58)</f>
        <v>44432</v>
      </c>
      <c r="H58" s="18"/>
      <c r="I58" s="18"/>
      <c r="J58" s="28"/>
      <c r="K58" s="18"/>
      <c r="L58" s="18"/>
      <c r="M58" s="18"/>
      <c r="N58" s="18"/>
      <c r="O58" s="18"/>
      <c r="P58" s="18"/>
      <c r="Q58" s="18"/>
      <c r="R58" s="18"/>
      <c r="S58" s="18"/>
      <c r="T58" s="18"/>
      <c r="U58" s="18"/>
      <c r="V58" s="18"/>
      <c r="W58" s="18"/>
      <c r="X58" s="18"/>
      <c r="Y58" s="18"/>
      <c r="Z58" s="18"/>
      <c r="AA58" s="18"/>
      <c r="AB58" s="18"/>
    </row>
    <row r="59" spans="1:28" x14ac:dyDescent="0.25">
      <c r="A59" s="18"/>
      <c r="B59" s="18" t="e">
        <f xml:space="preserve"> MID(A59,SEARCH(":",A59)+2,SEARCH(":",A59,SEARCH(":",A59)+1)-SEARCH(":",A59)-3)</f>
        <v>#VALUE!</v>
      </c>
      <c r="C59" s="18" t="e">
        <f>"part:"&amp;MID(A59,SEARCH(":",A59)+1,SEARCH(":",A59,SEARCH(":",A59)+1)-SEARCH(":",A59)-1)</f>
        <v>#VALUE!</v>
      </c>
      <c r="D59" s="18"/>
      <c r="E59" s="18"/>
      <c r="F59" s="18" t="e">
        <f>DATEVALUE(SUBSTITUTE(LEFT(E59,SEARCH(" ",E59)-1),".","/"))</f>
        <v>#VALUE!</v>
      </c>
      <c r="G59" s="26">
        <f ca="1">IF(ISERROR(F59),TODAY(),F59)</f>
        <v>44432</v>
      </c>
      <c r="H59" s="18"/>
      <c r="I59" s="18"/>
      <c r="J59" s="28"/>
      <c r="K59" s="18"/>
      <c r="L59" s="18"/>
      <c r="M59" s="18"/>
      <c r="N59" s="18"/>
      <c r="O59" s="18"/>
      <c r="P59" s="18"/>
      <c r="Q59" s="18"/>
      <c r="R59" s="18"/>
      <c r="S59" s="18"/>
      <c r="T59" s="18"/>
      <c r="U59" s="18"/>
      <c r="V59" s="18"/>
      <c r="W59" s="18"/>
      <c r="X59" s="18"/>
      <c r="Y59" s="18"/>
      <c r="Z59" s="18"/>
      <c r="AA59" s="18"/>
      <c r="AB59" s="18"/>
    </row>
    <row r="60" spans="1:28" x14ac:dyDescent="0.25">
      <c r="A60" s="18"/>
      <c r="B60" s="18" t="e">
        <f xml:space="preserve"> MID(A60,SEARCH(":",A60)+2,SEARCH(":",A60,SEARCH(":",A60)+1)-SEARCH(":",A60)-3)</f>
        <v>#VALUE!</v>
      </c>
      <c r="C60" s="18" t="e">
        <f>"part:"&amp;MID(A60,SEARCH(":",A60)+1,SEARCH(":",A60,SEARCH(":",A60)+1)-SEARCH(":",A60)-1)</f>
        <v>#VALUE!</v>
      </c>
      <c r="D60" s="18"/>
      <c r="E60" s="18"/>
      <c r="F60" s="18" t="e">
        <f>DATEVALUE(SUBSTITUTE(LEFT(E60,SEARCH(" ",E60)-1),".","/"))</f>
        <v>#VALUE!</v>
      </c>
      <c r="G60" s="26">
        <f ca="1">IF(ISERROR(F60),TODAY(),F60)</f>
        <v>44432</v>
      </c>
      <c r="H60" s="18"/>
      <c r="I60" s="18"/>
      <c r="J60" s="28"/>
      <c r="K60" s="18"/>
      <c r="L60" s="18"/>
      <c r="M60" s="18"/>
      <c r="N60" s="18"/>
      <c r="O60" s="18"/>
      <c r="P60" s="18"/>
      <c r="Q60" s="18"/>
      <c r="R60" s="18"/>
      <c r="S60" s="18"/>
      <c r="T60" s="18"/>
      <c r="U60" s="18"/>
      <c r="V60" s="18"/>
      <c r="W60" s="18"/>
      <c r="X60" s="18"/>
      <c r="Y60" s="18"/>
      <c r="Z60" s="18"/>
      <c r="AA60" s="18"/>
      <c r="AB60" s="18"/>
    </row>
    <row r="61" spans="1:28" x14ac:dyDescent="0.25">
      <c r="A61" s="18"/>
      <c r="B61" s="18" t="e">
        <f xml:space="preserve"> MID(A61,SEARCH(":",A61)+2,SEARCH(":",A61,SEARCH(":",A61)+1)-SEARCH(":",A61)-3)</f>
        <v>#VALUE!</v>
      </c>
      <c r="C61" s="18" t="e">
        <f>"part:"&amp;MID(A61,SEARCH(":",A61)+1,SEARCH(":",A61,SEARCH(":",A61)+1)-SEARCH(":",A61)-1)</f>
        <v>#VALUE!</v>
      </c>
      <c r="D61" s="18"/>
      <c r="E61" s="18"/>
      <c r="F61" s="18" t="e">
        <f>DATEVALUE(SUBSTITUTE(LEFT(E61,SEARCH(" ",E61)-1),".","/"))</f>
        <v>#VALUE!</v>
      </c>
      <c r="G61" s="26">
        <f ca="1">IF(ISERROR(F61),TODAY(),F61)</f>
        <v>44432</v>
      </c>
      <c r="H61" s="18"/>
      <c r="I61" s="18"/>
      <c r="J61" s="28"/>
      <c r="K61" s="18"/>
      <c r="L61" s="18"/>
      <c r="M61" s="18"/>
      <c r="N61" s="18"/>
      <c r="O61" s="18"/>
      <c r="P61" s="18"/>
      <c r="Q61" s="18"/>
      <c r="R61" s="18"/>
      <c r="S61" s="18"/>
      <c r="T61" s="18"/>
      <c r="U61" s="18"/>
      <c r="V61" s="18"/>
      <c r="W61" s="18"/>
      <c r="X61" s="18"/>
      <c r="Y61" s="18"/>
      <c r="Z61" s="18"/>
      <c r="AA61" s="18"/>
      <c r="AB61" s="18"/>
    </row>
    <row r="62" spans="1:28" x14ac:dyDescent="0.25">
      <c r="A62" s="18"/>
      <c r="B62" s="18" t="e">
        <f xml:space="preserve"> MID(A62,SEARCH(":",A62)+2,SEARCH(":",A62,SEARCH(":",A62)+1)-SEARCH(":",A62)-3)</f>
        <v>#VALUE!</v>
      </c>
      <c r="C62" s="18" t="e">
        <f>"part:"&amp;MID(A62,SEARCH(":",A62)+1,SEARCH(":",A62,SEARCH(":",A62)+1)-SEARCH(":",A62)-1)</f>
        <v>#VALUE!</v>
      </c>
      <c r="D62" s="18"/>
      <c r="E62" s="18"/>
      <c r="F62" s="18" t="e">
        <f>DATEVALUE(SUBSTITUTE(LEFT(E62,SEARCH(" ",E62)-1),".","/"))</f>
        <v>#VALUE!</v>
      </c>
      <c r="G62" s="26">
        <f ca="1">IF(ISERROR(F62),TODAY(),F62)</f>
        <v>44432</v>
      </c>
      <c r="H62" s="18"/>
      <c r="I62" s="18"/>
      <c r="J62" s="28"/>
      <c r="K62" s="18"/>
      <c r="L62" s="18"/>
      <c r="M62" s="18"/>
      <c r="N62" s="18"/>
      <c r="O62" s="18"/>
      <c r="P62" s="18"/>
      <c r="Q62" s="18"/>
      <c r="R62" s="18"/>
      <c r="S62" s="18"/>
      <c r="T62" s="18"/>
      <c r="U62" s="18"/>
      <c r="V62" s="18"/>
      <c r="W62" s="18"/>
      <c r="X62" s="18"/>
      <c r="Y62" s="18"/>
      <c r="Z62" s="18"/>
      <c r="AA62" s="18"/>
      <c r="AB62" s="18"/>
    </row>
    <row r="63" spans="1:28" x14ac:dyDescent="0.25">
      <c r="A63" s="18"/>
      <c r="B63" s="18" t="e">
        <f xml:space="preserve"> MID(A63,SEARCH(":",A63)+2,SEARCH(":",A63,SEARCH(":",A63)+1)-SEARCH(":",A63)-3)</f>
        <v>#VALUE!</v>
      </c>
      <c r="C63" s="18" t="e">
        <f>"part:"&amp;MID(A63,SEARCH(":",A63)+1,SEARCH(":",A63,SEARCH(":",A63)+1)-SEARCH(":",A63)-1)</f>
        <v>#VALUE!</v>
      </c>
      <c r="D63" s="18"/>
      <c r="E63" s="18"/>
      <c r="F63" s="18" t="e">
        <f>DATEVALUE(SUBSTITUTE(LEFT(E63,SEARCH(" ",E63)-1),".","/"))</f>
        <v>#VALUE!</v>
      </c>
      <c r="G63" s="26">
        <f ca="1">IF(ISERROR(F63),TODAY(),F63)</f>
        <v>44432</v>
      </c>
      <c r="H63" s="18"/>
      <c r="I63" s="18"/>
      <c r="J63" s="28"/>
      <c r="K63" s="18"/>
      <c r="L63" s="18"/>
      <c r="M63" s="18"/>
      <c r="N63" s="18"/>
      <c r="O63" s="18"/>
      <c r="P63" s="18"/>
      <c r="Q63" s="18"/>
      <c r="R63" s="18"/>
      <c r="S63" s="18"/>
      <c r="T63" s="18"/>
      <c r="U63" s="18"/>
      <c r="V63" s="18"/>
      <c r="W63" s="18"/>
      <c r="X63" s="18"/>
      <c r="Y63" s="18"/>
      <c r="Z63" s="18"/>
      <c r="AA63" s="18"/>
      <c r="AB63" s="18"/>
    </row>
    <row r="64" spans="1:28" x14ac:dyDescent="0.25">
      <c r="A64" s="18"/>
      <c r="B64" s="18" t="e">
        <f xml:space="preserve"> MID(A64,SEARCH(":",A64)+2,SEARCH(":",A64,SEARCH(":",A64)+1)-SEARCH(":",A64)-3)</f>
        <v>#VALUE!</v>
      </c>
      <c r="C64" s="18" t="e">
        <f>"part:"&amp;MID(A64,SEARCH(":",A64)+1,SEARCH(":",A64,SEARCH(":",A64)+1)-SEARCH(":",A64)-1)</f>
        <v>#VALUE!</v>
      </c>
      <c r="D64" s="18"/>
      <c r="E64" s="18"/>
      <c r="F64" s="18" t="e">
        <f>DATEVALUE(SUBSTITUTE(LEFT(E64,SEARCH(" ",E64)-1),".","/"))</f>
        <v>#VALUE!</v>
      </c>
      <c r="G64" s="26">
        <f ca="1">IF(ISERROR(F64),TODAY(),F64)</f>
        <v>44432</v>
      </c>
      <c r="H64" s="18"/>
      <c r="I64" s="18"/>
      <c r="J64" s="28"/>
      <c r="K64" s="18"/>
      <c r="L64" s="18"/>
      <c r="M64" s="18"/>
      <c r="N64" s="18"/>
      <c r="O64" s="18"/>
      <c r="P64" s="18"/>
      <c r="Q64" s="18"/>
      <c r="R64" s="18"/>
      <c r="S64" s="18"/>
      <c r="T64" s="18"/>
      <c r="U64" s="18"/>
      <c r="V64" s="18"/>
      <c r="W64" s="18"/>
      <c r="X64" s="18"/>
      <c r="Y64" s="18"/>
      <c r="Z64" s="18"/>
      <c r="AA64" s="18"/>
      <c r="AB64" s="18"/>
    </row>
    <row r="65" spans="1:28" x14ac:dyDescent="0.25">
      <c r="A65" s="18"/>
      <c r="B65" s="18" t="e">
        <f xml:space="preserve"> MID(A65,SEARCH(":",A65)+2,SEARCH(":",A65,SEARCH(":",A65)+1)-SEARCH(":",A65)-3)</f>
        <v>#VALUE!</v>
      </c>
      <c r="C65" s="18" t="e">
        <f>"part:"&amp;MID(A65,SEARCH(":",A65)+1,SEARCH(":",A65,SEARCH(":",A65)+1)-SEARCH(":",A65)-1)</f>
        <v>#VALUE!</v>
      </c>
      <c r="D65" s="18"/>
      <c r="E65" s="18"/>
      <c r="F65" s="18" t="e">
        <f>DATEVALUE(SUBSTITUTE(LEFT(E65,SEARCH(" ",E65)-1),".","/"))</f>
        <v>#VALUE!</v>
      </c>
      <c r="G65" s="26">
        <f ca="1">IF(ISERROR(F65),TODAY(),F65)</f>
        <v>44432</v>
      </c>
      <c r="H65" s="18"/>
      <c r="I65" s="18"/>
      <c r="J65" s="28"/>
      <c r="K65" s="18"/>
      <c r="L65" s="18"/>
      <c r="M65" s="18"/>
      <c r="N65" s="18"/>
      <c r="O65" s="18"/>
      <c r="P65" s="18"/>
      <c r="Q65" s="18"/>
      <c r="R65" s="18"/>
      <c r="S65" s="18"/>
      <c r="T65" s="18"/>
      <c r="U65" s="18"/>
      <c r="V65" s="18"/>
      <c r="W65" s="18"/>
      <c r="X65" s="18"/>
      <c r="Y65" s="18"/>
      <c r="Z65" s="18"/>
      <c r="AA65" s="18"/>
      <c r="AB65" s="18"/>
    </row>
    <row r="66" spans="1:28" x14ac:dyDescent="0.25">
      <c r="A66" s="18"/>
      <c r="B66" s="18" t="e">
        <f xml:space="preserve"> MID(A66,SEARCH(":",A66)+2,SEARCH(":",A66,SEARCH(":",A66)+1)-SEARCH(":",A66)-3)</f>
        <v>#VALUE!</v>
      </c>
      <c r="C66" s="18" t="e">
        <f>"part:"&amp;MID(A66,SEARCH(":",A66)+1,SEARCH(":",A66,SEARCH(":",A66)+1)-SEARCH(":",A66)-1)</f>
        <v>#VALUE!</v>
      </c>
      <c r="D66" s="18"/>
      <c r="E66" s="18"/>
      <c r="F66" s="18" t="e">
        <f>DATEVALUE(SUBSTITUTE(LEFT(E66,SEARCH(" ",E66)-1),".","/"))</f>
        <v>#VALUE!</v>
      </c>
      <c r="G66" s="26">
        <f ca="1">IF(ISERROR(F66),TODAY(),F66)</f>
        <v>44432</v>
      </c>
      <c r="H66" s="18"/>
      <c r="I66" s="18"/>
      <c r="J66" s="28"/>
      <c r="K66" s="18"/>
      <c r="L66" s="18"/>
      <c r="M66" s="18"/>
      <c r="N66" s="18"/>
      <c r="O66" s="18"/>
      <c r="P66" s="18"/>
      <c r="Q66" s="18"/>
      <c r="R66" s="18"/>
      <c r="S66" s="18"/>
      <c r="T66" s="18"/>
      <c r="U66" s="18"/>
      <c r="V66" s="18"/>
      <c r="W66" s="18"/>
      <c r="X66" s="18"/>
      <c r="Y66" s="18"/>
      <c r="Z66" s="18"/>
      <c r="AA66" s="18"/>
      <c r="AB66" s="18"/>
    </row>
    <row r="67" spans="1:28" x14ac:dyDescent="0.25">
      <c r="A67" s="18"/>
      <c r="B67" s="18" t="e">
        <f xml:space="preserve"> MID(A67,SEARCH(":",A67)+2,SEARCH(":",A67,SEARCH(":",A67)+1)-SEARCH(":",A67)-3)</f>
        <v>#VALUE!</v>
      </c>
      <c r="C67" s="18" t="e">
        <f>"part:"&amp;MID(A67,SEARCH(":",A67)+1,SEARCH(":",A67,SEARCH(":",A67)+1)-SEARCH(":",A67)-1)</f>
        <v>#VALUE!</v>
      </c>
      <c r="D67" s="18"/>
      <c r="E67" s="18"/>
      <c r="F67" s="18" t="e">
        <f>DATEVALUE(SUBSTITUTE(LEFT(E67,SEARCH(" ",E67)-1),".","/"))</f>
        <v>#VALUE!</v>
      </c>
      <c r="G67" s="26">
        <f ca="1">IF(ISERROR(F67),TODAY(),F67)</f>
        <v>44432</v>
      </c>
      <c r="H67" s="18"/>
      <c r="I67" s="18"/>
      <c r="J67" s="28"/>
      <c r="K67" s="18"/>
      <c r="L67" s="18"/>
      <c r="M67" s="18"/>
      <c r="N67" s="18"/>
      <c r="O67" s="18"/>
      <c r="P67" s="18"/>
      <c r="Q67" s="18"/>
      <c r="R67" s="18"/>
      <c r="S67" s="18"/>
      <c r="T67" s="18"/>
      <c r="U67" s="18"/>
      <c r="V67" s="18"/>
      <c r="W67" s="18"/>
      <c r="X67" s="18"/>
      <c r="Y67" s="18"/>
      <c r="Z67" s="18"/>
      <c r="AA67" s="18"/>
      <c r="AB67" s="18"/>
    </row>
    <row r="68" spans="1:28" x14ac:dyDescent="0.25">
      <c r="A68" s="18"/>
      <c r="B68" s="18" t="e">
        <f xml:space="preserve"> MID(A68,SEARCH(":",A68)+2,SEARCH(":",A68,SEARCH(":",A68)+1)-SEARCH(":",A68)-3)</f>
        <v>#VALUE!</v>
      </c>
      <c r="C68" s="18" t="e">
        <f>"part:"&amp;MID(A68,SEARCH(":",A68)+1,SEARCH(":",A68,SEARCH(":",A68)+1)-SEARCH(":",A68)-1)</f>
        <v>#VALUE!</v>
      </c>
      <c r="D68" s="18"/>
      <c r="E68" s="18"/>
      <c r="F68" s="18" t="e">
        <f>DATEVALUE(SUBSTITUTE(LEFT(E68,SEARCH(" ",E68)-1),".","/"))</f>
        <v>#VALUE!</v>
      </c>
      <c r="G68" s="26">
        <f ca="1">IF(ISERROR(F68),TODAY(),F68)</f>
        <v>44432</v>
      </c>
      <c r="H68" s="18"/>
      <c r="I68" s="18"/>
      <c r="J68" s="28"/>
      <c r="K68" s="18"/>
      <c r="L68" s="18"/>
      <c r="M68" s="18"/>
      <c r="N68" s="18"/>
      <c r="O68" s="18"/>
      <c r="P68" s="18"/>
      <c r="Q68" s="18"/>
      <c r="R68" s="18"/>
      <c r="S68" s="18"/>
      <c r="T68" s="18"/>
      <c r="U68" s="18"/>
      <c r="V68" s="18"/>
      <c r="W68" s="18"/>
      <c r="X68" s="18"/>
      <c r="Y68" s="18"/>
      <c r="Z68" s="18"/>
      <c r="AA68" s="18"/>
      <c r="AB68" s="18"/>
    </row>
    <row r="69" spans="1:28" x14ac:dyDescent="0.25">
      <c r="A69" s="18"/>
      <c r="B69" s="18" t="e">
        <f xml:space="preserve"> MID(A69,SEARCH(":",A69)+2,SEARCH(":",A69,SEARCH(":",A69)+1)-SEARCH(":",A69)-3)</f>
        <v>#VALUE!</v>
      </c>
      <c r="C69" s="18" t="e">
        <f>"part:"&amp;MID(A69,SEARCH(":",A69)+1,SEARCH(":",A69,SEARCH(":",A69)+1)-SEARCH(":",A69)-1)</f>
        <v>#VALUE!</v>
      </c>
      <c r="D69" s="18"/>
      <c r="E69" s="18"/>
      <c r="F69" s="18" t="e">
        <f>DATEVALUE(SUBSTITUTE(LEFT(E69,SEARCH(" ",E69)-1),".","/"))</f>
        <v>#VALUE!</v>
      </c>
      <c r="G69" s="26">
        <f ca="1">IF(ISERROR(F69),TODAY(),F69)</f>
        <v>44432</v>
      </c>
      <c r="H69" s="18"/>
      <c r="I69" s="18"/>
      <c r="J69" s="28"/>
      <c r="K69" s="18"/>
      <c r="L69" s="18"/>
      <c r="M69" s="18"/>
      <c r="N69" s="18"/>
      <c r="O69" s="18"/>
      <c r="P69" s="18"/>
      <c r="Q69" s="18"/>
      <c r="R69" s="18"/>
      <c r="S69" s="18"/>
      <c r="T69" s="18"/>
      <c r="U69" s="18"/>
      <c r="V69" s="18"/>
      <c r="W69" s="18"/>
      <c r="X69" s="18"/>
      <c r="Y69" s="18"/>
      <c r="Z69" s="18"/>
      <c r="AA69" s="18"/>
      <c r="AB69" s="18"/>
    </row>
    <row r="70" spans="1:28" x14ac:dyDescent="0.25">
      <c r="A70" s="18"/>
      <c r="B70" s="18" t="e">
        <f xml:space="preserve"> MID(A70,SEARCH(":",A70)+2,SEARCH(":",A70,SEARCH(":",A70)+1)-SEARCH(":",A70)-3)</f>
        <v>#VALUE!</v>
      </c>
      <c r="C70" s="18" t="e">
        <f>"part:"&amp;MID(A70,SEARCH(":",A70)+1,SEARCH(":",A70,SEARCH(":",A70)+1)-SEARCH(":",A70)-1)</f>
        <v>#VALUE!</v>
      </c>
      <c r="D70" s="18"/>
      <c r="E70" s="18"/>
      <c r="F70" s="18" t="e">
        <f>DATEVALUE(SUBSTITUTE(LEFT(E70,SEARCH(" ",E70)-1),".","/"))</f>
        <v>#VALUE!</v>
      </c>
      <c r="G70" s="26">
        <f ca="1">IF(ISERROR(F70),TODAY(),F70)</f>
        <v>44432</v>
      </c>
      <c r="H70" s="18"/>
      <c r="I70" s="18"/>
      <c r="J70" s="28"/>
      <c r="K70" s="18"/>
      <c r="L70" s="18"/>
      <c r="M70" s="18"/>
      <c r="N70" s="18"/>
      <c r="O70" s="18"/>
      <c r="P70" s="18"/>
      <c r="Q70" s="18"/>
      <c r="R70" s="18"/>
      <c r="S70" s="18"/>
      <c r="T70" s="18"/>
      <c r="U70" s="18"/>
      <c r="V70" s="18"/>
      <c r="W70" s="18"/>
      <c r="X70" s="18"/>
      <c r="Y70" s="18"/>
      <c r="Z70" s="18"/>
      <c r="AA70" s="18"/>
      <c r="AB70" s="18"/>
    </row>
    <row r="71" spans="1:28" x14ac:dyDescent="0.25">
      <c r="A71" s="18"/>
      <c r="B71" s="18" t="e">
        <f xml:space="preserve"> MID(A71,SEARCH(":",A71)+2,SEARCH(":",A71,SEARCH(":",A71)+1)-SEARCH(":",A71)-3)</f>
        <v>#VALUE!</v>
      </c>
      <c r="C71" s="18" t="e">
        <f>"part:"&amp;MID(A71,SEARCH(":",A71)+1,SEARCH(":",A71,SEARCH(":",A71)+1)-SEARCH(":",A71)-1)</f>
        <v>#VALUE!</v>
      </c>
      <c r="D71" s="18"/>
      <c r="E71" s="18"/>
      <c r="F71" s="18" t="e">
        <f>DATEVALUE(SUBSTITUTE(LEFT(E71,SEARCH(" ",E71)-1),".","/"))</f>
        <v>#VALUE!</v>
      </c>
      <c r="G71" s="26">
        <f ca="1">IF(ISERROR(F71),TODAY(),F71)</f>
        <v>44432</v>
      </c>
      <c r="H71" s="18"/>
      <c r="I71" s="18"/>
      <c r="J71" s="28"/>
      <c r="K71" s="18"/>
      <c r="L71" s="18"/>
      <c r="M71" s="18"/>
      <c r="N71" s="18"/>
      <c r="O71" s="18"/>
      <c r="P71" s="18"/>
      <c r="Q71" s="18"/>
      <c r="R71" s="18"/>
      <c r="S71" s="18"/>
      <c r="T71" s="18"/>
      <c r="U71" s="18"/>
      <c r="V71" s="18"/>
      <c r="W71" s="18"/>
      <c r="X71" s="18"/>
      <c r="Y71" s="18"/>
      <c r="Z71" s="18"/>
      <c r="AA71" s="18"/>
      <c r="AB71" s="18"/>
    </row>
    <row r="72" spans="1:28" x14ac:dyDescent="0.25">
      <c r="A72" s="18"/>
      <c r="B72" s="18" t="e">
        <f xml:space="preserve"> MID(A72,SEARCH(":",A72)+2,SEARCH(":",A72,SEARCH(":",A72)+1)-SEARCH(":",A72)-3)</f>
        <v>#VALUE!</v>
      </c>
      <c r="C72" s="18" t="e">
        <f>"part:"&amp;MID(A72,SEARCH(":",A72)+1,SEARCH(":",A72,SEARCH(":",A72)+1)-SEARCH(":",A72)-1)</f>
        <v>#VALUE!</v>
      </c>
      <c r="D72" s="18"/>
      <c r="E72" s="18"/>
      <c r="F72" s="18" t="e">
        <f>DATEVALUE(SUBSTITUTE(LEFT(E72,SEARCH(" ",E72)-1),".","/"))</f>
        <v>#VALUE!</v>
      </c>
      <c r="G72" s="26">
        <f ca="1">IF(ISERROR(F72),TODAY(),F72)</f>
        <v>44432</v>
      </c>
      <c r="H72" s="18"/>
      <c r="I72" s="18"/>
      <c r="J72" s="28"/>
      <c r="K72" s="18"/>
      <c r="L72" s="18"/>
      <c r="M72" s="18"/>
      <c r="N72" s="18"/>
      <c r="O72" s="18"/>
      <c r="P72" s="18"/>
      <c r="Q72" s="18"/>
      <c r="R72" s="18"/>
      <c r="S72" s="18"/>
      <c r="T72" s="18"/>
      <c r="U72" s="18"/>
      <c r="V72" s="18"/>
      <c r="W72" s="18"/>
      <c r="X72" s="18"/>
      <c r="Y72" s="18"/>
      <c r="Z72" s="18"/>
      <c r="AA72" s="18"/>
      <c r="AB72" s="18"/>
    </row>
    <row r="73" spans="1:28" x14ac:dyDescent="0.25">
      <c r="A73" s="18"/>
      <c r="B73" s="18" t="e">
        <f xml:space="preserve"> MID(A73,SEARCH(":",A73)+2,SEARCH(":",A73,SEARCH(":",A73)+1)-SEARCH(":",A73)-3)</f>
        <v>#VALUE!</v>
      </c>
      <c r="C73" s="18" t="e">
        <f>"part:"&amp;MID(A73,SEARCH(":",A73)+1,SEARCH(":",A73,SEARCH(":",A73)+1)-SEARCH(":",A73)-1)</f>
        <v>#VALUE!</v>
      </c>
      <c r="D73" s="18"/>
      <c r="E73" s="18"/>
      <c r="F73" s="18" t="e">
        <f>DATEVALUE(SUBSTITUTE(LEFT(E73,SEARCH(" ",E73)-1),".","/"))</f>
        <v>#VALUE!</v>
      </c>
      <c r="G73" s="26">
        <f ca="1">IF(ISERROR(F73),TODAY(),F73)</f>
        <v>44432</v>
      </c>
      <c r="H73" s="18"/>
      <c r="I73" s="18"/>
      <c r="J73" s="28"/>
      <c r="K73" s="18"/>
      <c r="L73" s="18"/>
      <c r="M73" s="18"/>
      <c r="N73" s="18"/>
      <c r="O73" s="18"/>
      <c r="P73" s="18"/>
      <c r="Q73" s="18"/>
      <c r="R73" s="18"/>
      <c r="S73" s="18"/>
      <c r="T73" s="18"/>
      <c r="U73" s="18"/>
      <c r="V73" s="18"/>
      <c r="W73" s="18"/>
      <c r="X73" s="18"/>
      <c r="Y73" s="18"/>
      <c r="Z73" s="18"/>
      <c r="AA73" s="18"/>
      <c r="AB73" s="18"/>
    </row>
    <row r="74" spans="1:28" x14ac:dyDescent="0.25">
      <c r="A74" s="18"/>
      <c r="B74" s="18" t="e">
        <f xml:space="preserve"> MID(A74,SEARCH(":",A74)+2,SEARCH(":",A74,SEARCH(":",A74)+1)-SEARCH(":",A74)-3)</f>
        <v>#VALUE!</v>
      </c>
      <c r="C74" s="18" t="e">
        <f>"part:"&amp;MID(A74,SEARCH(":",A74)+1,SEARCH(":",A74,SEARCH(":",A74)+1)-SEARCH(":",A74)-1)</f>
        <v>#VALUE!</v>
      </c>
      <c r="D74" s="18"/>
      <c r="E74" s="18"/>
      <c r="F74" s="18" t="e">
        <f>DATEVALUE(SUBSTITUTE(LEFT(E74,SEARCH(" ",E74)-1),".","/"))</f>
        <v>#VALUE!</v>
      </c>
      <c r="G74" s="26">
        <f ca="1">IF(ISERROR(F74),TODAY(),F74)</f>
        <v>44432</v>
      </c>
      <c r="H74" s="18"/>
      <c r="I74" s="18"/>
      <c r="J74" s="28"/>
      <c r="K74" s="18"/>
      <c r="L74" s="18"/>
      <c r="M74" s="18"/>
      <c r="N74" s="18"/>
      <c r="O74" s="18"/>
      <c r="P74" s="18"/>
      <c r="Q74" s="18"/>
      <c r="R74" s="18"/>
      <c r="S74" s="18"/>
      <c r="T74" s="18"/>
      <c r="U74" s="18"/>
      <c r="V74" s="18"/>
      <c r="W74" s="18"/>
      <c r="X74" s="18"/>
      <c r="Y74" s="18"/>
      <c r="Z74" s="18"/>
      <c r="AA74" s="18"/>
      <c r="AB74" s="18"/>
    </row>
    <row r="75" spans="1:28" x14ac:dyDescent="0.25">
      <c r="A75" s="18"/>
      <c r="B75" s="18" t="e">
        <f xml:space="preserve"> MID(A75,SEARCH(":",A75)+2,SEARCH(":",A75,SEARCH(":",A75)+1)-SEARCH(":",A75)-3)</f>
        <v>#VALUE!</v>
      </c>
      <c r="C75" s="18" t="e">
        <f>"part:"&amp;MID(A75,SEARCH(":",A75)+1,SEARCH(":",A75,SEARCH(":",A75)+1)-SEARCH(":",A75)-1)</f>
        <v>#VALUE!</v>
      </c>
      <c r="D75" s="18"/>
      <c r="E75" s="18"/>
      <c r="F75" s="18" t="e">
        <f>DATEVALUE(SUBSTITUTE(LEFT(E75,SEARCH(" ",E75)-1),".","/"))</f>
        <v>#VALUE!</v>
      </c>
      <c r="G75" s="26">
        <f ca="1">IF(ISERROR(F75),TODAY(),F75)</f>
        <v>44432</v>
      </c>
      <c r="H75" s="18"/>
      <c r="I75" s="18"/>
      <c r="J75" s="28"/>
      <c r="K75" s="18"/>
      <c r="L75" s="18"/>
      <c r="M75" s="18"/>
      <c r="N75" s="18"/>
      <c r="O75" s="18"/>
      <c r="P75" s="18"/>
      <c r="Q75" s="18"/>
      <c r="R75" s="18"/>
      <c r="S75" s="18"/>
      <c r="T75" s="18"/>
      <c r="U75" s="18"/>
      <c r="V75" s="18"/>
      <c r="W75" s="18"/>
      <c r="X75" s="18"/>
      <c r="Y75" s="18"/>
      <c r="Z75" s="18"/>
      <c r="AA75" s="18"/>
      <c r="AB75" s="18"/>
    </row>
    <row r="76" spans="1:28" x14ac:dyDescent="0.25">
      <c r="A76" s="18"/>
      <c r="B76" s="18" t="e">
        <f xml:space="preserve"> MID(A76,SEARCH(":",A76)+2,SEARCH(":",A76,SEARCH(":",A76)+1)-SEARCH(":",A76)-3)</f>
        <v>#VALUE!</v>
      </c>
      <c r="C76" s="18" t="e">
        <f>"part:"&amp;MID(A76,SEARCH(":",A76)+1,SEARCH(":",A76,SEARCH(":",A76)+1)-SEARCH(":",A76)-1)</f>
        <v>#VALUE!</v>
      </c>
      <c r="D76" s="18"/>
      <c r="E76" s="18"/>
      <c r="F76" s="18" t="e">
        <f>DATEVALUE(SUBSTITUTE(LEFT(E76,SEARCH(" ",E76)-1),".","/"))</f>
        <v>#VALUE!</v>
      </c>
      <c r="G76" s="26">
        <f ca="1">IF(ISERROR(F76),TODAY(),F76)</f>
        <v>44432</v>
      </c>
      <c r="H76" s="18"/>
      <c r="I76" s="18"/>
      <c r="J76" s="28"/>
      <c r="K76" s="18"/>
      <c r="L76" s="18"/>
      <c r="M76" s="18"/>
      <c r="N76" s="18"/>
      <c r="O76" s="18"/>
      <c r="P76" s="18"/>
      <c r="Q76" s="18"/>
      <c r="R76" s="18"/>
      <c r="S76" s="18"/>
      <c r="T76" s="18"/>
      <c r="U76" s="18"/>
      <c r="V76" s="18"/>
      <c r="W76" s="18"/>
      <c r="X76" s="18"/>
      <c r="Y76" s="18"/>
      <c r="Z76" s="18"/>
      <c r="AA76" s="18"/>
      <c r="AB76" s="18"/>
    </row>
    <row r="77" spans="1:28" x14ac:dyDescent="0.25">
      <c r="A77" s="18"/>
      <c r="B77" s="18" t="e">
        <f xml:space="preserve"> MID(A77,SEARCH(":",A77)+2,SEARCH(":",A77,SEARCH(":",A77)+1)-SEARCH(":",A77)-3)</f>
        <v>#VALUE!</v>
      </c>
      <c r="C77" s="18" t="e">
        <f>"part:"&amp;MID(A77,SEARCH(":",A77)+1,SEARCH(":",A77,SEARCH(":",A77)+1)-SEARCH(":",A77)-1)</f>
        <v>#VALUE!</v>
      </c>
      <c r="D77" s="18"/>
      <c r="E77" s="18"/>
      <c r="F77" s="18" t="e">
        <f>DATEVALUE(SUBSTITUTE(LEFT(E77,SEARCH(" ",E77)-1),".","/"))</f>
        <v>#VALUE!</v>
      </c>
      <c r="G77" s="26">
        <f ca="1">IF(ISERROR(F77),TODAY(),F77)</f>
        <v>44432</v>
      </c>
      <c r="H77" s="18"/>
      <c r="I77" s="18"/>
      <c r="J77" s="28"/>
      <c r="K77" s="18"/>
      <c r="L77" s="18"/>
      <c r="M77" s="18"/>
      <c r="N77" s="18"/>
      <c r="O77" s="18"/>
      <c r="P77" s="18"/>
      <c r="Q77" s="18"/>
      <c r="R77" s="18"/>
      <c r="S77" s="18"/>
      <c r="T77" s="18"/>
      <c r="U77" s="18"/>
      <c r="V77" s="18"/>
      <c r="W77" s="18"/>
      <c r="X77" s="18"/>
      <c r="Y77" s="18"/>
      <c r="Z77" s="18"/>
      <c r="AA77" s="18"/>
      <c r="AB77" s="18"/>
    </row>
    <row r="78" spans="1:28" x14ac:dyDescent="0.25">
      <c r="A78" s="18"/>
      <c r="B78" s="18" t="e">
        <f xml:space="preserve"> MID(A78,SEARCH(":",A78)+2,SEARCH(":",A78,SEARCH(":",A78)+1)-SEARCH(":",A78)-3)</f>
        <v>#VALUE!</v>
      </c>
      <c r="C78" s="18" t="e">
        <f>"part:"&amp;MID(A78,SEARCH(":",A78)+1,SEARCH(":",A78,SEARCH(":",A78)+1)-SEARCH(":",A78)-1)</f>
        <v>#VALUE!</v>
      </c>
      <c r="D78" s="18"/>
      <c r="E78" s="18"/>
      <c r="F78" s="18" t="e">
        <f>DATEVALUE(SUBSTITUTE(LEFT(E78,SEARCH(" ",E78)-1),".","/"))</f>
        <v>#VALUE!</v>
      </c>
      <c r="G78" s="26">
        <f ca="1">IF(ISERROR(F78),TODAY(),F78)</f>
        <v>44432</v>
      </c>
      <c r="H78" s="18"/>
      <c r="I78" s="18"/>
      <c r="J78" s="28"/>
      <c r="K78" s="18"/>
      <c r="L78" s="18"/>
      <c r="M78" s="18"/>
      <c r="N78" s="18"/>
      <c r="O78" s="18"/>
      <c r="P78" s="18"/>
      <c r="Q78" s="18"/>
      <c r="R78" s="18"/>
      <c r="S78" s="18"/>
      <c r="T78" s="18"/>
      <c r="U78" s="18"/>
      <c r="V78" s="18"/>
      <c r="W78" s="18"/>
      <c r="X78" s="18"/>
      <c r="Y78" s="18"/>
      <c r="Z78" s="18"/>
      <c r="AA78" s="18"/>
      <c r="AB78" s="18"/>
    </row>
    <row r="79" spans="1:28" x14ac:dyDescent="0.25">
      <c r="A79" s="18"/>
      <c r="B79" s="18" t="e">
        <f xml:space="preserve"> MID(A79,SEARCH(":",A79)+2,SEARCH(":",A79,SEARCH(":",A79)+1)-SEARCH(":",A79)-3)</f>
        <v>#VALUE!</v>
      </c>
      <c r="C79" s="18" t="e">
        <f>"part:"&amp;MID(A79,SEARCH(":",A79)+1,SEARCH(":",A79,SEARCH(":",A79)+1)-SEARCH(":",A79)-1)</f>
        <v>#VALUE!</v>
      </c>
      <c r="D79" s="18"/>
      <c r="E79" s="18"/>
      <c r="F79" s="18" t="e">
        <f>DATEVALUE(SUBSTITUTE(LEFT(E79,SEARCH(" ",E79)-1),".","/"))</f>
        <v>#VALUE!</v>
      </c>
      <c r="G79" s="26">
        <f ca="1">IF(ISERROR(F79),TODAY(),F79)</f>
        <v>44432</v>
      </c>
      <c r="H79" s="18"/>
      <c r="I79" s="18"/>
      <c r="J79" s="28"/>
      <c r="K79" s="18"/>
      <c r="L79" s="18"/>
      <c r="M79" s="18"/>
      <c r="N79" s="18"/>
      <c r="O79" s="18"/>
      <c r="P79" s="18"/>
      <c r="Q79" s="18"/>
      <c r="R79" s="18"/>
      <c r="S79" s="18"/>
      <c r="T79" s="18"/>
      <c r="U79" s="18"/>
      <c r="V79" s="18"/>
      <c r="W79" s="18"/>
      <c r="X79" s="18"/>
      <c r="Y79" s="18"/>
      <c r="Z79" s="18"/>
      <c r="AA79" s="18"/>
      <c r="AB79" s="18"/>
    </row>
    <row r="80" spans="1:28" x14ac:dyDescent="0.25">
      <c r="A80" s="18"/>
      <c r="B80" s="18" t="e">
        <f xml:space="preserve"> MID(A80,SEARCH(":",A80)+2,SEARCH(":",A80,SEARCH(":",A80)+1)-SEARCH(":",A80)-3)</f>
        <v>#VALUE!</v>
      </c>
      <c r="C80" s="18" t="e">
        <f>"part:"&amp;MID(A80,SEARCH(":",A80)+1,SEARCH(":",A80,SEARCH(":",A80)+1)-SEARCH(":",A80)-1)</f>
        <v>#VALUE!</v>
      </c>
      <c r="D80" s="18"/>
      <c r="E80" s="18"/>
      <c r="F80" s="18" t="e">
        <f>DATEVALUE(SUBSTITUTE(LEFT(E80,SEARCH(" ",E80)-1),".","/"))</f>
        <v>#VALUE!</v>
      </c>
      <c r="G80" s="26">
        <f ca="1">IF(ISERROR(F80),TODAY(),F80)</f>
        <v>44432</v>
      </c>
      <c r="H80" s="18"/>
      <c r="I80" s="18"/>
      <c r="J80" s="28"/>
      <c r="K80" s="18"/>
      <c r="L80" s="18"/>
      <c r="M80" s="18"/>
      <c r="N80" s="18"/>
      <c r="O80" s="18"/>
      <c r="P80" s="18"/>
      <c r="Q80" s="18"/>
      <c r="R80" s="18"/>
      <c r="S80" s="18"/>
      <c r="T80" s="18"/>
      <c r="U80" s="18"/>
      <c r="V80" s="18"/>
      <c r="W80" s="18"/>
      <c r="X80" s="18"/>
      <c r="Y80" s="18"/>
      <c r="Z80" s="18"/>
      <c r="AA80" s="18"/>
      <c r="AB80" s="18"/>
    </row>
    <row r="81" spans="1:28" x14ac:dyDescent="0.25">
      <c r="A81" s="18"/>
      <c r="B81" s="18" t="e">
        <f xml:space="preserve"> MID(A81,SEARCH(":",A81)+2,SEARCH(":",A81,SEARCH(":",A81)+1)-SEARCH(":",A81)-3)</f>
        <v>#VALUE!</v>
      </c>
      <c r="C81" s="18" t="e">
        <f>"part:"&amp;MID(A81,SEARCH(":",A81)+1,SEARCH(":",A81,SEARCH(":",A81)+1)-SEARCH(":",A81)-1)</f>
        <v>#VALUE!</v>
      </c>
      <c r="D81" s="18"/>
      <c r="E81" s="18"/>
      <c r="F81" s="18" t="e">
        <f>DATEVALUE(SUBSTITUTE(LEFT(E81,SEARCH(" ",E81)-1),".","/"))</f>
        <v>#VALUE!</v>
      </c>
      <c r="G81" s="26">
        <f ca="1">IF(ISERROR(F81),TODAY(),F81)</f>
        <v>44432</v>
      </c>
      <c r="H81" s="18"/>
      <c r="I81" s="18"/>
      <c r="J81" s="28"/>
      <c r="K81" s="18"/>
      <c r="L81" s="18"/>
      <c r="M81" s="18"/>
      <c r="N81" s="18"/>
      <c r="O81" s="18"/>
      <c r="P81" s="18"/>
      <c r="Q81" s="18"/>
      <c r="R81" s="18"/>
      <c r="S81" s="18"/>
      <c r="T81" s="18"/>
      <c r="U81" s="18"/>
      <c r="V81" s="18"/>
      <c r="W81" s="18"/>
      <c r="X81" s="18"/>
      <c r="Y81" s="18"/>
      <c r="Z81" s="18"/>
      <c r="AA81" s="18"/>
      <c r="AB81" s="18"/>
    </row>
    <row r="82" spans="1:28" x14ac:dyDescent="0.25">
      <c r="A82" s="18"/>
      <c r="B82" s="18" t="e">
        <f xml:space="preserve"> MID(A82,SEARCH(":",A82)+2,SEARCH(":",A82,SEARCH(":",A82)+1)-SEARCH(":",A82)-3)</f>
        <v>#VALUE!</v>
      </c>
      <c r="C82" s="18" t="e">
        <f>"part:"&amp;MID(A82,SEARCH(":",A82)+1,SEARCH(":",A82,SEARCH(":",A82)+1)-SEARCH(":",A82)-1)</f>
        <v>#VALUE!</v>
      </c>
      <c r="D82" s="18"/>
      <c r="E82" s="18"/>
      <c r="F82" s="18" t="e">
        <f>DATEVALUE(SUBSTITUTE(LEFT(E82,SEARCH(" ",E82)-1),".","/"))</f>
        <v>#VALUE!</v>
      </c>
      <c r="G82" s="26">
        <f ca="1">IF(ISERROR(F82),TODAY(),F82)</f>
        <v>44432</v>
      </c>
      <c r="H82" s="18"/>
      <c r="I82" s="18"/>
      <c r="J82" s="28"/>
      <c r="K82" s="18"/>
      <c r="L82" s="18"/>
      <c r="M82" s="18"/>
      <c r="N82" s="18"/>
      <c r="O82" s="18"/>
      <c r="P82" s="18"/>
      <c r="Q82" s="18"/>
      <c r="R82" s="18"/>
      <c r="S82" s="18"/>
      <c r="T82" s="18"/>
      <c r="U82" s="18"/>
      <c r="V82" s="18"/>
      <c r="W82" s="18"/>
      <c r="X82" s="18"/>
      <c r="Y82" s="18"/>
      <c r="Z82" s="18"/>
      <c r="AA82" s="18"/>
      <c r="AB82" s="18"/>
    </row>
    <row r="83" spans="1:28" x14ac:dyDescent="0.25">
      <c r="A83" s="18"/>
      <c r="B83" s="18" t="e">
        <f xml:space="preserve"> MID(A83,SEARCH(":",A83)+2,SEARCH(":",A83,SEARCH(":",A83)+1)-SEARCH(":",A83)-3)</f>
        <v>#VALUE!</v>
      </c>
      <c r="C83" s="18" t="e">
        <f>"part:"&amp;MID(A83,SEARCH(":",A83)+1,SEARCH(":",A83,SEARCH(":",A83)+1)-SEARCH(":",A83)-1)</f>
        <v>#VALUE!</v>
      </c>
      <c r="D83" s="18"/>
      <c r="E83" s="18"/>
      <c r="F83" s="18" t="e">
        <f>DATEVALUE(SUBSTITUTE(LEFT(E83,SEARCH(" ",E83)-1),".","/"))</f>
        <v>#VALUE!</v>
      </c>
      <c r="G83" s="26">
        <f ca="1">IF(ISERROR(F83),TODAY(),F83)</f>
        <v>44432</v>
      </c>
      <c r="H83" s="18"/>
      <c r="I83" s="18"/>
      <c r="J83" s="28"/>
      <c r="K83" s="18"/>
      <c r="L83" s="18"/>
      <c r="M83" s="18"/>
      <c r="N83" s="18"/>
      <c r="O83" s="18"/>
      <c r="P83" s="18"/>
      <c r="Q83" s="18"/>
      <c r="R83" s="18"/>
      <c r="S83" s="18"/>
      <c r="T83" s="18"/>
      <c r="U83" s="18"/>
      <c r="V83" s="18"/>
      <c r="W83" s="18"/>
      <c r="X83" s="18"/>
      <c r="Y83" s="18"/>
      <c r="Z83" s="18"/>
      <c r="AA83" s="18"/>
      <c r="AB83" s="18"/>
    </row>
    <row r="84" spans="1:28" x14ac:dyDescent="0.25">
      <c r="A84" s="18"/>
      <c r="B84" s="18" t="e">
        <f xml:space="preserve"> MID(A84,SEARCH(":",A84)+2,SEARCH(":",A84,SEARCH(":",A84)+1)-SEARCH(":",A84)-3)</f>
        <v>#VALUE!</v>
      </c>
      <c r="C84" s="18" t="e">
        <f>"part:"&amp;MID(A84,SEARCH(":",A84)+1,SEARCH(":",A84,SEARCH(":",A84)+1)-SEARCH(":",A84)-1)</f>
        <v>#VALUE!</v>
      </c>
      <c r="D84" s="18"/>
      <c r="E84" s="18"/>
      <c r="F84" s="18" t="e">
        <f>DATEVALUE(SUBSTITUTE(LEFT(E84,SEARCH(" ",E84)-1),".","/"))</f>
        <v>#VALUE!</v>
      </c>
      <c r="G84" s="26">
        <f ca="1">IF(ISERROR(F84),TODAY(),F84)</f>
        <v>44432</v>
      </c>
      <c r="H84" s="18"/>
      <c r="I84" s="18"/>
      <c r="J84" s="28"/>
      <c r="K84" s="18"/>
      <c r="L84" s="18"/>
      <c r="M84" s="18"/>
      <c r="N84" s="18"/>
      <c r="O84" s="18"/>
      <c r="P84" s="18"/>
      <c r="Q84" s="18"/>
      <c r="R84" s="18"/>
      <c r="S84" s="18"/>
      <c r="T84" s="18"/>
      <c r="U84" s="18"/>
      <c r="V84" s="18"/>
      <c r="W84" s="18"/>
      <c r="X84" s="18"/>
      <c r="Y84" s="18"/>
      <c r="Z84" s="18"/>
      <c r="AA84" s="18"/>
      <c r="AB84" s="18"/>
    </row>
    <row r="85" spans="1:28" x14ac:dyDescent="0.25">
      <c r="A85" s="18"/>
      <c r="B85" s="18" t="e">
        <f xml:space="preserve"> MID(A85,SEARCH(":",A85)+2,SEARCH(":",A85,SEARCH(":",A85)+1)-SEARCH(":",A85)-3)</f>
        <v>#VALUE!</v>
      </c>
      <c r="C85" s="18" t="e">
        <f>"part:"&amp;MID(A85,SEARCH(":",A85)+1,SEARCH(":",A85,SEARCH(":",A85)+1)-SEARCH(":",A85)-1)</f>
        <v>#VALUE!</v>
      </c>
      <c r="D85" s="18"/>
      <c r="E85" s="18"/>
      <c r="F85" s="18" t="e">
        <f>DATEVALUE(SUBSTITUTE(LEFT(E85,SEARCH(" ",E85)-1),".","/"))</f>
        <v>#VALUE!</v>
      </c>
      <c r="G85" s="26">
        <f ca="1">IF(ISERROR(F85),TODAY(),F85)</f>
        <v>44432</v>
      </c>
      <c r="H85" s="18"/>
      <c r="I85" s="18"/>
      <c r="J85" s="28"/>
      <c r="K85" s="18"/>
      <c r="L85" s="18"/>
      <c r="M85" s="18"/>
      <c r="N85" s="18"/>
      <c r="O85" s="18"/>
      <c r="P85" s="18"/>
      <c r="Q85" s="18"/>
      <c r="R85" s="18"/>
      <c r="S85" s="18"/>
      <c r="T85" s="18"/>
      <c r="U85" s="18"/>
      <c r="V85" s="18"/>
      <c r="W85" s="18"/>
      <c r="X85" s="18"/>
      <c r="Y85" s="18"/>
      <c r="Z85" s="18"/>
      <c r="AA85" s="18"/>
      <c r="AB85" s="18"/>
    </row>
    <row r="86" spans="1:28" x14ac:dyDescent="0.25">
      <c r="A86" s="18"/>
      <c r="B86" s="18" t="e">
        <f xml:space="preserve"> MID(A86,SEARCH(":",A86)+2,SEARCH(":",A86,SEARCH(":",A86)+1)-SEARCH(":",A86)-3)</f>
        <v>#VALUE!</v>
      </c>
      <c r="C86" s="18" t="e">
        <f>"part:"&amp;MID(A86,SEARCH(":",A86)+1,SEARCH(":",A86,SEARCH(":",A86)+1)-SEARCH(":",A86)-1)</f>
        <v>#VALUE!</v>
      </c>
      <c r="D86" s="18"/>
      <c r="E86" s="18"/>
      <c r="F86" s="18" t="e">
        <f>DATEVALUE(SUBSTITUTE(LEFT(E86,SEARCH(" ",E86)-1),".","/"))</f>
        <v>#VALUE!</v>
      </c>
      <c r="G86" s="26">
        <f ca="1">IF(ISERROR(F86),TODAY(),F86)</f>
        <v>44432</v>
      </c>
      <c r="H86" s="18"/>
      <c r="I86" s="18"/>
      <c r="J86" s="28"/>
      <c r="K86" s="18"/>
      <c r="L86" s="18"/>
      <c r="M86" s="18"/>
      <c r="N86" s="18"/>
      <c r="O86" s="18"/>
      <c r="P86" s="18"/>
      <c r="Q86" s="18"/>
      <c r="R86" s="18"/>
      <c r="S86" s="18"/>
      <c r="T86" s="18"/>
      <c r="U86" s="18"/>
      <c r="V86" s="18"/>
      <c r="W86" s="18"/>
      <c r="X86" s="18"/>
      <c r="Y86" s="18"/>
      <c r="Z86" s="18"/>
      <c r="AA86" s="18"/>
      <c r="AB86" s="18"/>
    </row>
    <row r="87" spans="1:28" x14ac:dyDescent="0.25">
      <c r="A87" s="18"/>
      <c r="B87" s="18" t="e">
        <f xml:space="preserve"> MID(A87,SEARCH(":",A87)+2,SEARCH(":",A87,SEARCH(":",A87)+1)-SEARCH(":",A87)-3)</f>
        <v>#VALUE!</v>
      </c>
      <c r="C87" s="18" t="e">
        <f>"part:"&amp;MID(A87,SEARCH(":",A87)+1,SEARCH(":",A87,SEARCH(":",A87)+1)-SEARCH(":",A87)-1)</f>
        <v>#VALUE!</v>
      </c>
      <c r="D87" s="18"/>
      <c r="E87" s="18"/>
      <c r="F87" s="18" t="e">
        <f>DATEVALUE(SUBSTITUTE(LEFT(E87,SEARCH(" ",E87)-1),".","/"))</f>
        <v>#VALUE!</v>
      </c>
      <c r="G87" s="26">
        <f ca="1">IF(ISERROR(F87),TODAY(),F87)</f>
        <v>44432</v>
      </c>
      <c r="H87" s="18"/>
      <c r="I87" s="18"/>
      <c r="J87" s="28"/>
      <c r="K87" s="18"/>
      <c r="L87" s="18"/>
      <c r="M87" s="18"/>
      <c r="N87" s="18"/>
      <c r="O87" s="18"/>
      <c r="P87" s="18"/>
      <c r="Q87" s="18"/>
      <c r="R87" s="18"/>
      <c r="S87" s="18"/>
      <c r="T87" s="18"/>
      <c r="U87" s="18"/>
      <c r="V87" s="18"/>
      <c r="W87" s="18"/>
      <c r="X87" s="18"/>
      <c r="Y87" s="18"/>
      <c r="Z87" s="18"/>
      <c r="AA87" s="18"/>
      <c r="AB87" s="18"/>
    </row>
    <row r="88" spans="1:28" x14ac:dyDescent="0.25">
      <c r="A88" s="18"/>
      <c r="B88" s="18" t="e">
        <f xml:space="preserve"> MID(A88,SEARCH(":",A88)+2,SEARCH(":",A88,SEARCH(":",A88)+1)-SEARCH(":",A88)-3)</f>
        <v>#VALUE!</v>
      </c>
      <c r="C88" s="18" t="e">
        <f>"part:"&amp;MID(A88,SEARCH(":",A88)+1,SEARCH(":",A88,SEARCH(":",A88)+1)-SEARCH(":",A88)-1)</f>
        <v>#VALUE!</v>
      </c>
      <c r="D88" s="18"/>
      <c r="E88" s="18"/>
      <c r="F88" s="18" t="e">
        <f>DATEVALUE(SUBSTITUTE(LEFT(E88,SEARCH(" ",E88)-1),".","/"))</f>
        <v>#VALUE!</v>
      </c>
      <c r="G88" s="26">
        <f ca="1">IF(ISERROR(F88),TODAY(),F88)</f>
        <v>44432</v>
      </c>
      <c r="H88" s="18"/>
      <c r="I88" s="18"/>
      <c r="J88" s="28"/>
      <c r="K88" s="18"/>
      <c r="L88" s="18"/>
      <c r="M88" s="18"/>
      <c r="N88" s="18"/>
      <c r="O88" s="18"/>
      <c r="P88" s="18"/>
      <c r="Q88" s="18"/>
      <c r="R88" s="18"/>
      <c r="S88" s="18"/>
      <c r="T88" s="18"/>
      <c r="U88" s="18"/>
      <c r="V88" s="18"/>
      <c r="W88" s="18"/>
      <c r="X88" s="18"/>
      <c r="Y88" s="18"/>
      <c r="Z88" s="18"/>
      <c r="AA88" s="18"/>
      <c r="AB88" s="18"/>
    </row>
    <row r="89" spans="1:28" x14ac:dyDescent="0.25">
      <c r="A89" s="18"/>
      <c r="B89" s="18" t="e">
        <f xml:space="preserve"> MID(A89,SEARCH(":",A89)+2,SEARCH(":",A89,SEARCH(":",A89)+1)-SEARCH(":",A89)-3)</f>
        <v>#VALUE!</v>
      </c>
      <c r="C89" s="18" t="e">
        <f>"part:"&amp;MID(A89,SEARCH(":",A89)+1,SEARCH(":",A89,SEARCH(":",A89)+1)-SEARCH(":",A89)-1)</f>
        <v>#VALUE!</v>
      </c>
      <c r="D89" s="18"/>
      <c r="E89" s="18"/>
      <c r="F89" s="18" t="e">
        <f>DATEVALUE(SUBSTITUTE(LEFT(E89,SEARCH(" ",E89)-1),".","/"))</f>
        <v>#VALUE!</v>
      </c>
      <c r="G89" s="26">
        <f ca="1">IF(ISERROR(F89),TODAY(),F89)</f>
        <v>44432</v>
      </c>
      <c r="H89" s="18"/>
      <c r="I89" s="18"/>
      <c r="J89" s="28"/>
      <c r="K89" s="18"/>
      <c r="L89" s="18"/>
      <c r="M89" s="18"/>
      <c r="N89" s="18"/>
      <c r="O89" s="18"/>
      <c r="P89" s="18"/>
      <c r="Q89" s="18"/>
      <c r="R89" s="18"/>
      <c r="S89" s="18"/>
      <c r="T89" s="18"/>
      <c r="U89" s="18"/>
      <c r="V89" s="18"/>
      <c r="W89" s="18"/>
      <c r="X89" s="18"/>
      <c r="Y89" s="18"/>
      <c r="Z89" s="18"/>
      <c r="AA89" s="18"/>
      <c r="AB89" s="18"/>
    </row>
    <row r="90" spans="1:28" x14ac:dyDescent="0.25">
      <c r="A90" s="18"/>
      <c r="B90" s="18" t="e">
        <f xml:space="preserve"> MID(A90,SEARCH(":",A90)+2,SEARCH(":",A90,SEARCH(":",A90)+1)-SEARCH(":",A90)-3)</f>
        <v>#VALUE!</v>
      </c>
      <c r="C90" s="18" t="e">
        <f>"part:"&amp;MID(A90,SEARCH(":",A90)+1,SEARCH(":",A90,SEARCH(":",A90)+1)-SEARCH(":",A90)-1)</f>
        <v>#VALUE!</v>
      </c>
      <c r="D90" s="18"/>
      <c r="E90" s="18"/>
      <c r="F90" s="18" t="e">
        <f>DATEVALUE(SUBSTITUTE(LEFT(E90,SEARCH(" ",E90)-1),".","/"))</f>
        <v>#VALUE!</v>
      </c>
      <c r="G90" s="26">
        <f ca="1">IF(ISERROR(F90),TODAY(),F90)</f>
        <v>44432</v>
      </c>
      <c r="H90" s="18"/>
      <c r="I90" s="18"/>
      <c r="J90" s="28"/>
      <c r="K90" s="18"/>
      <c r="L90" s="18"/>
      <c r="M90" s="18"/>
      <c r="N90" s="18"/>
      <c r="O90" s="18"/>
      <c r="P90" s="18"/>
      <c r="Q90" s="18"/>
      <c r="R90" s="18"/>
      <c r="S90" s="18"/>
      <c r="T90" s="18"/>
      <c r="U90" s="18"/>
      <c r="V90" s="18"/>
      <c r="W90" s="18"/>
      <c r="X90" s="18"/>
      <c r="Y90" s="18"/>
      <c r="Z90" s="18"/>
      <c r="AA90" s="18"/>
      <c r="AB90" s="18"/>
    </row>
    <row r="91" spans="1:28" x14ac:dyDescent="0.25">
      <c r="A91" s="18"/>
      <c r="B91" s="18" t="e">
        <f xml:space="preserve"> MID(A91,SEARCH(":",A91)+2,SEARCH(":",A91,SEARCH(":",A91)+1)-SEARCH(":",A91)-3)</f>
        <v>#VALUE!</v>
      </c>
      <c r="C91" s="18" t="e">
        <f>"part:"&amp;MID(A91,SEARCH(":",A91)+1,SEARCH(":",A91,SEARCH(":",A91)+1)-SEARCH(":",A91)-1)</f>
        <v>#VALUE!</v>
      </c>
      <c r="D91" s="18"/>
      <c r="E91" s="18"/>
      <c r="F91" s="18" t="e">
        <f>DATEVALUE(SUBSTITUTE(LEFT(E91,SEARCH(" ",E91)-1),".","/"))</f>
        <v>#VALUE!</v>
      </c>
      <c r="G91" s="26">
        <f ca="1">IF(ISERROR(F91),TODAY(),F91)</f>
        <v>44432</v>
      </c>
      <c r="H91" s="18"/>
      <c r="I91" s="18"/>
      <c r="J91" s="28"/>
      <c r="K91" s="18"/>
      <c r="L91" s="18"/>
      <c r="M91" s="18"/>
      <c r="N91" s="18"/>
      <c r="O91" s="18"/>
      <c r="P91" s="18"/>
      <c r="Q91" s="18"/>
      <c r="R91" s="18"/>
      <c r="S91" s="18"/>
      <c r="T91" s="18"/>
      <c r="U91" s="18"/>
      <c r="V91" s="18"/>
      <c r="W91" s="18"/>
      <c r="X91" s="18"/>
      <c r="Y91" s="18"/>
      <c r="Z91" s="18"/>
      <c r="AA91" s="18"/>
      <c r="AB91" s="18"/>
    </row>
    <row r="92" spans="1:28" x14ac:dyDescent="0.25">
      <c r="A92" s="18"/>
      <c r="B92" s="18" t="e">
        <f xml:space="preserve"> MID(A92,SEARCH(":",A92)+2,SEARCH(":",A92,SEARCH(":",A92)+1)-SEARCH(":",A92)-3)</f>
        <v>#VALUE!</v>
      </c>
      <c r="C92" s="18" t="e">
        <f>"part:"&amp;MID(A92,SEARCH(":",A92)+1,SEARCH(":",A92,SEARCH(":",A92)+1)-SEARCH(":",A92)-1)</f>
        <v>#VALUE!</v>
      </c>
      <c r="D92" s="18"/>
      <c r="E92" s="18"/>
      <c r="F92" s="18" t="e">
        <f>DATEVALUE(SUBSTITUTE(LEFT(E92,SEARCH(" ",E92)-1),".","/"))</f>
        <v>#VALUE!</v>
      </c>
      <c r="G92" s="26">
        <f ca="1">IF(ISERROR(F92),TODAY(),F92)</f>
        <v>44432</v>
      </c>
      <c r="H92" s="18"/>
      <c r="I92" s="18"/>
      <c r="J92" s="28"/>
      <c r="K92" s="18"/>
      <c r="L92" s="18"/>
      <c r="M92" s="18"/>
      <c r="N92" s="18"/>
      <c r="O92" s="18"/>
      <c r="P92" s="18"/>
      <c r="Q92" s="18"/>
      <c r="R92" s="18"/>
      <c r="S92" s="18"/>
      <c r="T92" s="18"/>
      <c r="U92" s="18"/>
      <c r="V92" s="18"/>
      <c r="W92" s="18"/>
      <c r="X92" s="18"/>
      <c r="Y92" s="18"/>
      <c r="Z92" s="18"/>
      <c r="AA92" s="18"/>
      <c r="AB92" s="18"/>
    </row>
    <row r="93" spans="1:28" x14ac:dyDescent="0.25">
      <c r="A93" s="18"/>
      <c r="B93" s="18" t="e">
        <f xml:space="preserve"> MID(A93,SEARCH(":",A93)+2,SEARCH(":",A93,SEARCH(":",A93)+1)-SEARCH(":",A93)-3)</f>
        <v>#VALUE!</v>
      </c>
      <c r="C93" s="18" t="e">
        <f>"part:"&amp;MID(A93,SEARCH(":",A93)+1,SEARCH(":",A93,SEARCH(":",A93)+1)-SEARCH(":",A93)-1)</f>
        <v>#VALUE!</v>
      </c>
      <c r="D93" s="18"/>
      <c r="E93" s="18"/>
      <c r="F93" s="18" t="e">
        <f>DATEVALUE(SUBSTITUTE(LEFT(E93,SEARCH(" ",E93)-1),".","/"))</f>
        <v>#VALUE!</v>
      </c>
      <c r="G93" s="26">
        <f ca="1">IF(ISERROR(F93),TODAY(),F93)</f>
        <v>44432</v>
      </c>
      <c r="H93" s="18"/>
      <c r="I93" s="18"/>
      <c r="J93" s="28"/>
      <c r="K93" s="18"/>
      <c r="L93" s="18"/>
      <c r="M93" s="18"/>
      <c r="N93" s="18"/>
      <c r="O93" s="18"/>
      <c r="P93" s="18"/>
      <c r="Q93" s="18"/>
      <c r="R93" s="18"/>
      <c r="S93" s="18"/>
      <c r="T93" s="18"/>
      <c r="U93" s="18"/>
      <c r="V93" s="18"/>
      <c r="W93" s="18"/>
      <c r="X93" s="18"/>
      <c r="Y93" s="18"/>
      <c r="Z93" s="18"/>
      <c r="AA93" s="18"/>
      <c r="AB93" s="18"/>
    </row>
    <row r="94" spans="1:28" x14ac:dyDescent="0.25">
      <c r="A94" s="18"/>
      <c r="B94" s="18" t="e">
        <f xml:space="preserve"> MID(A94,SEARCH(":",A94)+2,SEARCH(":",A94,SEARCH(":",A94)+1)-SEARCH(":",A94)-3)</f>
        <v>#VALUE!</v>
      </c>
      <c r="C94" s="18" t="e">
        <f>"part:"&amp;MID(A94,SEARCH(":",A94)+1,SEARCH(":",A94,SEARCH(":",A94)+1)-SEARCH(":",A94)-1)</f>
        <v>#VALUE!</v>
      </c>
      <c r="D94" s="18"/>
      <c r="E94" s="18"/>
      <c r="F94" s="18" t="e">
        <f>DATEVALUE(SUBSTITUTE(LEFT(E94,SEARCH(" ",E94)-1),".","/"))</f>
        <v>#VALUE!</v>
      </c>
      <c r="G94" s="26">
        <f ca="1">IF(ISERROR(F94),TODAY(),F94)</f>
        <v>44432</v>
      </c>
      <c r="H94" s="18"/>
      <c r="I94" s="18"/>
      <c r="J94" s="28"/>
      <c r="K94" s="18"/>
      <c r="L94" s="18"/>
      <c r="M94" s="18"/>
      <c r="N94" s="18"/>
      <c r="O94" s="18"/>
      <c r="P94" s="18"/>
      <c r="Q94" s="18"/>
      <c r="R94" s="18"/>
      <c r="S94" s="18"/>
      <c r="T94" s="18"/>
      <c r="U94" s="18"/>
      <c r="V94" s="18"/>
      <c r="W94" s="18"/>
      <c r="X94" s="18"/>
      <c r="Y94" s="18"/>
      <c r="Z94" s="18"/>
      <c r="AA94" s="18"/>
      <c r="AB94" s="18"/>
    </row>
    <row r="95" spans="1:28" x14ac:dyDescent="0.25">
      <c r="A95" s="18"/>
      <c r="B95" s="18" t="e">
        <f xml:space="preserve"> MID(A95,SEARCH(":",A95)+2,SEARCH(":",A95,SEARCH(":",A95)+1)-SEARCH(":",A95)-3)</f>
        <v>#VALUE!</v>
      </c>
      <c r="C95" s="18" t="e">
        <f>"part:"&amp;MID(A95,SEARCH(":",A95)+1,SEARCH(":",A95,SEARCH(":",A95)+1)-SEARCH(":",A95)-1)</f>
        <v>#VALUE!</v>
      </c>
      <c r="D95" s="18"/>
      <c r="E95" s="18"/>
      <c r="F95" s="18" t="e">
        <f>DATEVALUE(SUBSTITUTE(LEFT(E95,SEARCH(" ",E95)-1),".","/"))</f>
        <v>#VALUE!</v>
      </c>
      <c r="G95" s="26">
        <f ca="1">IF(ISERROR(F95),TODAY(),F95)</f>
        <v>44432</v>
      </c>
      <c r="H95" s="18"/>
      <c r="I95" s="18"/>
      <c r="J95" s="28"/>
      <c r="K95" s="18"/>
      <c r="L95" s="18"/>
      <c r="M95" s="18"/>
      <c r="N95" s="18"/>
      <c r="O95" s="18"/>
      <c r="P95" s="18"/>
      <c r="Q95" s="18"/>
      <c r="R95" s="18"/>
      <c r="S95" s="18"/>
      <c r="T95" s="18"/>
      <c r="U95" s="18"/>
      <c r="V95" s="18"/>
      <c r="W95" s="18"/>
      <c r="X95" s="18"/>
      <c r="Y95" s="18"/>
      <c r="Z95" s="18"/>
      <c r="AA95" s="18"/>
      <c r="AB95" s="18"/>
    </row>
    <row r="96" spans="1:28" x14ac:dyDescent="0.25">
      <c r="A96" s="18"/>
      <c r="B96" s="18" t="e">
        <f xml:space="preserve"> MID(A96,SEARCH(":",A96)+2,SEARCH(":",A96,SEARCH(":",A96)+1)-SEARCH(":",A96)-3)</f>
        <v>#VALUE!</v>
      </c>
      <c r="C96" s="18" t="e">
        <f>"part:"&amp;MID(A96,SEARCH(":",A96)+1,SEARCH(":",A96,SEARCH(":",A96)+1)-SEARCH(":",A96)-1)</f>
        <v>#VALUE!</v>
      </c>
      <c r="D96" s="18"/>
      <c r="E96" s="18"/>
      <c r="F96" s="18" t="e">
        <f>DATEVALUE(SUBSTITUTE(LEFT(E96,SEARCH(" ",E96)-1),".","/"))</f>
        <v>#VALUE!</v>
      </c>
      <c r="G96" s="26">
        <f ca="1">IF(ISERROR(F96),TODAY(),F96)</f>
        <v>44432</v>
      </c>
      <c r="H96" s="18"/>
      <c r="I96" s="18"/>
      <c r="J96" s="28"/>
      <c r="K96" s="18"/>
      <c r="L96" s="18"/>
      <c r="M96" s="18"/>
      <c r="N96" s="18"/>
      <c r="O96" s="18"/>
      <c r="P96" s="18"/>
      <c r="Q96" s="18"/>
      <c r="R96" s="18"/>
      <c r="S96" s="18"/>
      <c r="T96" s="18"/>
      <c r="U96" s="18"/>
      <c r="V96" s="18"/>
      <c r="W96" s="18"/>
      <c r="X96" s="18"/>
      <c r="Y96" s="18"/>
      <c r="Z96" s="18"/>
      <c r="AA96" s="18"/>
      <c r="AB96" s="18"/>
    </row>
    <row r="97" spans="1:28" x14ac:dyDescent="0.25">
      <c r="A97" s="18"/>
      <c r="B97" s="18" t="e">
        <f xml:space="preserve"> MID(A97,SEARCH(":",A97)+2,SEARCH(":",A97,SEARCH(":",A97)+1)-SEARCH(":",A97)-3)</f>
        <v>#VALUE!</v>
      </c>
      <c r="C97" s="18" t="e">
        <f>"part:"&amp;MID(A97,SEARCH(":",A97)+1,SEARCH(":",A97,SEARCH(":",A97)+1)-SEARCH(":",A97)-1)</f>
        <v>#VALUE!</v>
      </c>
      <c r="D97" s="18"/>
      <c r="E97" s="18"/>
      <c r="F97" s="18" t="e">
        <f>DATEVALUE(SUBSTITUTE(LEFT(E97,SEARCH(" ",E97)-1),".","/"))</f>
        <v>#VALUE!</v>
      </c>
      <c r="G97" s="26">
        <f ca="1">IF(ISERROR(F97),TODAY(),F97)</f>
        <v>44432</v>
      </c>
      <c r="H97" s="18"/>
      <c r="I97" s="18"/>
      <c r="J97" s="28"/>
      <c r="K97" s="18"/>
      <c r="L97" s="18"/>
      <c r="M97" s="18"/>
      <c r="N97" s="18"/>
      <c r="O97" s="18"/>
      <c r="P97" s="18"/>
      <c r="Q97" s="18"/>
      <c r="R97" s="18"/>
      <c r="S97" s="18"/>
      <c r="T97" s="18"/>
      <c r="U97" s="18"/>
      <c r="V97" s="18"/>
      <c r="W97" s="18"/>
      <c r="X97" s="18"/>
      <c r="Y97" s="18"/>
      <c r="Z97" s="18"/>
      <c r="AA97" s="18"/>
      <c r="AB97" s="18"/>
    </row>
    <row r="98" spans="1:28" x14ac:dyDescent="0.25">
      <c r="A98" s="18"/>
      <c r="B98" s="18" t="e">
        <f xml:space="preserve"> MID(A98,SEARCH(":",A98)+2,SEARCH(":",A98,SEARCH(":",A98)+1)-SEARCH(":",A98)-3)</f>
        <v>#VALUE!</v>
      </c>
      <c r="C98" s="18" t="e">
        <f>"part:"&amp;MID(A98,SEARCH(":",A98)+1,SEARCH(":",A98,SEARCH(":",A98)+1)-SEARCH(":",A98)-1)</f>
        <v>#VALUE!</v>
      </c>
      <c r="D98" s="18"/>
      <c r="E98" s="18"/>
      <c r="F98" s="18" t="e">
        <f>DATEVALUE(SUBSTITUTE(LEFT(E98,SEARCH(" ",E98)-1),".","/"))</f>
        <v>#VALUE!</v>
      </c>
      <c r="G98" s="26">
        <f ca="1">IF(ISERROR(F98),TODAY(),F98)</f>
        <v>44432</v>
      </c>
      <c r="H98" s="18"/>
      <c r="I98" s="18"/>
      <c r="J98" s="28"/>
      <c r="K98" s="18"/>
      <c r="L98" s="18"/>
      <c r="M98" s="18"/>
      <c r="N98" s="18"/>
      <c r="O98" s="18"/>
      <c r="P98" s="18"/>
      <c r="Q98" s="18"/>
      <c r="R98" s="18"/>
      <c r="S98" s="18"/>
      <c r="T98" s="18"/>
      <c r="U98" s="18"/>
      <c r="V98" s="18"/>
      <c r="W98" s="18"/>
      <c r="X98" s="18"/>
      <c r="Y98" s="18"/>
      <c r="Z98" s="18"/>
      <c r="AA98" s="18"/>
      <c r="AB98" s="18"/>
    </row>
    <row r="99" spans="1:28" x14ac:dyDescent="0.25">
      <c r="A99" s="18"/>
      <c r="B99" s="18" t="e">
        <f xml:space="preserve"> MID(A99,SEARCH(":",A99)+2,SEARCH(":",A99,SEARCH(":",A99)+1)-SEARCH(":",A99)-3)</f>
        <v>#VALUE!</v>
      </c>
      <c r="C99" s="18" t="e">
        <f>"part:"&amp;MID(A99,SEARCH(":",A99)+1,SEARCH(":",A99,SEARCH(":",A99)+1)-SEARCH(":",A99)-1)</f>
        <v>#VALUE!</v>
      </c>
      <c r="D99" s="18"/>
      <c r="E99" s="18"/>
      <c r="F99" s="18" t="e">
        <f>DATEVALUE(SUBSTITUTE(LEFT(E99,SEARCH(" ",E99)-1),".","/"))</f>
        <v>#VALUE!</v>
      </c>
      <c r="G99" s="26">
        <f ca="1">IF(ISERROR(F99),TODAY(),F99)</f>
        <v>44432</v>
      </c>
      <c r="H99" s="18"/>
      <c r="I99" s="18"/>
      <c r="J99" s="28"/>
      <c r="K99" s="18"/>
      <c r="L99" s="18"/>
      <c r="M99" s="18"/>
      <c r="N99" s="18"/>
      <c r="O99" s="18"/>
      <c r="P99" s="18"/>
      <c r="Q99" s="18"/>
      <c r="R99" s="18"/>
      <c r="S99" s="18"/>
      <c r="T99" s="18"/>
      <c r="U99" s="18"/>
      <c r="V99" s="18"/>
      <c r="W99" s="18"/>
      <c r="X99" s="18"/>
      <c r="Y99" s="18"/>
      <c r="Z99" s="18"/>
      <c r="AA99" s="18"/>
      <c r="AB99" s="18"/>
    </row>
    <row r="100" spans="1:28" x14ac:dyDescent="0.25">
      <c r="A100" s="18"/>
      <c r="B100" s="18" t="e">
        <f xml:space="preserve"> MID(A100,SEARCH(":",A100)+2,SEARCH(":",A100,SEARCH(":",A100)+1)-SEARCH(":",A100)-3)</f>
        <v>#VALUE!</v>
      </c>
      <c r="C100" s="18" t="e">
        <f>"part:"&amp;MID(A100,SEARCH(":",A100)+1,SEARCH(":",A100,SEARCH(":",A100)+1)-SEARCH(":",A100)-1)</f>
        <v>#VALUE!</v>
      </c>
      <c r="D100" s="18"/>
      <c r="E100" s="18"/>
      <c r="F100" s="18" t="e">
        <f>DATEVALUE(SUBSTITUTE(LEFT(E100,SEARCH(" ",E100)-1),".","/"))</f>
        <v>#VALUE!</v>
      </c>
      <c r="G100" s="26">
        <f ca="1">IF(ISERROR(F100),TODAY(),F100)</f>
        <v>44432</v>
      </c>
      <c r="H100" s="18"/>
      <c r="I100" s="18"/>
      <c r="J100" s="28"/>
      <c r="K100" s="18"/>
      <c r="L100" s="18"/>
      <c r="M100" s="18"/>
      <c r="N100" s="18"/>
      <c r="O100" s="18"/>
      <c r="P100" s="18"/>
      <c r="Q100" s="18"/>
      <c r="R100" s="18"/>
      <c r="S100" s="18"/>
      <c r="T100" s="18"/>
      <c r="U100" s="18"/>
      <c r="V100" s="18"/>
      <c r="W100" s="18"/>
      <c r="X100" s="18"/>
      <c r="Y100" s="18"/>
      <c r="Z100" s="18"/>
      <c r="AA100" s="18"/>
      <c r="AB100" s="18"/>
    </row>
    <row r="101" spans="1:28" x14ac:dyDescent="0.25">
      <c r="A101" s="18"/>
      <c r="B101" s="18" t="e">
        <f xml:space="preserve"> MID(A101,SEARCH(":",A101)+2,SEARCH(":",A101,SEARCH(":",A101)+1)-SEARCH(":",A101)-3)</f>
        <v>#VALUE!</v>
      </c>
      <c r="C101" s="18" t="e">
        <f>"part:"&amp;MID(A101,SEARCH(":",A101)+1,SEARCH(":",A101,SEARCH(":",A101)+1)-SEARCH(":",A101)-1)</f>
        <v>#VALUE!</v>
      </c>
      <c r="D101" s="18"/>
      <c r="E101" s="18"/>
      <c r="F101" s="18" t="e">
        <f>DATEVALUE(SUBSTITUTE(LEFT(E101,SEARCH(" ",E101)-1),".","/"))</f>
        <v>#VALUE!</v>
      </c>
      <c r="G101" s="26">
        <f ca="1">IF(ISERROR(F101),TODAY(),F101)</f>
        <v>44432</v>
      </c>
      <c r="H101" s="18"/>
      <c r="I101" s="18"/>
      <c r="J101" s="28"/>
      <c r="K101" s="18"/>
      <c r="L101" s="18"/>
      <c r="M101" s="18"/>
      <c r="N101" s="18"/>
      <c r="O101" s="18"/>
      <c r="P101" s="18"/>
      <c r="Q101" s="18"/>
      <c r="R101" s="18"/>
      <c r="S101" s="18"/>
      <c r="T101" s="18"/>
      <c r="U101" s="18"/>
      <c r="V101" s="18"/>
      <c r="W101" s="18"/>
      <c r="X101" s="18"/>
      <c r="Y101" s="18"/>
      <c r="Z101" s="18"/>
      <c r="AA101" s="18"/>
      <c r="AB101" s="18"/>
    </row>
    <row r="102" spans="1:28" x14ac:dyDescent="0.25">
      <c r="A102" s="18"/>
      <c r="B102" s="18" t="e">
        <f xml:space="preserve"> MID(A102,SEARCH(":",A102)+2,SEARCH(":",A102,SEARCH(":",A102)+1)-SEARCH(":",A102)-3)</f>
        <v>#VALUE!</v>
      </c>
      <c r="C102" s="18" t="e">
        <f>"part:"&amp;MID(A102,SEARCH(":",A102)+1,SEARCH(":",A102,SEARCH(":",A102)+1)-SEARCH(":",A102)-1)</f>
        <v>#VALUE!</v>
      </c>
      <c r="D102" s="18"/>
      <c r="E102" s="18"/>
      <c r="F102" s="18" t="e">
        <f>DATEVALUE(SUBSTITUTE(LEFT(E102,SEARCH(" ",E102)-1),".","/"))</f>
        <v>#VALUE!</v>
      </c>
      <c r="G102" s="26">
        <f ca="1">IF(ISERROR(F102),TODAY(),F102)</f>
        <v>44432</v>
      </c>
      <c r="H102" s="18"/>
      <c r="I102" s="18"/>
      <c r="J102" s="28"/>
      <c r="K102" s="18"/>
      <c r="L102" s="18"/>
      <c r="M102" s="18"/>
      <c r="N102" s="18"/>
      <c r="O102" s="18"/>
      <c r="P102" s="18"/>
      <c r="Q102" s="18"/>
      <c r="R102" s="18"/>
      <c r="S102" s="18"/>
      <c r="T102" s="18"/>
      <c r="U102" s="18"/>
      <c r="V102" s="18"/>
      <c r="W102" s="18"/>
      <c r="X102" s="18"/>
      <c r="Y102" s="18"/>
      <c r="Z102" s="18"/>
      <c r="AA102" s="18"/>
      <c r="AB102" s="18"/>
    </row>
    <row r="103" spans="1:28" x14ac:dyDescent="0.25">
      <c r="A103" s="18"/>
      <c r="B103" s="18" t="e">
        <f xml:space="preserve"> MID(A103,SEARCH(":",A103)+2,SEARCH(":",A103,SEARCH(":",A103)+1)-SEARCH(":",A103)-3)</f>
        <v>#VALUE!</v>
      </c>
      <c r="C103" s="18" t="e">
        <f>"part:"&amp;MID(A103,SEARCH(":",A103)+1,SEARCH(":",A103,SEARCH(":",A103)+1)-SEARCH(":",A103)-1)</f>
        <v>#VALUE!</v>
      </c>
      <c r="D103" s="18"/>
      <c r="E103" s="18"/>
      <c r="F103" s="18" t="e">
        <f>DATEVALUE(SUBSTITUTE(LEFT(E103,SEARCH(" ",E103)-1),".","/"))</f>
        <v>#VALUE!</v>
      </c>
      <c r="G103" s="26">
        <f ca="1">IF(ISERROR(F103),TODAY(),F103)</f>
        <v>44432</v>
      </c>
      <c r="H103" s="18"/>
      <c r="I103" s="18"/>
      <c r="J103" s="28"/>
      <c r="K103" s="18"/>
      <c r="L103" s="18"/>
      <c r="M103" s="18"/>
      <c r="N103" s="18"/>
      <c r="O103" s="18"/>
      <c r="P103" s="18"/>
      <c r="Q103" s="18"/>
      <c r="R103" s="18"/>
      <c r="S103" s="18"/>
      <c r="T103" s="18"/>
      <c r="U103" s="18"/>
      <c r="V103" s="18"/>
      <c r="W103" s="18"/>
      <c r="X103" s="18"/>
      <c r="Y103" s="18"/>
      <c r="Z103" s="18"/>
      <c r="AA103" s="18"/>
      <c r="AB103" s="18"/>
    </row>
    <row r="104" spans="1:28" x14ac:dyDescent="0.25">
      <c r="A104" s="18"/>
      <c r="B104" s="18" t="e">
        <f xml:space="preserve"> MID(A104,SEARCH(":",A104)+2,SEARCH(":",A104,SEARCH(":",A104)+1)-SEARCH(":",A104)-3)</f>
        <v>#VALUE!</v>
      </c>
      <c r="C104" s="18" t="e">
        <f>"part:"&amp;MID(A104,SEARCH(":",A104)+1,SEARCH(":",A104,SEARCH(":",A104)+1)-SEARCH(":",A104)-1)</f>
        <v>#VALUE!</v>
      </c>
      <c r="D104" s="18"/>
      <c r="E104" s="18"/>
      <c r="F104" s="18" t="e">
        <f>DATEVALUE(SUBSTITUTE(LEFT(E104,SEARCH(" ",E104)-1),".","/"))</f>
        <v>#VALUE!</v>
      </c>
      <c r="G104" s="26">
        <f ca="1">IF(ISERROR(F104),TODAY(),F104)</f>
        <v>44432</v>
      </c>
      <c r="H104" s="18"/>
      <c r="I104" s="18"/>
      <c r="J104" s="28"/>
      <c r="K104" s="18"/>
      <c r="L104" s="18"/>
      <c r="M104" s="18"/>
      <c r="N104" s="18"/>
      <c r="O104" s="18"/>
      <c r="P104" s="18"/>
      <c r="Q104" s="18"/>
      <c r="R104" s="18"/>
      <c r="S104" s="18"/>
      <c r="T104" s="18"/>
      <c r="U104" s="18"/>
      <c r="V104" s="18"/>
      <c r="W104" s="18"/>
      <c r="X104" s="18"/>
      <c r="Y104" s="18"/>
      <c r="Z104" s="18"/>
      <c r="AA104" s="18"/>
      <c r="AB104" s="18"/>
    </row>
    <row r="105" spans="1:28" x14ac:dyDescent="0.25">
      <c r="A105" s="18"/>
      <c r="B105" s="18" t="e">
        <f xml:space="preserve"> MID(A105,SEARCH(":",A105)+2,SEARCH(":",A105,SEARCH(":",A105)+1)-SEARCH(":",A105)-3)</f>
        <v>#VALUE!</v>
      </c>
      <c r="C105" s="18" t="e">
        <f>"part:"&amp;MID(A105,SEARCH(":",A105)+1,SEARCH(":",A105,SEARCH(":",A105)+1)-SEARCH(":",A105)-1)</f>
        <v>#VALUE!</v>
      </c>
      <c r="D105" s="18"/>
      <c r="E105" s="18"/>
      <c r="F105" s="18" t="e">
        <f>DATEVALUE(SUBSTITUTE(LEFT(E105,SEARCH(" ",E105)-1),".","/"))</f>
        <v>#VALUE!</v>
      </c>
      <c r="G105" s="26">
        <f ca="1">IF(ISERROR(F105),TODAY(),F105)</f>
        <v>44432</v>
      </c>
      <c r="H105" s="18"/>
      <c r="I105" s="18"/>
      <c r="J105" s="28"/>
      <c r="K105" s="18"/>
      <c r="L105" s="18"/>
      <c r="M105" s="18"/>
      <c r="N105" s="18"/>
      <c r="O105" s="18"/>
      <c r="P105" s="18"/>
      <c r="Q105" s="18"/>
      <c r="R105" s="18"/>
      <c r="S105" s="18"/>
      <c r="T105" s="18"/>
      <c r="U105" s="18"/>
      <c r="V105" s="18"/>
      <c r="W105" s="18"/>
      <c r="X105" s="18"/>
      <c r="Y105" s="18"/>
      <c r="Z105" s="18"/>
      <c r="AA105" s="18"/>
      <c r="AB105" s="18"/>
    </row>
    <row r="106" spans="1:28" x14ac:dyDescent="0.25">
      <c r="A106" s="18"/>
      <c r="B106" s="18" t="e">
        <f xml:space="preserve"> MID(A106,SEARCH(":",A106)+2,SEARCH(":",A106,SEARCH(":",A106)+1)-SEARCH(":",A106)-3)</f>
        <v>#VALUE!</v>
      </c>
      <c r="C106" s="18" t="e">
        <f>"part:"&amp;MID(A106,SEARCH(":",A106)+1,SEARCH(":",A106,SEARCH(":",A106)+1)-SEARCH(":",A106)-1)</f>
        <v>#VALUE!</v>
      </c>
      <c r="D106" s="18"/>
      <c r="E106" s="18"/>
      <c r="F106" s="18" t="e">
        <f>DATEVALUE(SUBSTITUTE(LEFT(E106,SEARCH(" ",E106)-1),".","/"))</f>
        <v>#VALUE!</v>
      </c>
      <c r="G106" s="26">
        <f ca="1">IF(ISERROR(F106),TODAY(),F106)</f>
        <v>44432</v>
      </c>
      <c r="H106" s="18"/>
      <c r="I106" s="18"/>
      <c r="J106" s="28"/>
      <c r="K106" s="18"/>
      <c r="L106" s="18"/>
      <c r="M106" s="18"/>
      <c r="N106" s="18"/>
      <c r="O106" s="18"/>
      <c r="P106" s="18"/>
      <c r="Q106" s="18"/>
      <c r="R106" s="18"/>
      <c r="S106" s="18"/>
      <c r="T106" s="18"/>
      <c r="U106" s="18"/>
      <c r="V106" s="18"/>
      <c r="W106" s="18"/>
      <c r="X106" s="18"/>
      <c r="Y106" s="18"/>
      <c r="Z106" s="18"/>
      <c r="AA106" s="18"/>
      <c r="AB106" s="18"/>
    </row>
    <row r="107" spans="1:28" x14ac:dyDescent="0.25">
      <c r="A107" s="18"/>
      <c r="B107" s="18" t="e">
        <f xml:space="preserve"> MID(A107,SEARCH(":",A107)+2,SEARCH(":",A107,SEARCH(":",A107)+1)-SEARCH(":",A107)-3)</f>
        <v>#VALUE!</v>
      </c>
      <c r="C107" s="18" t="e">
        <f>"part:"&amp;MID(A107,SEARCH(":",A107)+1,SEARCH(":",A107,SEARCH(":",A107)+1)-SEARCH(":",A107)-1)</f>
        <v>#VALUE!</v>
      </c>
      <c r="D107" s="18"/>
      <c r="E107" s="18"/>
      <c r="F107" s="18" t="e">
        <f>DATEVALUE(SUBSTITUTE(LEFT(E107,SEARCH(" ",E107)-1),".","/"))</f>
        <v>#VALUE!</v>
      </c>
      <c r="G107" s="26">
        <f ca="1">IF(ISERROR(F107),TODAY(),F107)</f>
        <v>44432</v>
      </c>
      <c r="H107" s="18"/>
      <c r="I107" s="18"/>
      <c r="J107" s="28"/>
      <c r="K107" s="18"/>
      <c r="L107" s="18"/>
      <c r="M107" s="18"/>
      <c r="N107" s="18"/>
      <c r="O107" s="18"/>
      <c r="P107" s="18"/>
      <c r="Q107" s="18"/>
      <c r="R107" s="18"/>
      <c r="S107" s="18"/>
      <c r="T107" s="18"/>
      <c r="U107" s="18"/>
      <c r="V107" s="18"/>
      <c r="W107" s="18"/>
      <c r="X107" s="18"/>
      <c r="Y107" s="18"/>
      <c r="Z107" s="18"/>
      <c r="AA107" s="18"/>
      <c r="AB107" s="18"/>
    </row>
    <row r="108" spans="1:28" x14ac:dyDescent="0.25">
      <c r="A108" s="18"/>
      <c r="B108" s="18" t="e">
        <f xml:space="preserve"> MID(A108,SEARCH(":",A108)+2,SEARCH(":",A108,SEARCH(":",A108)+1)-SEARCH(":",A108)-3)</f>
        <v>#VALUE!</v>
      </c>
      <c r="C108" s="18" t="e">
        <f>"part:"&amp;MID(A108,SEARCH(":",A108)+1,SEARCH(":",A108,SEARCH(":",A108)+1)-SEARCH(":",A108)-1)</f>
        <v>#VALUE!</v>
      </c>
      <c r="D108" s="18"/>
      <c r="E108" s="18"/>
      <c r="F108" s="18" t="e">
        <f>DATEVALUE(SUBSTITUTE(LEFT(E108,SEARCH(" ",E108)-1),".","/"))</f>
        <v>#VALUE!</v>
      </c>
      <c r="G108" s="26">
        <f ca="1">IF(ISERROR(F108),TODAY(),F108)</f>
        <v>44432</v>
      </c>
      <c r="H108" s="18"/>
      <c r="I108" s="18"/>
      <c r="J108" s="28"/>
      <c r="K108" s="18"/>
      <c r="L108" s="18"/>
      <c r="M108" s="18"/>
      <c r="N108" s="18"/>
      <c r="O108" s="18"/>
      <c r="P108" s="18"/>
      <c r="Q108" s="18"/>
      <c r="R108" s="18"/>
      <c r="S108" s="18"/>
      <c r="T108" s="18"/>
      <c r="U108" s="18"/>
      <c r="V108" s="18"/>
      <c r="W108" s="18"/>
      <c r="X108" s="18"/>
      <c r="Y108" s="18"/>
      <c r="Z108" s="18"/>
      <c r="AA108" s="18"/>
      <c r="AB108" s="18"/>
    </row>
    <row r="109" spans="1:28" x14ac:dyDescent="0.25">
      <c r="A109" s="18"/>
      <c r="B109" s="18" t="e">
        <f xml:space="preserve"> MID(A109,SEARCH(":",A109)+2,SEARCH(":",A109,SEARCH(":",A109)+1)-SEARCH(":",A109)-3)</f>
        <v>#VALUE!</v>
      </c>
      <c r="C109" s="18" t="e">
        <f>"part:"&amp;MID(A109,SEARCH(":",A109)+1,SEARCH(":",A109,SEARCH(":",A109)+1)-SEARCH(":",A109)-1)</f>
        <v>#VALUE!</v>
      </c>
      <c r="D109" s="18"/>
      <c r="E109" s="18"/>
      <c r="F109" s="18" t="e">
        <f>DATEVALUE(SUBSTITUTE(LEFT(E109,SEARCH(" ",E109)-1),".","/"))</f>
        <v>#VALUE!</v>
      </c>
      <c r="G109" s="26">
        <f ca="1">IF(ISERROR(F109),TODAY(),F109)</f>
        <v>44432</v>
      </c>
      <c r="H109" s="18"/>
      <c r="I109" s="18"/>
      <c r="J109" s="28"/>
      <c r="K109" s="18"/>
      <c r="L109" s="18"/>
      <c r="M109" s="18"/>
      <c r="N109" s="18"/>
      <c r="O109" s="18"/>
      <c r="P109" s="18"/>
      <c r="Q109" s="18"/>
      <c r="R109" s="18"/>
      <c r="S109" s="18"/>
      <c r="T109" s="18"/>
      <c r="U109" s="18"/>
      <c r="V109" s="18"/>
      <c r="W109" s="18"/>
      <c r="X109" s="18"/>
      <c r="Y109" s="18"/>
      <c r="Z109" s="18"/>
      <c r="AA109" s="18"/>
      <c r="AB109" s="18"/>
    </row>
    <row r="110" spans="1:28" x14ac:dyDescent="0.25">
      <c r="A110" s="18"/>
      <c r="B110" s="18" t="e">
        <f xml:space="preserve"> MID(A110,SEARCH(":",A110)+2,SEARCH(":",A110,SEARCH(":",A110)+1)-SEARCH(":",A110)-3)</f>
        <v>#VALUE!</v>
      </c>
      <c r="C110" s="18" t="e">
        <f>"part:"&amp;MID(A110,SEARCH(":",A110)+1,SEARCH(":",A110,SEARCH(":",A110)+1)-SEARCH(":",A110)-1)</f>
        <v>#VALUE!</v>
      </c>
      <c r="D110" s="18"/>
      <c r="E110" s="18"/>
      <c r="F110" s="18" t="e">
        <f>DATEVALUE(SUBSTITUTE(LEFT(E110,SEARCH(" ",E110)-1),".","/"))</f>
        <v>#VALUE!</v>
      </c>
      <c r="G110" s="26">
        <f ca="1">IF(ISERROR(F110),TODAY(),F110)</f>
        <v>44432</v>
      </c>
      <c r="H110" s="18"/>
      <c r="I110" s="18"/>
      <c r="J110" s="28"/>
      <c r="K110" s="18"/>
      <c r="L110" s="18"/>
      <c r="M110" s="18"/>
      <c r="N110" s="18"/>
      <c r="O110" s="18"/>
      <c r="P110" s="18"/>
      <c r="Q110" s="18"/>
      <c r="R110" s="18"/>
      <c r="S110" s="18"/>
      <c r="T110" s="18"/>
      <c r="U110" s="18"/>
      <c r="V110" s="18"/>
      <c r="W110" s="18"/>
      <c r="X110" s="18"/>
      <c r="Y110" s="18"/>
      <c r="Z110" s="18"/>
      <c r="AA110" s="18"/>
      <c r="AB110" s="18"/>
    </row>
    <row r="111" spans="1:28" x14ac:dyDescent="0.25">
      <c r="A111" s="18"/>
      <c r="B111" s="18" t="e">
        <f xml:space="preserve"> MID(A111,SEARCH(":",A111)+2,SEARCH(":",A111,SEARCH(":",A111)+1)-SEARCH(":",A111)-3)</f>
        <v>#VALUE!</v>
      </c>
      <c r="C111" s="18" t="e">
        <f>"part:"&amp;MID(A111,SEARCH(":",A111)+1,SEARCH(":",A111,SEARCH(":",A111)+1)-SEARCH(":",A111)-1)</f>
        <v>#VALUE!</v>
      </c>
      <c r="D111" s="18"/>
      <c r="E111" s="18"/>
      <c r="F111" s="18" t="e">
        <f>DATEVALUE(SUBSTITUTE(LEFT(E111,SEARCH(" ",E111)-1),".","/"))</f>
        <v>#VALUE!</v>
      </c>
      <c r="G111" s="26">
        <f ca="1">IF(ISERROR(F111),TODAY(),F111)</f>
        <v>44432</v>
      </c>
      <c r="H111" s="18"/>
      <c r="I111" s="18"/>
      <c r="J111" s="28"/>
      <c r="K111" s="18"/>
      <c r="L111" s="18"/>
      <c r="M111" s="18"/>
      <c r="N111" s="18"/>
      <c r="O111" s="18"/>
      <c r="P111" s="18"/>
      <c r="Q111" s="18"/>
      <c r="R111" s="18"/>
      <c r="S111" s="18"/>
      <c r="T111" s="18"/>
      <c r="U111" s="18"/>
      <c r="V111" s="18"/>
      <c r="W111" s="18"/>
      <c r="X111" s="18"/>
      <c r="Y111" s="18"/>
      <c r="Z111" s="18"/>
      <c r="AA111" s="18"/>
      <c r="AB111" s="18"/>
    </row>
    <row r="112" spans="1:28" x14ac:dyDescent="0.25">
      <c r="A112" s="18"/>
      <c r="B112" s="18" t="e">
        <f xml:space="preserve"> MID(A112,SEARCH(":",A112)+2,SEARCH(":",A112,SEARCH(":",A112)+1)-SEARCH(":",A112)-3)</f>
        <v>#VALUE!</v>
      </c>
      <c r="C112" s="18" t="e">
        <f>"part:"&amp;MID(A112,SEARCH(":",A112)+1,SEARCH(":",A112,SEARCH(":",A112)+1)-SEARCH(":",A112)-1)</f>
        <v>#VALUE!</v>
      </c>
      <c r="D112" s="18"/>
      <c r="E112" s="18"/>
      <c r="F112" s="18" t="e">
        <f>DATEVALUE(SUBSTITUTE(LEFT(E112,SEARCH(" ",E112)-1),".","/"))</f>
        <v>#VALUE!</v>
      </c>
      <c r="G112" s="26">
        <f ca="1">IF(ISERROR(F112),TODAY(),F112)</f>
        <v>44432</v>
      </c>
      <c r="H112" s="18"/>
      <c r="I112" s="18"/>
      <c r="J112" s="28"/>
      <c r="K112" s="18"/>
      <c r="L112" s="18"/>
      <c r="M112" s="18"/>
      <c r="N112" s="18"/>
      <c r="O112" s="18"/>
      <c r="P112" s="18"/>
      <c r="Q112" s="18"/>
      <c r="R112" s="18"/>
      <c r="S112" s="18"/>
      <c r="T112" s="18"/>
      <c r="U112" s="18"/>
      <c r="V112" s="18"/>
      <c r="W112" s="18"/>
      <c r="X112" s="18"/>
      <c r="Y112" s="18"/>
      <c r="Z112" s="18"/>
      <c r="AA112" s="18"/>
      <c r="AB112" s="18"/>
    </row>
    <row r="113" spans="1:28" x14ac:dyDescent="0.25">
      <c r="A113" s="18"/>
      <c r="B113" s="18" t="e">
        <f xml:space="preserve"> MID(A113,SEARCH(":",A113)+2,SEARCH(":",A113,SEARCH(":",A113)+1)-SEARCH(":",A113)-3)</f>
        <v>#VALUE!</v>
      </c>
      <c r="C113" s="18" t="e">
        <f>"part:"&amp;MID(A113,SEARCH(":",A113)+1,SEARCH(":",A113,SEARCH(":",A113)+1)-SEARCH(":",A113)-1)</f>
        <v>#VALUE!</v>
      </c>
      <c r="D113" s="18"/>
      <c r="E113" s="18"/>
      <c r="F113" s="18" t="e">
        <f>DATEVALUE(SUBSTITUTE(LEFT(E113,SEARCH(" ",E113)-1),".","/"))</f>
        <v>#VALUE!</v>
      </c>
      <c r="G113" s="26">
        <f ca="1">IF(ISERROR(F113),TODAY(),F113)</f>
        <v>44432</v>
      </c>
      <c r="H113" s="18"/>
      <c r="I113" s="18"/>
      <c r="J113" s="28"/>
      <c r="K113" s="18"/>
      <c r="L113" s="18"/>
      <c r="M113" s="18"/>
      <c r="N113" s="18"/>
      <c r="O113" s="18"/>
      <c r="P113" s="18"/>
      <c r="Q113" s="18"/>
      <c r="R113" s="18"/>
      <c r="S113" s="18"/>
      <c r="T113" s="18"/>
      <c r="U113" s="18"/>
      <c r="V113" s="18"/>
      <c r="W113" s="18"/>
      <c r="X113" s="18"/>
      <c r="Y113" s="18"/>
      <c r="Z113" s="18"/>
      <c r="AA113" s="18"/>
      <c r="AB113" s="18"/>
    </row>
    <row r="114" spans="1:28" x14ac:dyDescent="0.25">
      <c r="A114" s="18"/>
      <c r="B114" s="18" t="e">
        <f xml:space="preserve"> MID(A114,SEARCH(":",A114)+2,SEARCH(":",A114,SEARCH(":",A114)+1)-SEARCH(":",A114)-3)</f>
        <v>#VALUE!</v>
      </c>
      <c r="C114" s="18" t="e">
        <f>"part:"&amp;MID(A114,SEARCH(":",A114)+1,SEARCH(":",A114,SEARCH(":",A114)+1)-SEARCH(":",A114)-1)</f>
        <v>#VALUE!</v>
      </c>
      <c r="D114" s="18"/>
      <c r="E114" s="18"/>
      <c r="F114" s="18" t="e">
        <f>DATEVALUE(SUBSTITUTE(LEFT(E114,SEARCH(" ",E114)-1),".","/"))</f>
        <v>#VALUE!</v>
      </c>
      <c r="G114" s="26">
        <f ca="1">IF(ISERROR(F114),TODAY(),F114)</f>
        <v>44432</v>
      </c>
      <c r="H114" s="18"/>
      <c r="I114" s="18"/>
      <c r="J114" s="28"/>
      <c r="K114" s="18"/>
      <c r="L114" s="18"/>
      <c r="M114" s="18"/>
      <c r="N114" s="18"/>
      <c r="O114" s="18"/>
      <c r="P114" s="18"/>
      <c r="Q114" s="18"/>
      <c r="R114" s="18"/>
      <c r="S114" s="18"/>
      <c r="T114" s="18"/>
      <c r="U114" s="18"/>
      <c r="V114" s="18"/>
      <c r="W114" s="18"/>
      <c r="X114" s="18"/>
      <c r="Y114" s="18"/>
      <c r="Z114" s="18"/>
      <c r="AA114" s="18"/>
      <c r="AB114" s="18"/>
    </row>
    <row r="115" spans="1:28" x14ac:dyDescent="0.25">
      <c r="A115" s="18"/>
      <c r="B115" s="18" t="e">
        <f xml:space="preserve"> MID(A115,SEARCH(":",A115)+2,SEARCH(":",A115,SEARCH(":",A115)+1)-SEARCH(":",A115)-3)</f>
        <v>#VALUE!</v>
      </c>
      <c r="C115" s="18" t="e">
        <f>"part:"&amp;MID(A115,SEARCH(":",A115)+1,SEARCH(":",A115,SEARCH(":",A115)+1)-SEARCH(":",A115)-1)</f>
        <v>#VALUE!</v>
      </c>
      <c r="D115" s="18"/>
      <c r="E115" s="18"/>
      <c r="F115" s="18" t="e">
        <f>DATEVALUE(SUBSTITUTE(LEFT(E115,SEARCH(" ",E115)-1),".","/"))</f>
        <v>#VALUE!</v>
      </c>
      <c r="G115" s="26">
        <f ca="1">IF(ISERROR(F115),TODAY(),F115)</f>
        <v>44432</v>
      </c>
      <c r="H115" s="18"/>
      <c r="I115" s="18"/>
      <c r="J115" s="28"/>
      <c r="K115" s="18"/>
      <c r="L115" s="18"/>
      <c r="M115" s="18"/>
      <c r="N115" s="18"/>
      <c r="O115" s="18"/>
      <c r="P115" s="18"/>
      <c r="Q115" s="18"/>
      <c r="R115" s="18"/>
      <c r="S115" s="18"/>
      <c r="T115" s="18"/>
      <c r="U115" s="18"/>
      <c r="V115" s="18"/>
      <c r="W115" s="18"/>
      <c r="X115" s="18"/>
      <c r="Y115" s="18"/>
      <c r="Z115" s="18"/>
      <c r="AA115" s="18"/>
      <c r="AB115" s="18"/>
    </row>
    <row r="116" spans="1:28" x14ac:dyDescent="0.25">
      <c r="A116" s="18"/>
      <c r="B116" s="18" t="e">
        <f xml:space="preserve"> MID(A116,SEARCH(":",A116)+2,SEARCH(":",A116,SEARCH(":",A116)+1)-SEARCH(":",A116)-3)</f>
        <v>#VALUE!</v>
      </c>
      <c r="C116" s="18" t="e">
        <f>"part:"&amp;MID(A116,SEARCH(":",A116)+1,SEARCH(":",A116,SEARCH(":",A116)+1)-SEARCH(":",A116)-1)</f>
        <v>#VALUE!</v>
      </c>
      <c r="D116" s="18"/>
      <c r="E116" s="18"/>
      <c r="F116" s="18" t="e">
        <f>DATEVALUE(SUBSTITUTE(LEFT(E116,SEARCH(" ",E116)-1),".","/"))</f>
        <v>#VALUE!</v>
      </c>
      <c r="G116" s="26">
        <f ca="1">IF(ISERROR(F116),TODAY(),F116)</f>
        <v>44432</v>
      </c>
      <c r="H116" s="18"/>
      <c r="I116" s="18"/>
      <c r="J116" s="28"/>
      <c r="K116" s="18"/>
      <c r="L116" s="18"/>
      <c r="M116" s="18"/>
      <c r="N116" s="18"/>
      <c r="O116" s="18"/>
      <c r="P116" s="18"/>
      <c r="Q116" s="18"/>
      <c r="R116" s="18"/>
      <c r="S116" s="18"/>
      <c r="T116" s="18"/>
      <c r="U116" s="18"/>
      <c r="V116" s="18"/>
      <c r="W116" s="18"/>
      <c r="X116" s="18"/>
      <c r="Y116" s="18"/>
      <c r="Z116" s="18"/>
      <c r="AA116" s="18"/>
      <c r="AB116" s="18"/>
    </row>
    <row r="117" spans="1:28" x14ac:dyDescent="0.25">
      <c r="A117" s="18"/>
      <c r="B117" s="18" t="e">
        <f xml:space="preserve"> MID(A117,SEARCH(":",A117)+2,SEARCH(":",A117,SEARCH(":",A117)+1)-SEARCH(":",A117)-3)</f>
        <v>#VALUE!</v>
      </c>
      <c r="C117" s="18" t="e">
        <f>"part:"&amp;MID(A117,SEARCH(":",A117)+1,SEARCH(":",A117,SEARCH(":",A117)+1)-SEARCH(":",A117)-1)</f>
        <v>#VALUE!</v>
      </c>
      <c r="D117" s="18"/>
      <c r="E117" s="18"/>
      <c r="F117" s="18" t="e">
        <f>DATEVALUE(SUBSTITUTE(LEFT(E117,SEARCH(" ",E117)-1),".","/"))</f>
        <v>#VALUE!</v>
      </c>
      <c r="G117" s="26">
        <f ca="1">IF(ISERROR(F117),TODAY(),F117)</f>
        <v>44432</v>
      </c>
      <c r="H117" s="18"/>
      <c r="I117" s="18"/>
      <c r="J117" s="28"/>
      <c r="K117" s="18"/>
      <c r="L117" s="18"/>
      <c r="M117" s="18"/>
      <c r="N117" s="18"/>
      <c r="O117" s="18"/>
      <c r="P117" s="18"/>
      <c r="Q117" s="18"/>
      <c r="R117" s="18"/>
      <c r="S117" s="18"/>
      <c r="T117" s="18"/>
      <c r="U117" s="18"/>
      <c r="V117" s="18"/>
      <c r="W117" s="18"/>
      <c r="X117" s="18"/>
      <c r="Y117" s="18"/>
      <c r="Z117" s="18"/>
      <c r="AA117" s="18"/>
      <c r="AB117" s="18"/>
    </row>
    <row r="118" spans="1:28" x14ac:dyDescent="0.25">
      <c r="A118" s="18"/>
      <c r="B118" s="18" t="e">
        <f xml:space="preserve"> MID(A118,SEARCH(":",A118)+2,SEARCH(":",A118,SEARCH(":",A118)+1)-SEARCH(":",A118)-3)</f>
        <v>#VALUE!</v>
      </c>
      <c r="C118" s="18" t="e">
        <f>"part:"&amp;MID(A118,SEARCH(":",A118)+1,SEARCH(":",A118,SEARCH(":",A118)+1)-SEARCH(":",A118)-1)</f>
        <v>#VALUE!</v>
      </c>
      <c r="D118" s="18"/>
      <c r="E118" s="18"/>
      <c r="F118" s="18" t="e">
        <f>DATEVALUE(SUBSTITUTE(LEFT(E118,SEARCH(" ",E118)-1),".","/"))</f>
        <v>#VALUE!</v>
      </c>
      <c r="G118" s="26"/>
      <c r="H118" s="18"/>
      <c r="I118" s="18"/>
      <c r="J118" s="28"/>
      <c r="K118" s="18"/>
      <c r="L118" s="18"/>
      <c r="M118" s="18"/>
      <c r="N118" s="18"/>
      <c r="O118" s="18"/>
      <c r="P118" s="18"/>
      <c r="Q118" s="18"/>
      <c r="R118" s="18"/>
      <c r="S118" s="18"/>
      <c r="T118" s="18"/>
      <c r="U118" s="18"/>
      <c r="V118" s="18"/>
      <c r="W118" s="18"/>
      <c r="X118" s="18"/>
      <c r="Y118" s="18"/>
      <c r="Z118" s="18"/>
      <c r="AA118" s="18"/>
      <c r="AB118" s="18"/>
    </row>
    <row r="119" spans="1:28" x14ac:dyDescent="0.25">
      <c r="A119" s="18"/>
      <c r="B119" s="18" t="e">
        <f xml:space="preserve"> MID(A119,SEARCH(":",A119)+2,SEARCH(":",A119,SEARCH(":",A119)+1)-SEARCH(":",A119)-3)</f>
        <v>#VALUE!</v>
      </c>
      <c r="C119" s="18" t="e">
        <f>"part:"&amp;MID(A119,SEARCH(":",A119)+1,SEARCH(":",A119,SEARCH(":",A119)+1)-SEARCH(":",A119)-1)</f>
        <v>#VALUE!</v>
      </c>
      <c r="D119" s="18"/>
      <c r="E119" s="18"/>
      <c r="F119" s="18" t="e">
        <f>DATEVALUE(SUBSTITUTE(LEFT(E119,SEARCH(" ",E119)-1),".","/"))</f>
        <v>#VALUE!</v>
      </c>
      <c r="G119" s="26"/>
      <c r="H119" s="18"/>
      <c r="I119" s="18"/>
      <c r="J119" s="28"/>
      <c r="K119" s="18"/>
      <c r="L119" s="18"/>
      <c r="M119" s="18"/>
      <c r="N119" s="18"/>
      <c r="O119" s="18"/>
      <c r="P119" s="18"/>
      <c r="Q119" s="18"/>
      <c r="R119" s="18"/>
      <c r="S119" s="18"/>
      <c r="T119" s="18"/>
      <c r="U119" s="18"/>
      <c r="V119" s="18"/>
      <c r="W119" s="18"/>
      <c r="X119" s="18"/>
      <c r="Y119" s="18"/>
      <c r="Z119" s="18"/>
      <c r="AA119" s="18"/>
      <c r="AB119" s="18"/>
    </row>
    <row r="120" spans="1:28" x14ac:dyDescent="0.25">
      <c r="A120" s="18"/>
      <c r="B120" s="18" t="e">
        <f xml:space="preserve"> MID(A120,SEARCH(":",A120)+2,SEARCH(":",A120,SEARCH(":",A120)+1)-SEARCH(":",A120)-3)</f>
        <v>#VALUE!</v>
      </c>
      <c r="C120" s="18" t="e">
        <f>"part:"&amp;MID(A120,SEARCH(":",A120)+1,SEARCH(":",A120,SEARCH(":",A120)+1)-SEARCH(":",A120)-1)</f>
        <v>#VALUE!</v>
      </c>
      <c r="D120" s="18"/>
      <c r="E120" s="18"/>
      <c r="F120" s="18" t="e">
        <f>DATEVALUE(SUBSTITUTE(LEFT(E120,SEARCH(" ",E120)-1),".","/"))</f>
        <v>#VALUE!</v>
      </c>
      <c r="G120" s="26"/>
      <c r="H120" s="18"/>
      <c r="I120" s="18"/>
      <c r="J120" s="28"/>
      <c r="K120" s="18"/>
      <c r="L120" s="18"/>
      <c r="M120" s="18"/>
      <c r="N120" s="18"/>
      <c r="O120" s="18"/>
      <c r="P120" s="18"/>
      <c r="Q120" s="18"/>
      <c r="R120" s="18"/>
      <c r="S120" s="18"/>
      <c r="T120" s="18"/>
      <c r="U120" s="18"/>
      <c r="V120" s="18"/>
      <c r="W120" s="18"/>
      <c r="X120" s="18"/>
      <c r="Y120" s="18"/>
      <c r="Z120" s="18"/>
      <c r="AA120" s="18"/>
      <c r="AB120" s="18"/>
    </row>
    <row r="121" spans="1:28" x14ac:dyDescent="0.25">
      <c r="A121" s="18"/>
      <c r="B121" s="18" t="e">
        <f xml:space="preserve"> MID(A121,SEARCH(":",A121)+2,SEARCH(":",A121,SEARCH(":",A121)+1)-SEARCH(":",A121)-3)</f>
        <v>#VALUE!</v>
      </c>
      <c r="C121" s="18" t="e">
        <f>"part:"&amp;MID(A121,SEARCH(":",A121)+1,SEARCH(":",A121,SEARCH(":",A121)+1)-SEARCH(":",A121)-1)</f>
        <v>#VALUE!</v>
      </c>
      <c r="D121" s="18"/>
      <c r="E121" s="18"/>
      <c r="F121" s="18" t="e">
        <f>DATEVALUE(SUBSTITUTE(LEFT(E121,SEARCH(" ",E121)-1),".","/"))</f>
        <v>#VALUE!</v>
      </c>
      <c r="G121" s="26"/>
      <c r="H121" s="18"/>
      <c r="I121" s="18"/>
      <c r="J121" s="28"/>
      <c r="K121" s="18"/>
      <c r="L121" s="18"/>
      <c r="M121" s="18"/>
      <c r="N121" s="18"/>
      <c r="O121" s="18"/>
      <c r="P121" s="18"/>
      <c r="Q121" s="18"/>
      <c r="R121" s="18"/>
      <c r="S121" s="18"/>
      <c r="T121" s="18"/>
      <c r="U121" s="18"/>
      <c r="V121" s="18"/>
      <c r="W121" s="18"/>
      <c r="X121" s="18"/>
      <c r="Y121" s="18"/>
      <c r="Z121" s="18"/>
      <c r="AA121" s="18"/>
      <c r="AB121" s="18"/>
    </row>
    <row r="122" spans="1:28" x14ac:dyDescent="0.25">
      <c r="A122" s="18"/>
      <c r="B122" s="18" t="e">
        <f xml:space="preserve"> MID(A122,SEARCH(":",A122)+2,SEARCH(":",A122,SEARCH(":",A122)+1)-SEARCH(":",A122)-3)</f>
        <v>#VALUE!</v>
      </c>
      <c r="C122" s="18" t="e">
        <f>"part:"&amp;MID(A122,SEARCH(":",A122)+1,SEARCH(":",A122,SEARCH(":",A122)+1)-SEARCH(":",A122)-1)</f>
        <v>#VALUE!</v>
      </c>
      <c r="D122" s="18"/>
      <c r="E122" s="18"/>
      <c r="F122" s="18" t="e">
        <f>DATEVALUE(SUBSTITUTE(LEFT(E122,SEARCH(" ",E122)-1),".","/"))</f>
        <v>#VALUE!</v>
      </c>
      <c r="G122" s="26"/>
      <c r="H122" s="18"/>
      <c r="I122" s="18"/>
      <c r="J122" s="28"/>
      <c r="K122" s="18"/>
      <c r="L122" s="18"/>
      <c r="M122" s="18"/>
      <c r="N122" s="18"/>
      <c r="O122" s="18"/>
      <c r="P122" s="18"/>
      <c r="Q122" s="18"/>
      <c r="R122" s="18"/>
      <c r="S122" s="18"/>
      <c r="T122" s="18"/>
      <c r="U122" s="18"/>
      <c r="V122" s="18"/>
      <c r="W122" s="18"/>
      <c r="X122" s="18"/>
      <c r="Y122" s="18"/>
      <c r="Z122" s="18"/>
      <c r="AA122" s="18"/>
      <c r="AB122" s="18"/>
    </row>
    <row r="123" spans="1:28" x14ac:dyDescent="0.25">
      <c r="A123" s="18"/>
      <c r="B123" s="18" t="e">
        <f xml:space="preserve"> MID(A123,SEARCH(":",A123)+2,SEARCH(":",A123,SEARCH(":",A123)+1)-SEARCH(":",A123)-3)</f>
        <v>#VALUE!</v>
      </c>
      <c r="C123" s="18" t="e">
        <f>"part:"&amp;MID(A123,SEARCH(":",A123)+1,SEARCH(":",A123,SEARCH(":",A123)+1)-SEARCH(":",A123)-1)</f>
        <v>#VALUE!</v>
      </c>
      <c r="D123" s="18"/>
      <c r="E123" s="18"/>
      <c r="F123" s="18" t="e">
        <f>DATEVALUE(SUBSTITUTE(LEFT(E123,SEARCH(" ",E123)-1),".","/"))</f>
        <v>#VALUE!</v>
      </c>
      <c r="G123" s="26"/>
      <c r="H123" s="18"/>
      <c r="I123" s="18"/>
      <c r="J123" s="28"/>
      <c r="K123" s="18"/>
      <c r="L123" s="18"/>
      <c r="M123" s="18"/>
      <c r="N123" s="18"/>
      <c r="O123" s="18"/>
      <c r="P123" s="18"/>
      <c r="Q123" s="18"/>
      <c r="R123" s="18"/>
      <c r="S123" s="18"/>
      <c r="T123" s="18"/>
      <c r="U123" s="18"/>
      <c r="V123" s="18"/>
      <c r="W123" s="18"/>
      <c r="X123" s="18"/>
      <c r="Y123" s="18"/>
      <c r="Z123" s="18"/>
      <c r="AA123" s="18"/>
      <c r="AB123" s="18"/>
    </row>
    <row r="124" spans="1:28" x14ac:dyDescent="0.25">
      <c r="A124" s="18"/>
      <c r="B124" s="18" t="e">
        <f xml:space="preserve"> MID(A124,SEARCH(":",A124)+2,SEARCH(":",A124,SEARCH(":",A124)+1)-SEARCH(":",A124)-3)</f>
        <v>#VALUE!</v>
      </c>
      <c r="C124" s="18" t="e">
        <f>"part:"&amp;MID(A124,SEARCH(":",A124)+1,SEARCH(":",A124,SEARCH(":",A124)+1)-SEARCH(":",A124)-1)</f>
        <v>#VALUE!</v>
      </c>
      <c r="D124" s="18"/>
      <c r="E124" s="18"/>
      <c r="F124" s="18" t="e">
        <f>DATEVALUE(SUBSTITUTE(LEFT(E124,SEARCH(" ",E124)-1),".","/"))</f>
        <v>#VALUE!</v>
      </c>
      <c r="G124" s="26"/>
      <c r="H124" s="18"/>
      <c r="I124" s="18"/>
      <c r="J124" s="28"/>
      <c r="K124" s="18"/>
      <c r="L124" s="18"/>
      <c r="M124" s="18"/>
      <c r="N124" s="18"/>
      <c r="O124" s="18"/>
      <c r="P124" s="18"/>
      <c r="Q124" s="18"/>
      <c r="R124" s="18"/>
      <c r="S124" s="18"/>
      <c r="T124" s="18"/>
      <c r="U124" s="18"/>
      <c r="V124" s="18"/>
      <c r="W124" s="18"/>
      <c r="X124" s="18"/>
      <c r="Y124" s="18"/>
      <c r="Z124" s="18"/>
      <c r="AA124" s="18"/>
      <c r="AB124" s="18"/>
    </row>
    <row r="125" spans="1:28" x14ac:dyDescent="0.25">
      <c r="A125" s="18"/>
      <c r="B125" s="18" t="e">
        <f xml:space="preserve"> MID(A125,SEARCH(":",A125)+2,SEARCH(":",A125,SEARCH(":",A125)+1)-SEARCH(":",A125)-3)</f>
        <v>#VALUE!</v>
      </c>
      <c r="C125" s="18" t="e">
        <f>"part:"&amp;MID(A125,SEARCH(":",A125)+1,SEARCH(":",A125,SEARCH(":",A125)+1)-SEARCH(":",A125)-1)</f>
        <v>#VALUE!</v>
      </c>
      <c r="D125" s="18"/>
      <c r="E125" s="18"/>
      <c r="F125" s="18" t="e">
        <f>DATEVALUE(SUBSTITUTE(LEFT(E125,SEARCH(" ",E125)-1),".","/"))</f>
        <v>#VALUE!</v>
      </c>
      <c r="G125" s="26"/>
      <c r="H125" s="18"/>
      <c r="I125" s="18"/>
      <c r="J125" s="28"/>
      <c r="K125" s="18"/>
      <c r="L125" s="18"/>
      <c r="M125" s="18"/>
      <c r="N125" s="18"/>
      <c r="O125" s="18"/>
      <c r="P125" s="18"/>
      <c r="Q125" s="18"/>
      <c r="R125" s="18"/>
      <c r="S125" s="18"/>
      <c r="T125" s="18"/>
      <c r="U125" s="18"/>
      <c r="V125" s="18"/>
      <c r="W125" s="18"/>
      <c r="X125" s="18"/>
      <c r="Y125" s="18"/>
      <c r="Z125" s="18"/>
      <c r="AA125" s="18"/>
      <c r="AB125" s="18"/>
    </row>
    <row r="126" spans="1:28" x14ac:dyDescent="0.25">
      <c r="A126" s="18"/>
      <c r="B126" s="18" t="e">
        <f xml:space="preserve"> MID(A126,SEARCH(":",A126)+2,SEARCH(":",A126,SEARCH(":",A126)+1)-SEARCH(":",A126)-3)</f>
        <v>#VALUE!</v>
      </c>
      <c r="C126" s="18" t="e">
        <f>"part:"&amp;MID(A126,SEARCH(":",A126)+1,SEARCH(":",A126,SEARCH(":",A126)+1)-SEARCH(":",A126)-1)</f>
        <v>#VALUE!</v>
      </c>
      <c r="D126" s="18"/>
      <c r="E126" s="18"/>
      <c r="F126" s="18" t="e">
        <f>DATEVALUE(SUBSTITUTE(LEFT(E126,SEARCH(" ",E126)-1),".","/"))</f>
        <v>#VALUE!</v>
      </c>
      <c r="G126" s="26"/>
      <c r="H126" s="18"/>
      <c r="I126" s="18"/>
      <c r="J126" s="28"/>
      <c r="K126" s="18"/>
      <c r="L126" s="18"/>
      <c r="M126" s="18"/>
      <c r="N126" s="18"/>
      <c r="O126" s="18"/>
      <c r="P126" s="18"/>
      <c r="Q126" s="18"/>
      <c r="R126" s="18"/>
      <c r="S126" s="18"/>
      <c r="T126" s="18"/>
      <c r="U126" s="18"/>
      <c r="V126" s="18"/>
      <c r="W126" s="18"/>
      <c r="X126" s="18"/>
      <c r="Y126" s="18"/>
      <c r="Z126" s="18"/>
      <c r="AA126" s="18"/>
      <c r="AB126" s="18"/>
    </row>
    <row r="127" spans="1:28" x14ac:dyDescent="0.25">
      <c r="A127" s="18"/>
      <c r="B127" s="18" t="e">
        <f xml:space="preserve"> MID(A127,SEARCH(":",A127)+2,SEARCH(":",A127,SEARCH(":",A127)+1)-SEARCH(":",A127)-3)</f>
        <v>#VALUE!</v>
      </c>
      <c r="C127" s="18" t="e">
        <f>"part:"&amp;MID(A127,SEARCH(":",A127)+1,SEARCH(":",A127,SEARCH(":",A127)+1)-SEARCH(":",A127)-1)</f>
        <v>#VALUE!</v>
      </c>
      <c r="D127" s="18"/>
      <c r="E127" s="18"/>
      <c r="F127" s="18" t="e">
        <f>DATEVALUE(SUBSTITUTE(LEFT(E127,SEARCH(" ",E127)-1),".","/"))</f>
        <v>#VALUE!</v>
      </c>
      <c r="G127" s="26"/>
      <c r="H127" s="18"/>
      <c r="I127" s="18"/>
      <c r="J127" s="28"/>
      <c r="K127" s="18"/>
      <c r="L127" s="18"/>
      <c r="M127" s="18"/>
      <c r="N127" s="18"/>
      <c r="O127" s="18"/>
      <c r="P127" s="18"/>
      <c r="Q127" s="18"/>
      <c r="R127" s="18"/>
      <c r="S127" s="18"/>
      <c r="T127" s="18"/>
      <c r="U127" s="18"/>
      <c r="V127" s="18"/>
      <c r="W127" s="18"/>
      <c r="X127" s="18"/>
      <c r="Y127" s="18"/>
      <c r="Z127" s="18"/>
      <c r="AA127" s="18"/>
      <c r="AB127" s="18"/>
    </row>
    <row r="128" spans="1:28" x14ac:dyDescent="0.25">
      <c r="A128" s="18"/>
      <c r="B128" s="18" t="e">
        <f xml:space="preserve"> MID(A128,SEARCH(":",A128)+2,SEARCH(":",A128,SEARCH(":",A128)+1)-SEARCH(":",A128)-3)</f>
        <v>#VALUE!</v>
      </c>
      <c r="C128" s="18" t="e">
        <f>"part:"&amp;MID(A128,SEARCH(":",A128)+1,SEARCH(":",A128,SEARCH(":",A128)+1)-SEARCH(":",A128)-1)</f>
        <v>#VALUE!</v>
      </c>
      <c r="D128" s="18"/>
      <c r="E128" s="18"/>
      <c r="F128" s="18" t="e">
        <f>DATEVALUE(SUBSTITUTE(LEFT(E128,SEARCH(" ",E128)-1),".","/"))</f>
        <v>#VALUE!</v>
      </c>
      <c r="G128" s="26"/>
      <c r="H128" s="18"/>
      <c r="I128" s="18"/>
      <c r="J128" s="28"/>
      <c r="K128" s="18"/>
      <c r="L128" s="18"/>
      <c r="M128" s="18"/>
      <c r="N128" s="18"/>
      <c r="O128" s="18"/>
      <c r="P128" s="18"/>
      <c r="Q128" s="18"/>
      <c r="R128" s="18"/>
      <c r="S128" s="18"/>
      <c r="T128" s="18"/>
      <c r="U128" s="18"/>
      <c r="V128" s="18"/>
      <c r="W128" s="18"/>
      <c r="X128" s="18"/>
      <c r="Y128" s="18"/>
      <c r="Z128" s="18"/>
      <c r="AA128" s="18"/>
      <c r="AB128" s="18"/>
    </row>
    <row r="129" spans="1:28" x14ac:dyDescent="0.25">
      <c r="A129" s="18"/>
      <c r="B129" s="18" t="e">
        <f xml:space="preserve"> MID(A129,SEARCH(":",A129)+2,SEARCH(":",A129,SEARCH(":",A129)+1)-SEARCH(":",A129)-3)</f>
        <v>#VALUE!</v>
      </c>
      <c r="C129" s="18" t="e">
        <f>"part:"&amp;MID(A129,SEARCH(":",A129)+1,SEARCH(":",A129,SEARCH(":",A129)+1)-SEARCH(":",A129)-1)</f>
        <v>#VALUE!</v>
      </c>
      <c r="D129" s="18"/>
      <c r="E129" s="18"/>
      <c r="F129" s="18" t="e">
        <f>DATEVALUE(SUBSTITUTE(LEFT(E129,SEARCH(" ",E129)-1),".","/"))</f>
        <v>#VALUE!</v>
      </c>
      <c r="G129" s="26"/>
      <c r="H129" s="18"/>
      <c r="I129" s="18"/>
      <c r="J129" s="28"/>
      <c r="K129" s="18"/>
      <c r="L129" s="18"/>
      <c r="M129" s="18"/>
      <c r="N129" s="18"/>
      <c r="O129" s="18"/>
      <c r="P129" s="18"/>
      <c r="Q129" s="18"/>
      <c r="R129" s="18"/>
      <c r="S129" s="18"/>
      <c r="T129" s="18"/>
      <c r="U129" s="18"/>
      <c r="V129" s="18"/>
      <c r="W129" s="18"/>
      <c r="X129" s="18"/>
      <c r="Y129" s="18"/>
      <c r="Z129" s="18"/>
      <c r="AA129" s="18"/>
      <c r="AB129" s="18"/>
    </row>
    <row r="130" spans="1:28" x14ac:dyDescent="0.25">
      <c r="A130" s="18"/>
      <c r="B130" s="18" t="e">
        <f xml:space="preserve"> MID(A130,SEARCH(":",A130)+2,SEARCH(":",A130,SEARCH(":",A130)+1)-SEARCH(":",A130)-3)</f>
        <v>#VALUE!</v>
      </c>
      <c r="C130" s="18" t="e">
        <f>"part:"&amp;MID(A130,SEARCH(":",A130)+1,SEARCH(":",A130,SEARCH(":",A130)+1)-SEARCH(":",A130)-1)</f>
        <v>#VALUE!</v>
      </c>
      <c r="D130" s="18"/>
      <c r="E130" s="18"/>
      <c r="F130" s="18" t="e">
        <f>DATEVALUE(SUBSTITUTE(LEFT(E130,SEARCH(" ",E130)-1),".","/"))</f>
        <v>#VALUE!</v>
      </c>
      <c r="G130" s="26"/>
      <c r="H130" s="18"/>
      <c r="I130" s="18"/>
      <c r="J130" s="28"/>
      <c r="K130" s="18"/>
      <c r="L130" s="18"/>
      <c r="M130" s="18"/>
      <c r="N130" s="18"/>
      <c r="O130" s="18"/>
      <c r="P130" s="18"/>
      <c r="Q130" s="18"/>
      <c r="R130" s="18"/>
      <c r="S130" s="18"/>
      <c r="T130" s="18"/>
      <c r="U130" s="18"/>
      <c r="V130" s="18"/>
      <c r="W130" s="18"/>
      <c r="X130" s="18"/>
      <c r="Y130" s="18"/>
      <c r="Z130" s="18"/>
      <c r="AA130" s="18"/>
      <c r="AB130" s="18"/>
    </row>
    <row r="131" spans="1:28" x14ac:dyDescent="0.25">
      <c r="A131" s="18"/>
      <c r="B131" s="18" t="e">
        <f xml:space="preserve"> MID(A131,SEARCH(":",A131)+2,SEARCH(":",A131,SEARCH(":",A131)+1)-SEARCH(":",A131)-3)</f>
        <v>#VALUE!</v>
      </c>
      <c r="C131" s="18" t="e">
        <f>"part:"&amp;MID(A131,SEARCH(":",A131)+1,SEARCH(":",A131,SEARCH(":",A131)+1)-SEARCH(":",A131)-1)</f>
        <v>#VALUE!</v>
      </c>
      <c r="D131" s="18"/>
      <c r="E131" s="18"/>
      <c r="F131" s="18" t="e">
        <f>DATEVALUE(SUBSTITUTE(LEFT(E131,SEARCH(" ",E131)-1),".","/"))</f>
        <v>#VALUE!</v>
      </c>
      <c r="G131" s="26"/>
      <c r="H131" s="18"/>
      <c r="I131" s="18"/>
      <c r="J131" s="28"/>
      <c r="K131" s="18"/>
      <c r="L131" s="18"/>
      <c r="M131" s="18"/>
      <c r="N131" s="18"/>
      <c r="O131" s="18"/>
      <c r="P131" s="18"/>
      <c r="Q131" s="18"/>
      <c r="R131" s="18"/>
      <c r="S131" s="18"/>
      <c r="T131" s="18"/>
      <c r="U131" s="18"/>
      <c r="V131" s="18"/>
      <c r="W131" s="18"/>
      <c r="X131" s="18"/>
      <c r="Y131" s="18"/>
      <c r="Z131" s="18"/>
      <c r="AA131" s="18"/>
      <c r="AB131" s="18"/>
    </row>
    <row r="132" spans="1:28" x14ac:dyDescent="0.25">
      <c r="A132" s="18"/>
      <c r="B132" s="18" t="e">
        <f xml:space="preserve"> MID(A132,SEARCH(":",A132)+2,SEARCH(":",A132,SEARCH(":",A132)+1)-SEARCH(":",A132)-3)</f>
        <v>#VALUE!</v>
      </c>
      <c r="C132" s="18" t="e">
        <f>"part:"&amp;MID(A132,SEARCH(":",A132)+1,SEARCH(":",A132,SEARCH(":",A132)+1)-SEARCH(":",A132)-1)</f>
        <v>#VALUE!</v>
      </c>
      <c r="D132" s="18"/>
      <c r="E132" s="18"/>
      <c r="F132" s="18" t="e">
        <f>DATEVALUE(SUBSTITUTE(LEFT(E132,SEARCH(" ",E132)-1),".","/"))</f>
        <v>#VALUE!</v>
      </c>
      <c r="G132" s="26"/>
      <c r="H132" s="18"/>
      <c r="I132" s="18"/>
      <c r="J132" s="28"/>
      <c r="K132" s="18"/>
      <c r="L132" s="18"/>
      <c r="M132" s="18"/>
      <c r="N132" s="18"/>
      <c r="O132" s="18"/>
      <c r="P132" s="18"/>
      <c r="Q132" s="18"/>
      <c r="R132" s="18"/>
      <c r="S132" s="18"/>
      <c r="T132" s="18"/>
      <c r="U132" s="18"/>
      <c r="V132" s="18"/>
      <c r="W132" s="18"/>
      <c r="X132" s="18"/>
      <c r="Y132" s="18"/>
      <c r="Z132" s="18"/>
      <c r="AA132" s="18"/>
      <c r="AB132" s="18"/>
    </row>
    <row r="133" spans="1:28" x14ac:dyDescent="0.25">
      <c r="A133" s="18"/>
      <c r="B133" s="18" t="e">
        <f xml:space="preserve"> MID(A133,SEARCH(":",A133)+2,SEARCH(":",A133,SEARCH(":",A133)+1)-SEARCH(":",A133)-3)</f>
        <v>#VALUE!</v>
      </c>
      <c r="C133" s="18" t="e">
        <f>"part:"&amp;MID(A133,SEARCH(":",A133)+1,SEARCH(":",A133,SEARCH(":",A133)+1)-SEARCH(":",A133)-1)</f>
        <v>#VALUE!</v>
      </c>
      <c r="D133" s="18"/>
      <c r="E133" s="18"/>
      <c r="F133" s="18" t="e">
        <f>DATEVALUE(SUBSTITUTE(LEFT(E133,SEARCH(" ",E133)-1),".","/"))</f>
        <v>#VALUE!</v>
      </c>
      <c r="G133" s="26"/>
      <c r="H133" s="18"/>
      <c r="I133" s="18"/>
      <c r="J133" s="28"/>
      <c r="K133" s="18"/>
      <c r="L133" s="18"/>
      <c r="M133" s="18"/>
      <c r="N133" s="18"/>
      <c r="O133" s="18"/>
      <c r="P133" s="18"/>
      <c r="Q133" s="18"/>
      <c r="R133" s="18"/>
      <c r="S133" s="18"/>
      <c r="T133" s="18"/>
      <c r="U133" s="18"/>
      <c r="V133" s="18"/>
      <c r="W133" s="18"/>
      <c r="X133" s="18"/>
      <c r="Y133" s="18"/>
      <c r="Z133" s="18"/>
      <c r="AA133" s="18"/>
      <c r="AB133" s="18"/>
    </row>
    <row r="134" spans="1:28" x14ac:dyDescent="0.25">
      <c r="A134" s="18"/>
      <c r="B134" s="18" t="e">
        <f xml:space="preserve"> MID(A134,SEARCH(":",A134)+2,SEARCH(":",A134,SEARCH(":",A134)+1)-SEARCH(":",A134)-3)</f>
        <v>#VALUE!</v>
      </c>
      <c r="C134" s="18" t="e">
        <f>"part:"&amp;MID(A134,SEARCH(":",A134)+1,SEARCH(":",A134,SEARCH(":",A134)+1)-SEARCH(":",A134)-1)</f>
        <v>#VALUE!</v>
      </c>
      <c r="D134" s="18"/>
      <c r="E134" s="18"/>
      <c r="F134" s="18" t="e">
        <f>DATEVALUE(SUBSTITUTE(LEFT(E134,SEARCH(" ",E134)-1),".","/"))</f>
        <v>#VALUE!</v>
      </c>
      <c r="G134" s="26"/>
      <c r="H134" s="18"/>
      <c r="I134" s="18"/>
      <c r="J134" s="28"/>
      <c r="K134" s="18"/>
      <c r="L134" s="18"/>
      <c r="M134" s="18"/>
      <c r="N134" s="18"/>
      <c r="O134" s="18"/>
      <c r="P134" s="18"/>
      <c r="Q134" s="18"/>
      <c r="R134" s="18"/>
      <c r="S134" s="18"/>
      <c r="T134" s="18"/>
      <c r="U134" s="18"/>
      <c r="V134" s="18"/>
      <c r="W134" s="18"/>
      <c r="X134" s="18"/>
      <c r="Y134" s="18"/>
      <c r="Z134" s="18"/>
      <c r="AA134" s="18"/>
      <c r="AB134" s="18"/>
    </row>
    <row r="135" spans="1:28" x14ac:dyDescent="0.25">
      <c r="A135" s="18"/>
      <c r="B135" s="18" t="e">
        <f xml:space="preserve"> MID(A135,SEARCH(":",A135)+2,SEARCH(":",A135,SEARCH(":",A135)+1)-SEARCH(":",A135)-3)</f>
        <v>#VALUE!</v>
      </c>
      <c r="C135" s="18" t="e">
        <f>"part:"&amp;MID(A135,SEARCH(":",A135)+1,SEARCH(":",A135,SEARCH(":",A135)+1)-SEARCH(":",A135)-1)</f>
        <v>#VALUE!</v>
      </c>
      <c r="D135" s="18"/>
      <c r="E135" s="18"/>
      <c r="F135" s="18" t="e">
        <f>DATEVALUE(SUBSTITUTE(LEFT(E135,SEARCH(" ",E135)-1),".","/"))</f>
        <v>#VALUE!</v>
      </c>
      <c r="G135" s="26"/>
      <c r="H135" s="18"/>
      <c r="I135" s="18"/>
      <c r="J135" s="28"/>
      <c r="K135" s="18"/>
      <c r="L135" s="18"/>
      <c r="M135" s="18"/>
      <c r="N135" s="18"/>
      <c r="O135" s="18"/>
      <c r="P135" s="18"/>
      <c r="Q135" s="18"/>
      <c r="R135" s="18"/>
      <c r="S135" s="18"/>
      <c r="T135" s="18"/>
      <c r="U135" s="18"/>
      <c r="V135" s="18"/>
      <c r="W135" s="18"/>
      <c r="X135" s="18"/>
      <c r="Y135" s="18"/>
      <c r="Z135" s="18"/>
      <c r="AA135" s="18"/>
      <c r="AB135" s="18"/>
    </row>
    <row r="136" spans="1:28" x14ac:dyDescent="0.25">
      <c r="A136" s="18"/>
      <c r="B136" s="18" t="e">
        <f xml:space="preserve"> MID(A136,SEARCH(":",A136)+2,SEARCH(":",A136,SEARCH(":",A136)+1)-SEARCH(":",A136)-3)</f>
        <v>#VALUE!</v>
      </c>
      <c r="C136" s="18" t="e">
        <f>"part:"&amp;MID(A136,SEARCH(":",A136)+1,SEARCH(":",A136,SEARCH(":",A136)+1)-SEARCH(":",A136)-1)</f>
        <v>#VALUE!</v>
      </c>
      <c r="D136" s="18"/>
      <c r="E136" s="18"/>
      <c r="F136" s="18" t="e">
        <f>DATEVALUE(SUBSTITUTE(LEFT(E136,SEARCH(" ",E136)-1),".","/"))</f>
        <v>#VALUE!</v>
      </c>
      <c r="G136" s="26"/>
      <c r="H136" s="18"/>
      <c r="I136" s="18"/>
      <c r="J136" s="28"/>
      <c r="K136" s="18"/>
      <c r="L136" s="18"/>
      <c r="M136" s="18"/>
      <c r="N136" s="18"/>
      <c r="O136" s="18"/>
      <c r="P136" s="18"/>
      <c r="Q136" s="18"/>
      <c r="R136" s="18"/>
      <c r="S136" s="18"/>
      <c r="T136" s="18"/>
      <c r="U136" s="18"/>
      <c r="V136" s="18"/>
      <c r="W136" s="18"/>
      <c r="X136" s="18"/>
      <c r="Y136" s="18"/>
      <c r="Z136" s="18"/>
      <c r="AA136" s="18"/>
      <c r="AB136" s="18"/>
    </row>
    <row r="137" spans="1:28" x14ac:dyDescent="0.25">
      <c r="A137" s="18"/>
      <c r="B137" s="18" t="e">
        <f xml:space="preserve"> MID(A137,SEARCH(":",A137)+2,SEARCH(":",A137,SEARCH(":",A137)+1)-SEARCH(":",A137)-3)</f>
        <v>#VALUE!</v>
      </c>
      <c r="C137" s="18" t="e">
        <f>"part:"&amp;MID(A137,SEARCH(":",A137)+1,SEARCH(":",A137,SEARCH(":",A137)+1)-SEARCH(":",A137)-1)</f>
        <v>#VALUE!</v>
      </c>
      <c r="D137" s="18"/>
      <c r="E137" s="18"/>
      <c r="F137" s="18" t="e">
        <f>DATEVALUE(SUBSTITUTE(LEFT(E137,SEARCH(" ",E137)-1),".","/"))</f>
        <v>#VALUE!</v>
      </c>
      <c r="G137" s="26"/>
      <c r="H137" s="18"/>
      <c r="I137" s="18"/>
      <c r="J137" s="28"/>
      <c r="K137" s="18"/>
      <c r="L137" s="18"/>
      <c r="M137" s="18"/>
      <c r="N137" s="18"/>
      <c r="O137" s="18"/>
      <c r="P137" s="18"/>
      <c r="Q137" s="18"/>
      <c r="R137" s="18"/>
      <c r="S137" s="18"/>
      <c r="T137" s="18"/>
      <c r="U137" s="18"/>
      <c r="V137" s="18"/>
      <c r="W137" s="18"/>
      <c r="X137" s="18"/>
      <c r="Y137" s="18"/>
      <c r="Z137" s="18"/>
      <c r="AA137" s="18"/>
      <c r="AB137" s="18"/>
    </row>
    <row r="138" spans="1:28" x14ac:dyDescent="0.25">
      <c r="A138" s="18"/>
      <c r="B138" s="18" t="e">
        <f xml:space="preserve"> MID(A138,SEARCH(":",A138)+2,SEARCH(":",A138,SEARCH(":",A138)+1)-SEARCH(":",A138)-3)</f>
        <v>#VALUE!</v>
      </c>
      <c r="C138" s="18" t="e">
        <f>"part:"&amp;MID(A138,SEARCH(":",A138)+1,SEARCH(":",A138,SEARCH(":",A138)+1)-SEARCH(":",A138)-1)</f>
        <v>#VALUE!</v>
      </c>
      <c r="D138" s="18"/>
      <c r="E138" s="18"/>
      <c r="F138" s="18" t="e">
        <f>DATEVALUE(SUBSTITUTE(LEFT(E138,SEARCH(" ",E138)-1),".","/"))</f>
        <v>#VALUE!</v>
      </c>
      <c r="G138" s="26"/>
      <c r="H138" s="18"/>
      <c r="I138" s="18"/>
      <c r="J138" s="28"/>
      <c r="K138" s="18"/>
      <c r="L138" s="18"/>
      <c r="M138" s="18"/>
      <c r="N138" s="18"/>
      <c r="O138" s="18"/>
      <c r="P138" s="18"/>
      <c r="Q138" s="18"/>
      <c r="R138" s="18"/>
      <c r="S138" s="18"/>
      <c r="T138" s="18"/>
      <c r="U138" s="18"/>
      <c r="V138" s="18"/>
      <c r="W138" s="18"/>
      <c r="X138" s="18"/>
      <c r="Y138" s="18"/>
      <c r="Z138" s="18"/>
      <c r="AA138" s="18"/>
      <c r="AB138" s="18"/>
    </row>
    <row r="139" spans="1:28" x14ac:dyDescent="0.25">
      <c r="A139" s="18"/>
      <c r="B139" s="18" t="e">
        <f xml:space="preserve"> MID(A139,SEARCH(":",A139)+2,SEARCH(":",A139,SEARCH(":",A139)+1)-SEARCH(":",A139)-3)</f>
        <v>#VALUE!</v>
      </c>
      <c r="C139" s="18" t="e">
        <f>"part:"&amp;MID(A139,SEARCH(":",A139)+1,SEARCH(":",A139,SEARCH(":",A139)+1)-SEARCH(":",A139)-1)</f>
        <v>#VALUE!</v>
      </c>
      <c r="D139" s="18"/>
      <c r="E139" s="18"/>
      <c r="F139" s="18" t="e">
        <f>DATEVALUE(SUBSTITUTE(LEFT(E139,SEARCH(" ",E139)-1),".","/"))</f>
        <v>#VALUE!</v>
      </c>
      <c r="G139" s="26"/>
      <c r="H139" s="18"/>
      <c r="I139" s="18"/>
      <c r="J139" s="28"/>
      <c r="K139" s="18"/>
      <c r="L139" s="18"/>
      <c r="M139" s="18"/>
      <c r="N139" s="18"/>
      <c r="O139" s="18"/>
      <c r="P139" s="18"/>
      <c r="Q139" s="18"/>
      <c r="R139" s="18"/>
      <c r="S139" s="18"/>
      <c r="T139" s="18"/>
      <c r="U139" s="18"/>
      <c r="V139" s="18"/>
      <c r="W139" s="18"/>
      <c r="X139" s="18"/>
      <c r="Y139" s="18"/>
      <c r="Z139" s="18"/>
      <c r="AA139" s="18"/>
      <c r="AB139" s="18"/>
    </row>
    <row r="140" spans="1:28" x14ac:dyDescent="0.25">
      <c r="A140" s="18"/>
      <c r="B140" s="18" t="e">
        <f xml:space="preserve"> MID(A140,SEARCH(":",A140)+2,SEARCH(":",A140,SEARCH(":",A140)+1)-SEARCH(":",A140)-3)</f>
        <v>#VALUE!</v>
      </c>
      <c r="C140" s="18" t="e">
        <f>"part:"&amp;MID(A140,SEARCH(":",A140)+1,SEARCH(":",A140,SEARCH(":",A140)+1)-SEARCH(":",A140)-1)</f>
        <v>#VALUE!</v>
      </c>
      <c r="D140" s="18"/>
      <c r="E140" s="18"/>
      <c r="F140" s="18" t="e">
        <f>DATEVALUE(SUBSTITUTE(LEFT(E140,SEARCH(" ",E140)-1),".","/"))</f>
        <v>#VALUE!</v>
      </c>
      <c r="G140" s="26"/>
      <c r="H140" s="18"/>
      <c r="I140" s="18"/>
      <c r="J140" s="28"/>
      <c r="K140" s="18"/>
      <c r="L140" s="18"/>
      <c r="M140" s="18"/>
      <c r="N140" s="18"/>
      <c r="O140" s="18"/>
      <c r="P140" s="18"/>
      <c r="Q140" s="18"/>
      <c r="R140" s="18"/>
      <c r="S140" s="18"/>
      <c r="T140" s="18"/>
      <c r="U140" s="18"/>
      <c r="V140" s="18"/>
      <c r="W140" s="18"/>
      <c r="X140" s="18"/>
      <c r="Y140" s="18"/>
      <c r="Z140" s="18"/>
      <c r="AA140" s="18"/>
      <c r="AB140" s="18"/>
    </row>
    <row r="141" spans="1:28" x14ac:dyDescent="0.25">
      <c r="A141" s="18"/>
      <c r="B141" s="18" t="e">
        <f xml:space="preserve"> MID(A141,SEARCH(":",A141)+2,SEARCH(":",A141,SEARCH(":",A141)+1)-SEARCH(":",A141)-3)</f>
        <v>#VALUE!</v>
      </c>
      <c r="C141" s="18" t="e">
        <f>"part:"&amp;MID(A141,SEARCH(":",A141)+1,SEARCH(":",A141,SEARCH(":",A141)+1)-SEARCH(":",A141)-1)</f>
        <v>#VALUE!</v>
      </c>
      <c r="D141" s="18"/>
      <c r="E141" s="18"/>
      <c r="F141" s="18" t="e">
        <f>DATEVALUE(SUBSTITUTE(LEFT(E141,SEARCH(" ",E141)-1),".","/"))</f>
        <v>#VALUE!</v>
      </c>
      <c r="G141" s="26"/>
      <c r="H141" s="18"/>
      <c r="I141" s="18"/>
      <c r="J141" s="28"/>
      <c r="K141" s="18"/>
      <c r="L141" s="18"/>
      <c r="M141" s="18"/>
      <c r="N141" s="18"/>
      <c r="O141" s="18"/>
      <c r="P141" s="18"/>
      <c r="Q141" s="18"/>
      <c r="R141" s="18"/>
      <c r="S141" s="18"/>
      <c r="T141" s="18"/>
      <c r="U141" s="18"/>
      <c r="V141" s="18"/>
      <c r="W141" s="18"/>
      <c r="X141" s="18"/>
      <c r="Y141" s="18"/>
      <c r="Z141" s="18"/>
      <c r="AA141" s="18"/>
      <c r="AB141" s="18"/>
    </row>
    <row r="142" spans="1:28" x14ac:dyDescent="0.25">
      <c r="A142" s="18"/>
      <c r="B142" s="18" t="e">
        <f xml:space="preserve"> MID(A142,SEARCH(":",A142)+2,SEARCH(":",A142,SEARCH(":",A142)+1)-SEARCH(":",A142)-3)</f>
        <v>#VALUE!</v>
      </c>
      <c r="C142" s="18" t="e">
        <f>"part:"&amp;MID(A142,SEARCH(":",A142)+1,SEARCH(":",A142,SEARCH(":",A142)+1)-SEARCH(":",A142)-1)</f>
        <v>#VALUE!</v>
      </c>
      <c r="D142" s="18"/>
      <c r="E142" s="18"/>
      <c r="F142" s="18" t="e">
        <f>DATEVALUE(SUBSTITUTE(LEFT(E142,SEARCH(" ",E142)-1),".","/"))</f>
        <v>#VALUE!</v>
      </c>
      <c r="G142" s="26"/>
      <c r="H142" s="18"/>
      <c r="I142" s="18"/>
      <c r="J142" s="28"/>
      <c r="K142" s="18"/>
      <c r="L142" s="18"/>
      <c r="M142" s="18"/>
      <c r="N142" s="18"/>
      <c r="O142" s="18"/>
      <c r="P142" s="18"/>
      <c r="Q142" s="18"/>
      <c r="R142" s="18"/>
      <c r="S142" s="18"/>
      <c r="T142" s="18"/>
      <c r="U142" s="18"/>
      <c r="V142" s="18"/>
      <c r="W142" s="18"/>
      <c r="X142" s="18"/>
      <c r="Y142" s="18"/>
      <c r="Z142" s="18"/>
      <c r="AA142" s="18"/>
      <c r="AB142" s="18"/>
    </row>
    <row r="143" spans="1:28" x14ac:dyDescent="0.25">
      <c r="A143" s="18"/>
      <c r="B143" s="18" t="e">
        <f xml:space="preserve"> MID(A143,SEARCH(":",A143)+2,SEARCH(":",A143,SEARCH(":",A143)+1)-SEARCH(":",A143)-3)</f>
        <v>#VALUE!</v>
      </c>
      <c r="C143" s="18" t="e">
        <f>"part:"&amp;MID(A143,SEARCH(":",A143)+1,SEARCH(":",A143,SEARCH(":",A143)+1)-SEARCH(":",A143)-1)</f>
        <v>#VALUE!</v>
      </c>
      <c r="D143" s="18"/>
      <c r="E143" s="18"/>
      <c r="F143" s="18" t="e">
        <f>DATEVALUE(SUBSTITUTE(LEFT(E143,SEARCH(" ",E143)-1),".","/"))</f>
        <v>#VALUE!</v>
      </c>
      <c r="G143" s="26"/>
      <c r="H143" s="18"/>
      <c r="I143" s="18"/>
      <c r="J143" s="28"/>
      <c r="K143" s="18"/>
      <c r="L143" s="18"/>
      <c r="M143" s="18"/>
      <c r="N143" s="18"/>
      <c r="O143" s="18"/>
      <c r="P143" s="18"/>
      <c r="Q143" s="18"/>
      <c r="R143" s="18"/>
      <c r="S143" s="18"/>
      <c r="T143" s="18"/>
      <c r="U143" s="18"/>
      <c r="V143" s="18"/>
      <c r="W143" s="18"/>
      <c r="X143" s="18"/>
      <c r="Y143" s="18"/>
      <c r="Z143" s="18"/>
      <c r="AA143" s="18"/>
      <c r="AB143" s="18"/>
    </row>
    <row r="144" spans="1:28" x14ac:dyDescent="0.25">
      <c r="A144" s="18"/>
      <c r="B144" s="18" t="e">
        <f xml:space="preserve"> MID(A144,SEARCH(":",A144)+2,SEARCH(":",A144,SEARCH(":",A144)+1)-SEARCH(":",A144)-3)</f>
        <v>#VALUE!</v>
      </c>
      <c r="C144" s="18" t="e">
        <f>"part:"&amp;MID(A144,SEARCH(":",A144)+1,SEARCH(":",A144,SEARCH(":",A144)+1)-SEARCH(":",A144)-1)</f>
        <v>#VALUE!</v>
      </c>
      <c r="D144" s="18"/>
      <c r="E144" s="18"/>
      <c r="F144" s="18" t="e">
        <f>DATEVALUE(SUBSTITUTE(LEFT(E144,SEARCH(" ",E144)-1),".","/"))</f>
        <v>#VALUE!</v>
      </c>
      <c r="G144" s="26"/>
      <c r="H144" s="18"/>
      <c r="I144" s="18"/>
      <c r="J144" s="28"/>
      <c r="K144" s="18"/>
      <c r="L144" s="18"/>
      <c r="M144" s="18"/>
      <c r="N144" s="18"/>
      <c r="O144" s="18"/>
      <c r="P144" s="18"/>
      <c r="Q144" s="18"/>
      <c r="R144" s="18"/>
      <c r="S144" s="18"/>
      <c r="T144" s="18"/>
      <c r="U144" s="18"/>
      <c r="V144" s="18"/>
      <c r="W144" s="18"/>
      <c r="X144" s="18"/>
      <c r="Y144" s="18"/>
      <c r="Z144" s="18"/>
      <c r="AA144" s="18"/>
      <c r="AB144" s="18"/>
    </row>
    <row r="145" spans="1:28" x14ac:dyDescent="0.25">
      <c r="A145" s="18"/>
      <c r="B145" s="18" t="e">
        <f xml:space="preserve"> MID(A145,SEARCH(":",A145)+2,SEARCH(":",A145,SEARCH(":",A145)+1)-SEARCH(":",A145)-3)</f>
        <v>#VALUE!</v>
      </c>
      <c r="C145" s="18" t="e">
        <f>"part:"&amp;MID(A145,SEARCH(":",A145)+1,SEARCH(":",A145,SEARCH(":",A145)+1)-SEARCH(":",A145)-1)</f>
        <v>#VALUE!</v>
      </c>
      <c r="D145" s="18"/>
      <c r="E145" s="18"/>
      <c r="F145" s="18" t="e">
        <f>DATEVALUE(SUBSTITUTE(LEFT(E145,SEARCH(" ",E145)-1),".","/"))</f>
        <v>#VALUE!</v>
      </c>
      <c r="G145" s="26"/>
      <c r="H145" s="18"/>
      <c r="I145" s="18"/>
      <c r="J145" s="28"/>
      <c r="K145" s="18"/>
      <c r="L145" s="18"/>
      <c r="M145" s="18"/>
      <c r="N145" s="18"/>
      <c r="O145" s="18"/>
      <c r="P145" s="18"/>
      <c r="Q145" s="18"/>
      <c r="R145" s="18"/>
      <c r="S145" s="18"/>
      <c r="T145" s="18"/>
      <c r="U145" s="18"/>
      <c r="V145" s="18"/>
      <c r="W145" s="18"/>
      <c r="X145" s="18"/>
      <c r="Y145" s="18"/>
      <c r="Z145" s="18"/>
      <c r="AA145" s="18"/>
      <c r="AB145" s="18"/>
    </row>
    <row r="146" spans="1:28" x14ac:dyDescent="0.25">
      <c r="A146" s="18"/>
      <c r="B146" s="18" t="e">
        <f xml:space="preserve"> MID(A146,SEARCH(":",A146)+2,SEARCH(":",A146,SEARCH(":",A146)+1)-SEARCH(":",A146)-3)</f>
        <v>#VALUE!</v>
      </c>
      <c r="C146" s="18" t="e">
        <f>"part:"&amp;MID(A146,SEARCH(":",A146)+1,SEARCH(":",A146,SEARCH(":",A146)+1)-SEARCH(":",A146)-1)</f>
        <v>#VALUE!</v>
      </c>
      <c r="D146" s="18"/>
      <c r="E146" s="18"/>
      <c r="F146" s="18" t="e">
        <f>DATEVALUE(SUBSTITUTE(LEFT(E146,SEARCH(" ",E146)-1),".","/"))</f>
        <v>#VALUE!</v>
      </c>
      <c r="G146" s="26"/>
      <c r="H146" s="18"/>
      <c r="I146" s="18"/>
      <c r="J146" s="28"/>
      <c r="K146" s="18"/>
      <c r="L146" s="18"/>
      <c r="M146" s="18"/>
      <c r="N146" s="18"/>
      <c r="O146" s="18"/>
      <c r="P146" s="18"/>
      <c r="Q146" s="18"/>
      <c r="R146" s="18"/>
      <c r="S146" s="18"/>
      <c r="T146" s="18"/>
      <c r="U146" s="18"/>
      <c r="V146" s="18"/>
      <c r="W146" s="18"/>
      <c r="X146" s="18"/>
      <c r="Y146" s="18"/>
      <c r="Z146" s="18"/>
      <c r="AA146" s="18"/>
      <c r="AB146" s="18"/>
    </row>
    <row r="147" spans="1:28" x14ac:dyDescent="0.25">
      <c r="A147" s="18"/>
      <c r="B147" s="18" t="e">
        <f xml:space="preserve"> MID(A147,SEARCH(":",A147)+2,SEARCH(":",A147,SEARCH(":",A147)+1)-SEARCH(":",A147)-3)</f>
        <v>#VALUE!</v>
      </c>
      <c r="C147" s="18" t="e">
        <f>"part:"&amp;MID(A147,SEARCH(":",A147)+1,SEARCH(":",A147,SEARCH(":",A147)+1)-SEARCH(":",A147)-1)</f>
        <v>#VALUE!</v>
      </c>
      <c r="D147" s="18"/>
      <c r="E147" s="18"/>
      <c r="F147" s="18" t="e">
        <f>DATEVALUE(SUBSTITUTE(LEFT(E147,SEARCH(" ",E147)-1),".","/"))</f>
        <v>#VALUE!</v>
      </c>
      <c r="G147" s="26"/>
      <c r="H147" s="18"/>
      <c r="I147" s="18"/>
      <c r="J147" s="28"/>
      <c r="K147" s="18"/>
      <c r="L147" s="18"/>
      <c r="M147" s="18"/>
      <c r="N147" s="18"/>
      <c r="O147" s="18"/>
      <c r="P147" s="18"/>
      <c r="Q147" s="18"/>
      <c r="R147" s="18"/>
      <c r="S147" s="18"/>
      <c r="T147" s="18"/>
      <c r="U147" s="18"/>
      <c r="V147" s="18"/>
      <c r="W147" s="18"/>
      <c r="X147" s="18"/>
      <c r="Y147" s="18"/>
      <c r="Z147" s="18"/>
      <c r="AA147" s="18"/>
      <c r="AB147" s="18"/>
    </row>
    <row r="148" spans="1:28" x14ac:dyDescent="0.25">
      <c r="A148" s="18"/>
      <c r="B148" s="18" t="e">
        <f xml:space="preserve"> MID(A148,SEARCH(":",A148)+2,SEARCH(":",A148,SEARCH(":",A148)+1)-SEARCH(":",A148)-3)</f>
        <v>#VALUE!</v>
      </c>
      <c r="C148" s="18" t="e">
        <f>"part:"&amp;MID(A148,SEARCH(":",A148)+1,SEARCH(":",A148,SEARCH(":",A148)+1)-SEARCH(":",A148)-1)</f>
        <v>#VALUE!</v>
      </c>
      <c r="D148" s="18"/>
      <c r="E148" s="18"/>
      <c r="F148" s="18" t="e">
        <f>DATEVALUE(SUBSTITUTE(LEFT(E148,SEARCH(" ",E148)-1),".","/"))</f>
        <v>#VALUE!</v>
      </c>
      <c r="G148" s="26"/>
      <c r="H148" s="18"/>
      <c r="I148" s="18"/>
      <c r="J148" s="28"/>
      <c r="K148" s="18"/>
      <c r="L148" s="18"/>
      <c r="M148" s="18"/>
      <c r="N148" s="18"/>
      <c r="O148" s="18"/>
      <c r="P148" s="18"/>
      <c r="Q148" s="18"/>
      <c r="R148" s="18"/>
      <c r="S148" s="18"/>
      <c r="T148" s="18"/>
      <c r="U148" s="18"/>
      <c r="V148" s="18"/>
      <c r="W148" s="18"/>
      <c r="X148" s="18"/>
      <c r="Y148" s="18"/>
      <c r="Z148" s="18"/>
      <c r="AA148" s="18"/>
      <c r="AB148" s="18"/>
    </row>
    <row r="149" spans="1:28" x14ac:dyDescent="0.25">
      <c r="A149" s="18"/>
      <c r="B149" s="18" t="e">
        <f xml:space="preserve"> MID(A149,SEARCH(":",A149)+2,SEARCH(":",A149,SEARCH(":",A149)+1)-SEARCH(":",A149)-3)</f>
        <v>#VALUE!</v>
      </c>
      <c r="C149" s="18" t="e">
        <f>"part:"&amp;MID(A149,SEARCH(":",A149)+1,SEARCH(":",A149,SEARCH(":",A149)+1)-SEARCH(":",A149)-1)</f>
        <v>#VALUE!</v>
      </c>
      <c r="D149" s="18"/>
      <c r="E149" s="18"/>
      <c r="F149" s="18" t="e">
        <f>DATEVALUE(SUBSTITUTE(LEFT(E149,SEARCH(" ",E149)-1),".","/"))</f>
        <v>#VALUE!</v>
      </c>
      <c r="G149" s="26"/>
      <c r="H149" s="18"/>
      <c r="I149" s="18"/>
      <c r="J149" s="28"/>
      <c r="K149" s="18"/>
      <c r="L149" s="18"/>
      <c r="M149" s="18"/>
      <c r="N149" s="18"/>
      <c r="O149" s="18"/>
      <c r="P149" s="18"/>
      <c r="Q149" s="18"/>
      <c r="R149" s="18"/>
      <c r="S149" s="18"/>
      <c r="T149" s="18"/>
      <c r="U149" s="18"/>
      <c r="V149" s="18"/>
      <c r="W149" s="18"/>
      <c r="X149" s="18"/>
      <c r="Y149" s="18"/>
      <c r="Z149" s="18"/>
      <c r="AA149" s="18"/>
      <c r="AB149" s="18"/>
    </row>
    <row r="150" spans="1:28" x14ac:dyDescent="0.25">
      <c r="A150" s="18"/>
      <c r="B150" s="18" t="e">
        <f xml:space="preserve"> MID(A150,SEARCH(":",A150)+2,SEARCH(":",A150,SEARCH(":",A150)+1)-SEARCH(":",A150)-3)</f>
        <v>#VALUE!</v>
      </c>
      <c r="C150" s="18" t="e">
        <f>"part:"&amp;MID(A150,SEARCH(":",A150)+1,SEARCH(":",A150,SEARCH(":",A150)+1)-SEARCH(":",A150)-1)</f>
        <v>#VALUE!</v>
      </c>
      <c r="D150" s="18"/>
      <c r="E150" s="18"/>
      <c r="F150" s="18" t="e">
        <f>DATEVALUE(SUBSTITUTE(LEFT(E150,SEARCH(" ",E150)-1),".","/"))</f>
        <v>#VALUE!</v>
      </c>
      <c r="G150" s="26"/>
      <c r="H150" s="18"/>
      <c r="I150" s="18"/>
      <c r="J150" s="28"/>
      <c r="K150" s="18"/>
      <c r="L150" s="18"/>
      <c r="M150" s="18"/>
      <c r="N150" s="18"/>
      <c r="O150" s="18"/>
      <c r="P150" s="18"/>
      <c r="Q150" s="18"/>
      <c r="R150" s="18"/>
      <c r="S150" s="18"/>
      <c r="T150" s="18"/>
      <c r="U150" s="18"/>
      <c r="V150" s="18"/>
      <c r="W150" s="18"/>
      <c r="X150" s="18"/>
      <c r="Y150" s="18"/>
      <c r="Z150" s="18"/>
      <c r="AA150" s="18"/>
      <c r="AB150" s="18"/>
    </row>
    <row r="151" spans="1:28" x14ac:dyDescent="0.25">
      <c r="A151" s="18"/>
      <c r="B151" s="18" t="e">
        <f xml:space="preserve"> MID(A151,SEARCH(":",A151)+2,SEARCH(":",A151,SEARCH(":",A151)+1)-SEARCH(":",A151)-3)</f>
        <v>#VALUE!</v>
      </c>
      <c r="C151" s="18" t="e">
        <f>"part:"&amp;MID(A151,SEARCH(":",A151)+1,SEARCH(":",A151,SEARCH(":",A151)+1)-SEARCH(":",A151)-1)</f>
        <v>#VALUE!</v>
      </c>
      <c r="D151" s="18"/>
      <c r="E151" s="18"/>
      <c r="F151" s="18" t="e">
        <f>DATEVALUE(SUBSTITUTE(LEFT(E151,SEARCH(" ",E151)-1),".","/"))</f>
        <v>#VALUE!</v>
      </c>
      <c r="G151" s="26"/>
      <c r="H151" s="18"/>
      <c r="I151" s="18"/>
      <c r="J151" s="28"/>
      <c r="K151" s="18"/>
      <c r="L151" s="18"/>
      <c r="M151" s="18"/>
      <c r="N151" s="18"/>
      <c r="O151" s="18"/>
      <c r="P151" s="18"/>
      <c r="Q151" s="18"/>
      <c r="R151" s="18"/>
      <c r="S151" s="18"/>
      <c r="T151" s="18"/>
      <c r="U151" s="18"/>
      <c r="V151" s="18"/>
      <c r="W151" s="18"/>
      <c r="X151" s="18"/>
      <c r="Y151" s="18"/>
      <c r="Z151" s="18"/>
      <c r="AA151" s="18"/>
      <c r="AB151" s="18"/>
    </row>
    <row r="152" spans="1:28" x14ac:dyDescent="0.25">
      <c r="A152" s="18"/>
      <c r="B152" s="18" t="e">
        <f xml:space="preserve"> MID(A152,SEARCH(":",A152)+2,SEARCH(":",A152,SEARCH(":",A152)+1)-SEARCH(":",A152)-3)</f>
        <v>#VALUE!</v>
      </c>
      <c r="C152" s="18" t="e">
        <f>"part:"&amp;MID(A152,SEARCH(":",A152)+1,SEARCH(":",A152,SEARCH(":",A152)+1)-SEARCH(":",A152)-1)</f>
        <v>#VALUE!</v>
      </c>
      <c r="D152" s="18"/>
      <c r="E152" s="18"/>
      <c r="F152" s="18" t="e">
        <f>DATEVALUE(SUBSTITUTE(LEFT(E152,SEARCH(" ",E152)-1),".","/"))</f>
        <v>#VALUE!</v>
      </c>
      <c r="G152" s="26"/>
      <c r="H152" s="18"/>
      <c r="I152" s="18"/>
      <c r="J152" s="28"/>
      <c r="K152" s="18"/>
      <c r="L152" s="18"/>
      <c r="M152" s="18"/>
      <c r="N152" s="18"/>
      <c r="O152" s="18"/>
      <c r="P152" s="18"/>
      <c r="Q152" s="18"/>
      <c r="R152" s="18"/>
      <c r="S152" s="18"/>
      <c r="T152" s="18"/>
      <c r="U152" s="18"/>
      <c r="V152" s="18"/>
      <c r="W152" s="18"/>
      <c r="X152" s="18"/>
      <c r="Y152" s="18"/>
      <c r="Z152" s="18"/>
      <c r="AA152" s="18"/>
      <c r="AB152" s="18"/>
    </row>
    <row r="153" spans="1:28" x14ac:dyDescent="0.25">
      <c r="A153" s="18"/>
      <c r="B153" s="18" t="e">
        <f xml:space="preserve"> MID(A153,SEARCH(":",A153)+2,SEARCH(":",A153,SEARCH(":",A153)+1)-SEARCH(":",A153)-3)</f>
        <v>#VALUE!</v>
      </c>
      <c r="C153" s="18" t="e">
        <f>"part:"&amp;MID(A153,SEARCH(":",A153)+1,SEARCH(":",A153,SEARCH(":",A153)+1)-SEARCH(":",A153)-1)</f>
        <v>#VALUE!</v>
      </c>
      <c r="D153" s="18"/>
      <c r="E153" s="18"/>
      <c r="F153" s="18" t="e">
        <f>DATEVALUE(SUBSTITUTE(LEFT(E153,SEARCH(" ",E153)-1),".","/"))</f>
        <v>#VALUE!</v>
      </c>
      <c r="G153" s="26"/>
      <c r="H153" s="18"/>
      <c r="I153" s="18"/>
      <c r="J153" s="28"/>
      <c r="K153" s="18"/>
      <c r="L153" s="18"/>
      <c r="M153" s="18"/>
      <c r="N153" s="18"/>
      <c r="O153" s="18"/>
      <c r="P153" s="18"/>
      <c r="Q153" s="18"/>
      <c r="R153" s="18"/>
      <c r="S153" s="18"/>
      <c r="T153" s="18"/>
      <c r="U153" s="18"/>
      <c r="V153" s="18"/>
      <c r="W153" s="18"/>
      <c r="X153" s="18"/>
      <c r="Y153" s="18"/>
      <c r="Z153" s="18"/>
      <c r="AA153" s="18"/>
      <c r="AB153" s="18"/>
    </row>
    <row r="154" spans="1:28" x14ac:dyDescent="0.25">
      <c r="A154" s="18"/>
      <c r="B154" s="18" t="e">
        <f xml:space="preserve"> MID(A154,SEARCH(":",A154)+2,SEARCH(":",A154,SEARCH(":",A154)+1)-SEARCH(":",A154)-3)</f>
        <v>#VALUE!</v>
      </c>
      <c r="C154" s="18" t="e">
        <f>"part:"&amp;MID(A154,SEARCH(":",A154)+1,SEARCH(":",A154,SEARCH(":",A154)+1)-SEARCH(":",A154)-1)</f>
        <v>#VALUE!</v>
      </c>
      <c r="D154" s="18"/>
      <c r="E154" s="18"/>
      <c r="F154" s="18" t="e">
        <f>DATEVALUE(SUBSTITUTE(LEFT(E154,SEARCH(" ",E154)-1),".","/"))</f>
        <v>#VALUE!</v>
      </c>
      <c r="G154" s="26"/>
      <c r="H154" s="18"/>
      <c r="I154" s="18"/>
      <c r="J154" s="28"/>
      <c r="K154" s="18"/>
      <c r="L154" s="18"/>
      <c r="M154" s="18"/>
      <c r="N154" s="18"/>
      <c r="O154" s="18"/>
      <c r="P154" s="18"/>
      <c r="Q154" s="18"/>
      <c r="R154" s="18"/>
      <c r="S154" s="18"/>
      <c r="T154" s="18"/>
      <c r="U154" s="18"/>
      <c r="V154" s="18"/>
      <c r="W154" s="18"/>
      <c r="X154" s="18"/>
      <c r="Y154" s="18"/>
      <c r="Z154" s="18"/>
      <c r="AA154" s="18"/>
      <c r="AB154" s="18"/>
    </row>
    <row r="155" spans="1:28" x14ac:dyDescent="0.25">
      <c r="A155" s="18"/>
      <c r="B155" s="18" t="e">
        <f xml:space="preserve"> MID(A155,SEARCH(":",A155)+2,SEARCH(":",A155,SEARCH(":",A155)+1)-SEARCH(":",A155)-3)</f>
        <v>#VALUE!</v>
      </c>
      <c r="C155" s="18" t="e">
        <f>"part:"&amp;MID(A155,SEARCH(":",A155)+1,SEARCH(":",A155,SEARCH(":",A155)+1)-SEARCH(":",A155)-1)</f>
        <v>#VALUE!</v>
      </c>
      <c r="D155" s="18"/>
      <c r="E155" s="18"/>
      <c r="F155" s="18" t="e">
        <f>DATEVALUE(SUBSTITUTE(LEFT(E155,SEARCH(" ",E155)-1),".","/"))</f>
        <v>#VALUE!</v>
      </c>
      <c r="G155" s="26"/>
      <c r="H155" s="18"/>
      <c r="I155" s="18"/>
      <c r="J155" s="28"/>
      <c r="K155" s="18"/>
      <c r="L155" s="18"/>
      <c r="M155" s="18"/>
      <c r="N155" s="18"/>
      <c r="O155" s="18"/>
      <c r="P155" s="18"/>
      <c r="Q155" s="18"/>
      <c r="R155" s="18"/>
      <c r="S155" s="18"/>
      <c r="T155" s="18"/>
      <c r="U155" s="18"/>
      <c r="V155" s="18"/>
      <c r="W155" s="18"/>
      <c r="X155" s="18"/>
      <c r="Y155" s="18"/>
      <c r="Z155" s="18"/>
      <c r="AA155" s="18"/>
      <c r="AB155" s="18"/>
    </row>
    <row r="156" spans="1:28" x14ac:dyDescent="0.25">
      <c r="A156" s="18"/>
      <c r="B156" s="18" t="e">
        <f xml:space="preserve"> MID(A156,SEARCH(":",A156)+2,SEARCH(":",A156,SEARCH(":",A156)+1)-SEARCH(":",A156)-3)</f>
        <v>#VALUE!</v>
      </c>
      <c r="C156" s="18" t="e">
        <f>"part:"&amp;MID(A156,SEARCH(":",A156)+1,SEARCH(":",A156,SEARCH(":",A156)+1)-SEARCH(":",A156)-1)</f>
        <v>#VALUE!</v>
      </c>
      <c r="D156" s="18"/>
      <c r="E156" s="18"/>
      <c r="F156" s="18" t="e">
        <f>DATEVALUE(SUBSTITUTE(LEFT(E156,SEARCH(" ",E156)-1),".","/"))</f>
        <v>#VALUE!</v>
      </c>
      <c r="G156" s="26"/>
      <c r="H156" s="18"/>
      <c r="I156" s="18"/>
      <c r="J156" s="28"/>
      <c r="K156" s="18"/>
      <c r="L156" s="18"/>
      <c r="M156" s="18"/>
      <c r="N156" s="18"/>
      <c r="O156" s="18"/>
      <c r="P156" s="18"/>
      <c r="Q156" s="18"/>
      <c r="R156" s="18"/>
      <c r="S156" s="18"/>
      <c r="T156" s="18"/>
      <c r="U156" s="18"/>
      <c r="V156" s="18"/>
      <c r="W156" s="18"/>
      <c r="X156" s="18"/>
      <c r="Y156" s="18"/>
      <c r="Z156" s="18"/>
      <c r="AA156" s="18"/>
      <c r="AB156" s="18"/>
    </row>
    <row r="157" spans="1:28" x14ac:dyDescent="0.25">
      <c r="A157" s="18"/>
      <c r="B157" s="18" t="e">
        <f xml:space="preserve"> MID(A157,SEARCH(":",A157)+2,SEARCH(":",A157,SEARCH(":",A157)+1)-SEARCH(":",A157)-3)</f>
        <v>#VALUE!</v>
      </c>
      <c r="C157" s="18" t="e">
        <f>"part:"&amp;MID(A157,SEARCH(":",A157)+1,SEARCH(":",A157,SEARCH(":",A157)+1)-SEARCH(":",A157)-1)</f>
        <v>#VALUE!</v>
      </c>
      <c r="D157" s="18"/>
      <c r="E157" s="18"/>
      <c r="F157" s="18" t="e">
        <f>DATEVALUE(SUBSTITUTE(LEFT(E157,SEARCH(" ",E157)-1),".","/"))</f>
        <v>#VALUE!</v>
      </c>
      <c r="G157" s="26"/>
      <c r="H157" s="18"/>
      <c r="I157" s="18"/>
      <c r="J157" s="28"/>
      <c r="K157" s="18"/>
      <c r="L157" s="18"/>
      <c r="M157" s="18"/>
      <c r="N157" s="18"/>
      <c r="O157" s="18"/>
      <c r="P157" s="18"/>
      <c r="Q157" s="18"/>
      <c r="R157" s="18"/>
      <c r="S157" s="18"/>
      <c r="T157" s="18"/>
      <c r="U157" s="18"/>
      <c r="V157" s="18"/>
      <c r="W157" s="18"/>
      <c r="X157" s="18"/>
      <c r="Y157" s="18"/>
      <c r="Z157" s="18"/>
      <c r="AA157" s="18"/>
      <c r="AB157" s="18"/>
    </row>
    <row r="158" spans="1:28" x14ac:dyDescent="0.25">
      <c r="A158" s="18"/>
      <c r="B158" s="18" t="e">
        <f xml:space="preserve"> MID(A158,SEARCH(":",A158)+2,SEARCH(":",A158,SEARCH(":",A158)+1)-SEARCH(":",A158)-3)</f>
        <v>#VALUE!</v>
      </c>
      <c r="C158" s="18" t="e">
        <f>"part:"&amp;MID(A158,SEARCH(":",A158)+1,SEARCH(":",A158,SEARCH(":",A158)+1)-SEARCH(":",A158)-1)</f>
        <v>#VALUE!</v>
      </c>
      <c r="D158" s="18"/>
      <c r="E158" s="18"/>
      <c r="F158" s="18" t="e">
        <f>DATEVALUE(SUBSTITUTE(LEFT(E158,SEARCH(" ",E158)-1),".","/"))</f>
        <v>#VALUE!</v>
      </c>
      <c r="G158" s="26"/>
      <c r="H158" s="18"/>
      <c r="I158" s="18"/>
      <c r="J158" s="28"/>
      <c r="K158" s="18"/>
      <c r="L158" s="18"/>
      <c r="M158" s="18"/>
      <c r="N158" s="18"/>
      <c r="O158" s="18"/>
      <c r="P158" s="18"/>
      <c r="Q158" s="18"/>
      <c r="R158" s="18"/>
      <c r="S158" s="18"/>
      <c r="T158" s="18"/>
      <c r="U158" s="18"/>
      <c r="V158" s="18"/>
      <c r="W158" s="18"/>
      <c r="X158" s="18"/>
      <c r="Y158" s="18"/>
      <c r="Z158" s="18"/>
      <c r="AA158" s="18"/>
      <c r="AB158" s="18"/>
    </row>
    <row r="159" spans="1:28" x14ac:dyDescent="0.25">
      <c r="A159" s="18"/>
      <c r="B159" s="18" t="e">
        <f xml:space="preserve"> MID(A159,SEARCH(":",A159)+2,SEARCH(":",A159,SEARCH(":",A159)+1)-SEARCH(":",A159)-3)</f>
        <v>#VALUE!</v>
      </c>
      <c r="C159" s="18" t="e">
        <f>"part:"&amp;MID(A159,SEARCH(":",A159)+1,SEARCH(":",A159,SEARCH(":",A159)+1)-SEARCH(":",A159)-1)</f>
        <v>#VALUE!</v>
      </c>
      <c r="D159" s="18"/>
      <c r="E159" s="18"/>
      <c r="F159" s="18" t="e">
        <f>DATEVALUE(SUBSTITUTE(LEFT(E159,SEARCH(" ",E159)-1),".","/"))</f>
        <v>#VALUE!</v>
      </c>
      <c r="G159" s="26"/>
      <c r="H159" s="18"/>
      <c r="I159" s="18"/>
      <c r="J159" s="28"/>
      <c r="K159" s="18"/>
      <c r="L159" s="18"/>
      <c r="M159" s="18"/>
      <c r="N159" s="18"/>
      <c r="O159" s="18"/>
      <c r="P159" s="18"/>
      <c r="Q159" s="18"/>
      <c r="R159" s="18"/>
      <c r="S159" s="18"/>
      <c r="T159" s="18"/>
      <c r="U159" s="18"/>
      <c r="V159" s="18"/>
      <c r="W159" s="18"/>
      <c r="X159" s="18"/>
      <c r="Y159" s="18"/>
      <c r="Z159" s="18"/>
      <c r="AA159" s="18"/>
      <c r="AB159" s="18"/>
    </row>
    <row r="160" spans="1:28" x14ac:dyDescent="0.25">
      <c r="A160" s="18"/>
      <c r="B160" s="18" t="e">
        <f xml:space="preserve"> MID(A160,SEARCH(":",A160)+2,SEARCH(":",A160,SEARCH(":",A160)+1)-SEARCH(":",A160)-3)</f>
        <v>#VALUE!</v>
      </c>
      <c r="C160" s="18" t="e">
        <f>"part:"&amp;MID(A160,SEARCH(":",A160)+1,SEARCH(":",A160,SEARCH(":",A160)+1)-SEARCH(":",A160)-1)</f>
        <v>#VALUE!</v>
      </c>
      <c r="D160" s="18"/>
      <c r="E160" s="18"/>
      <c r="F160" s="18" t="e">
        <f>DATEVALUE(SUBSTITUTE(LEFT(E160,SEARCH(" ",E160)-1),".","/"))</f>
        <v>#VALUE!</v>
      </c>
      <c r="G160" s="26"/>
      <c r="H160" s="18"/>
      <c r="I160" s="18"/>
      <c r="J160" s="28"/>
      <c r="K160" s="18"/>
      <c r="L160" s="18"/>
      <c r="M160" s="18"/>
      <c r="N160" s="18"/>
      <c r="O160" s="18"/>
      <c r="P160" s="18"/>
      <c r="Q160" s="18"/>
      <c r="R160" s="18"/>
      <c r="S160" s="18"/>
      <c r="T160" s="18"/>
      <c r="U160" s="18"/>
      <c r="V160" s="18"/>
      <c r="W160" s="18"/>
      <c r="X160" s="18"/>
      <c r="Y160" s="18"/>
      <c r="Z160" s="18"/>
      <c r="AA160" s="18"/>
      <c r="AB160" s="18"/>
    </row>
    <row r="161" spans="1:28" x14ac:dyDescent="0.25">
      <c r="A161" s="18"/>
      <c r="B161" s="18" t="e">
        <f xml:space="preserve"> MID(A161,SEARCH(":",A161)+2,SEARCH(":",A161,SEARCH(":",A161)+1)-SEARCH(":",A161)-3)</f>
        <v>#VALUE!</v>
      </c>
      <c r="C161" s="18" t="e">
        <f>"part:"&amp;MID(A161,SEARCH(":",A161)+1,SEARCH(":",A161,SEARCH(":",A161)+1)-SEARCH(":",A161)-1)</f>
        <v>#VALUE!</v>
      </c>
      <c r="D161" s="18"/>
      <c r="E161" s="18"/>
      <c r="F161" s="18" t="e">
        <f>DATEVALUE(SUBSTITUTE(LEFT(E161,SEARCH(" ",E161)-1),".","/"))</f>
        <v>#VALUE!</v>
      </c>
      <c r="G161" s="26"/>
      <c r="H161" s="18"/>
      <c r="I161" s="18"/>
      <c r="J161" s="28"/>
      <c r="K161" s="18"/>
      <c r="L161" s="18"/>
      <c r="M161" s="18"/>
      <c r="N161" s="18"/>
      <c r="O161" s="18"/>
      <c r="P161" s="18"/>
      <c r="Q161" s="18"/>
      <c r="R161" s="18"/>
      <c r="S161" s="18"/>
      <c r="T161" s="18"/>
      <c r="U161" s="18"/>
      <c r="V161" s="18"/>
      <c r="W161" s="18"/>
      <c r="X161" s="18"/>
      <c r="Y161" s="18"/>
      <c r="Z161" s="18"/>
      <c r="AA161" s="18"/>
      <c r="AB161" s="18"/>
    </row>
    <row r="162" spans="1:28" x14ac:dyDescent="0.25">
      <c r="A162" s="18"/>
      <c r="B162" s="18" t="e">
        <f xml:space="preserve"> MID(A162,SEARCH(":",A162)+2,SEARCH(":",A162,SEARCH(":",A162)+1)-SEARCH(":",A162)-3)</f>
        <v>#VALUE!</v>
      </c>
      <c r="C162" s="18" t="e">
        <f>"part:"&amp;MID(A162,SEARCH(":",A162)+1,SEARCH(":",A162,SEARCH(":",A162)+1)-SEARCH(":",A162)-1)</f>
        <v>#VALUE!</v>
      </c>
      <c r="D162" s="18"/>
      <c r="E162" s="18"/>
      <c r="F162" s="18" t="e">
        <f>DATEVALUE(SUBSTITUTE(LEFT(E162,SEARCH(" ",E162)-1),".","/"))</f>
        <v>#VALUE!</v>
      </c>
      <c r="G162" s="26"/>
      <c r="H162" s="18"/>
      <c r="I162" s="18"/>
      <c r="J162" s="28"/>
      <c r="K162" s="18"/>
      <c r="L162" s="18"/>
      <c r="M162" s="18"/>
      <c r="N162" s="18"/>
      <c r="O162" s="18"/>
      <c r="P162" s="18"/>
      <c r="Q162" s="18"/>
      <c r="R162" s="18"/>
      <c r="S162" s="18"/>
      <c r="T162" s="18"/>
      <c r="U162" s="18"/>
      <c r="V162" s="18"/>
      <c r="W162" s="18"/>
      <c r="X162" s="18"/>
      <c r="Y162" s="18"/>
      <c r="Z162" s="18"/>
      <c r="AA162" s="18"/>
      <c r="AB162" s="18"/>
    </row>
    <row r="163" spans="1:28" x14ac:dyDescent="0.25">
      <c r="A163" s="18"/>
      <c r="B163" s="18" t="e">
        <f xml:space="preserve"> MID(A163,SEARCH(":",A163)+2,SEARCH(":",A163,SEARCH(":",A163)+1)-SEARCH(":",A163)-3)</f>
        <v>#VALUE!</v>
      </c>
      <c r="C163" s="18" t="e">
        <f>"part:"&amp;MID(A163,SEARCH(":",A163)+1,SEARCH(":",A163,SEARCH(":",A163)+1)-SEARCH(":",A163)-1)</f>
        <v>#VALUE!</v>
      </c>
      <c r="D163" s="18"/>
      <c r="E163" s="18"/>
      <c r="F163" s="18" t="e">
        <f>DATEVALUE(SUBSTITUTE(LEFT(E163,SEARCH(" ",E163)-1),".","/"))</f>
        <v>#VALUE!</v>
      </c>
      <c r="G163" s="26"/>
      <c r="H163" s="18"/>
      <c r="I163" s="18"/>
      <c r="J163" s="28"/>
      <c r="K163" s="18"/>
      <c r="L163" s="18"/>
      <c r="M163" s="18"/>
      <c r="N163" s="18"/>
      <c r="O163" s="18"/>
      <c r="P163" s="18"/>
      <c r="Q163" s="18"/>
      <c r="R163" s="18"/>
      <c r="S163" s="18"/>
      <c r="T163" s="18"/>
      <c r="U163" s="18"/>
      <c r="V163" s="18"/>
      <c r="W163" s="18"/>
      <c r="X163" s="18"/>
      <c r="Y163" s="18"/>
      <c r="Z163" s="18"/>
      <c r="AA163" s="18"/>
      <c r="AB163" s="18"/>
    </row>
    <row r="164" spans="1:28" x14ac:dyDescent="0.25">
      <c r="A164" s="18"/>
      <c r="B164" s="18" t="e">
        <f xml:space="preserve"> MID(A164,SEARCH(":",A164)+2,SEARCH(":",A164,SEARCH(":",A164)+1)-SEARCH(":",A164)-3)</f>
        <v>#VALUE!</v>
      </c>
      <c r="C164" s="18" t="e">
        <f>"part:"&amp;MID(A164,SEARCH(":",A164)+1,SEARCH(":",A164,SEARCH(":",A164)+1)-SEARCH(":",A164)-1)</f>
        <v>#VALUE!</v>
      </c>
      <c r="D164" s="18"/>
      <c r="E164" s="18"/>
      <c r="F164" s="18" t="e">
        <f>DATEVALUE(SUBSTITUTE(LEFT(E164,SEARCH(" ",E164)-1),".","/"))</f>
        <v>#VALUE!</v>
      </c>
      <c r="G164" s="26"/>
      <c r="H164" s="18"/>
      <c r="I164" s="18"/>
      <c r="J164" s="28"/>
      <c r="K164" s="18"/>
      <c r="L164" s="18"/>
      <c r="M164" s="18"/>
      <c r="N164" s="18"/>
      <c r="O164" s="18"/>
      <c r="P164" s="18"/>
      <c r="Q164" s="18"/>
      <c r="R164" s="18"/>
      <c r="S164" s="18"/>
      <c r="T164" s="18"/>
      <c r="U164" s="18"/>
      <c r="V164" s="18"/>
      <c r="W164" s="18"/>
      <c r="X164" s="18"/>
      <c r="Y164" s="18"/>
      <c r="Z164" s="18"/>
      <c r="AA164" s="18"/>
      <c r="AB164" s="18"/>
    </row>
    <row r="165" spans="1:28" x14ac:dyDescent="0.25">
      <c r="A165" s="18"/>
      <c r="B165" s="18" t="e">
        <f xml:space="preserve"> MID(A165,SEARCH(":",A165)+2,SEARCH(":",A165,SEARCH(":",A165)+1)-SEARCH(":",A165)-3)</f>
        <v>#VALUE!</v>
      </c>
      <c r="C165" s="18" t="e">
        <f>"part:"&amp;MID(A165,SEARCH(":",A165)+1,SEARCH(":",A165,SEARCH(":",A165)+1)-SEARCH(":",A165)-1)</f>
        <v>#VALUE!</v>
      </c>
      <c r="D165" s="18"/>
      <c r="E165" s="18"/>
      <c r="F165" s="18" t="e">
        <f>DATEVALUE(SUBSTITUTE(LEFT(E165,SEARCH(" ",E165)-1),".","/"))</f>
        <v>#VALUE!</v>
      </c>
      <c r="G165" s="26"/>
      <c r="H165" s="18"/>
      <c r="I165" s="18"/>
      <c r="J165" s="28"/>
      <c r="K165" s="18"/>
      <c r="L165" s="18"/>
      <c r="M165" s="18"/>
      <c r="N165" s="18"/>
      <c r="O165" s="18"/>
      <c r="P165" s="18"/>
      <c r="Q165" s="18"/>
      <c r="R165" s="18"/>
      <c r="S165" s="18"/>
      <c r="T165" s="18"/>
      <c r="U165" s="18"/>
      <c r="V165" s="18"/>
      <c r="W165" s="18"/>
      <c r="X165" s="18"/>
      <c r="Y165" s="18"/>
      <c r="Z165" s="18"/>
      <c r="AA165" s="18"/>
      <c r="AB165" s="18"/>
    </row>
    <row r="166" spans="1:28" x14ac:dyDescent="0.25">
      <c r="A166" s="18"/>
      <c r="B166" s="18" t="e">
        <f xml:space="preserve"> MID(A166,SEARCH(":",A166)+2,SEARCH(":",A166,SEARCH(":",A166)+1)-SEARCH(":",A166)-3)</f>
        <v>#VALUE!</v>
      </c>
      <c r="C166" s="18" t="e">
        <f>"part:"&amp;MID(A166,SEARCH(":",A166)+1,SEARCH(":",A166,SEARCH(":",A166)+1)-SEARCH(":",A166)-1)</f>
        <v>#VALUE!</v>
      </c>
      <c r="D166" s="18"/>
      <c r="E166" s="18"/>
      <c r="F166" s="18" t="e">
        <f>DATEVALUE(SUBSTITUTE(LEFT(E166,SEARCH(" ",E166)-1),".","/"))</f>
        <v>#VALUE!</v>
      </c>
      <c r="G166" s="26"/>
      <c r="H166" s="18"/>
      <c r="I166" s="18"/>
      <c r="J166" s="28"/>
      <c r="K166" s="18"/>
      <c r="L166" s="18"/>
      <c r="M166" s="18"/>
      <c r="N166" s="18"/>
      <c r="O166" s="18"/>
      <c r="P166" s="18"/>
      <c r="Q166" s="18"/>
      <c r="R166" s="18"/>
      <c r="S166" s="18"/>
      <c r="T166" s="18"/>
      <c r="U166" s="18"/>
      <c r="V166" s="18"/>
      <c r="W166" s="18"/>
      <c r="X166" s="18"/>
      <c r="Y166" s="18"/>
      <c r="Z166" s="18"/>
      <c r="AA166" s="18"/>
      <c r="AB166" s="18"/>
    </row>
    <row r="167" spans="1:28" x14ac:dyDescent="0.25">
      <c r="A167" s="18"/>
      <c r="B167" s="18" t="e">
        <f xml:space="preserve"> MID(A167,SEARCH(":",A167)+2,SEARCH(":",A167,SEARCH(":",A167)+1)-SEARCH(":",A167)-3)</f>
        <v>#VALUE!</v>
      </c>
      <c r="C167" s="18" t="e">
        <f>"part:"&amp;MID(A167,SEARCH(":",A167)+1,SEARCH(":",A167,SEARCH(":",A167)+1)-SEARCH(":",A167)-1)</f>
        <v>#VALUE!</v>
      </c>
      <c r="D167" s="18"/>
      <c r="E167" s="18"/>
      <c r="F167" s="18" t="e">
        <f>DATEVALUE(SUBSTITUTE(LEFT(E167,SEARCH(" ",E167)-1),".","/"))</f>
        <v>#VALUE!</v>
      </c>
      <c r="G167" s="26"/>
      <c r="H167" s="18"/>
      <c r="I167" s="18"/>
      <c r="J167" s="28"/>
      <c r="K167" s="18"/>
      <c r="L167" s="18"/>
      <c r="M167" s="18"/>
      <c r="N167" s="18"/>
      <c r="O167" s="18"/>
      <c r="P167" s="18"/>
      <c r="Q167" s="18"/>
      <c r="R167" s="18"/>
      <c r="S167" s="18"/>
      <c r="T167" s="18"/>
      <c r="U167" s="18"/>
      <c r="V167" s="18"/>
      <c r="W167" s="18"/>
      <c r="X167" s="18"/>
      <c r="Y167" s="18"/>
      <c r="Z167" s="18"/>
      <c r="AA167" s="18"/>
      <c r="AB167" s="18"/>
    </row>
    <row r="168" spans="1:28" x14ac:dyDescent="0.25">
      <c r="A168" s="18"/>
      <c r="B168" s="18" t="e">
        <f xml:space="preserve"> MID(A168,SEARCH(":",A168)+2,SEARCH(":",A168,SEARCH(":",A168)+1)-SEARCH(":",A168)-3)</f>
        <v>#VALUE!</v>
      </c>
      <c r="C168" s="18" t="e">
        <f>"part:"&amp;MID(A168,SEARCH(":",A168)+1,SEARCH(":",A168,SEARCH(":",A168)+1)-SEARCH(":",A168)-1)</f>
        <v>#VALUE!</v>
      </c>
      <c r="D168" s="18"/>
      <c r="E168" s="18"/>
      <c r="F168" s="18" t="e">
        <f>DATEVALUE(SUBSTITUTE(LEFT(E168,SEARCH(" ",E168)-1),".","/"))</f>
        <v>#VALUE!</v>
      </c>
      <c r="G168" s="26"/>
      <c r="H168" s="18"/>
      <c r="I168" s="18"/>
      <c r="J168" s="28"/>
      <c r="K168" s="18"/>
      <c r="L168" s="18"/>
      <c r="M168" s="18"/>
      <c r="N168" s="18"/>
      <c r="O168" s="18"/>
      <c r="P168" s="18"/>
      <c r="Q168" s="18"/>
      <c r="R168" s="18"/>
      <c r="S168" s="18"/>
      <c r="T168" s="18"/>
      <c r="U168" s="18"/>
      <c r="V168" s="18"/>
      <c r="W168" s="18"/>
      <c r="X168" s="18"/>
      <c r="Y168" s="18"/>
      <c r="Z168" s="18"/>
      <c r="AA168" s="18"/>
      <c r="AB168" s="18"/>
    </row>
    <row r="169" spans="1:28" x14ac:dyDescent="0.25">
      <c r="A169" s="18"/>
      <c r="B169" s="18" t="e">
        <f xml:space="preserve"> MID(A169,SEARCH(":",A169)+2,SEARCH(":",A169,SEARCH(":",A169)+1)-SEARCH(":",A169)-3)</f>
        <v>#VALUE!</v>
      </c>
      <c r="C169" s="18" t="e">
        <f>"part:"&amp;MID(A169,SEARCH(":",A169)+1,SEARCH(":",A169,SEARCH(":",A169)+1)-SEARCH(":",A169)-1)</f>
        <v>#VALUE!</v>
      </c>
      <c r="D169" s="18"/>
      <c r="E169" s="18"/>
      <c r="F169" s="18" t="e">
        <f>DATEVALUE(SUBSTITUTE(LEFT(E169,SEARCH(" ",E169)-1),".","/"))</f>
        <v>#VALUE!</v>
      </c>
      <c r="G169" s="26"/>
      <c r="H169" s="18"/>
      <c r="I169" s="18"/>
      <c r="J169" s="28"/>
      <c r="K169" s="18"/>
      <c r="L169" s="18"/>
      <c r="M169" s="18"/>
      <c r="N169" s="18"/>
      <c r="O169" s="18"/>
      <c r="P169" s="18"/>
      <c r="Q169" s="18"/>
      <c r="R169" s="18"/>
      <c r="S169" s="18"/>
      <c r="T169" s="18"/>
      <c r="U169" s="18"/>
      <c r="V169" s="18"/>
      <c r="W169" s="18"/>
      <c r="X169" s="18"/>
      <c r="Y169" s="18"/>
      <c r="Z169" s="18"/>
      <c r="AA169" s="18"/>
      <c r="AB169" s="18"/>
    </row>
    <row r="170" spans="1:28" x14ac:dyDescent="0.25">
      <c r="A170" s="18"/>
      <c r="B170" s="18" t="e">
        <f xml:space="preserve"> MID(A170,SEARCH(":",A170)+2,SEARCH(":",A170,SEARCH(":",A170)+1)-SEARCH(":",A170)-3)</f>
        <v>#VALUE!</v>
      </c>
      <c r="C170" s="18" t="e">
        <f>"part:"&amp;MID(A170,SEARCH(":",A170)+1,SEARCH(":",A170,SEARCH(":",A170)+1)-SEARCH(":",A170)-1)</f>
        <v>#VALUE!</v>
      </c>
      <c r="D170" s="18"/>
      <c r="E170" s="18"/>
      <c r="F170" s="18" t="e">
        <f>DATEVALUE(SUBSTITUTE(LEFT(E170,SEARCH(" ",E170)-1),".","/"))</f>
        <v>#VALUE!</v>
      </c>
      <c r="G170" s="26"/>
      <c r="H170" s="18"/>
      <c r="I170" s="18"/>
      <c r="J170" s="28"/>
      <c r="K170" s="18"/>
      <c r="L170" s="18"/>
      <c r="M170" s="18"/>
      <c r="N170" s="18"/>
      <c r="O170" s="18"/>
      <c r="P170" s="18"/>
      <c r="Q170" s="18"/>
      <c r="R170" s="18"/>
      <c r="S170" s="18"/>
      <c r="T170" s="18"/>
      <c r="U170" s="18"/>
      <c r="V170" s="18"/>
      <c r="W170" s="18"/>
      <c r="X170" s="18"/>
      <c r="Y170" s="18"/>
      <c r="Z170" s="18"/>
      <c r="AA170" s="18"/>
      <c r="AB170" s="18"/>
    </row>
    <row r="171" spans="1:28" x14ac:dyDescent="0.25">
      <c r="A171" s="18"/>
      <c r="B171" s="18" t="e">
        <f xml:space="preserve"> MID(A171,SEARCH(":",A171)+2,SEARCH(":",A171,SEARCH(":",A171)+1)-SEARCH(":",A171)-3)</f>
        <v>#VALUE!</v>
      </c>
      <c r="C171" s="18" t="e">
        <f>"part:"&amp;MID(A171,SEARCH(":",A171)+1,SEARCH(":",A171,SEARCH(":",A171)+1)-SEARCH(":",A171)-1)</f>
        <v>#VALUE!</v>
      </c>
      <c r="D171" s="18"/>
      <c r="E171" s="18"/>
      <c r="F171" s="18" t="e">
        <f>DATEVALUE(SUBSTITUTE(LEFT(E171,SEARCH(" ",E171)-1),".","/"))</f>
        <v>#VALUE!</v>
      </c>
      <c r="G171" s="26"/>
      <c r="H171" s="18"/>
      <c r="I171" s="18"/>
      <c r="J171" s="28"/>
      <c r="K171" s="18"/>
      <c r="L171" s="18"/>
      <c r="M171" s="18"/>
      <c r="N171" s="18"/>
      <c r="O171" s="18"/>
      <c r="P171" s="18"/>
      <c r="Q171" s="18"/>
      <c r="R171" s="18"/>
      <c r="S171" s="18"/>
      <c r="T171" s="18"/>
      <c r="U171" s="18"/>
      <c r="V171" s="18"/>
      <c r="W171" s="18"/>
      <c r="X171" s="18"/>
      <c r="Y171" s="18"/>
      <c r="Z171" s="18"/>
      <c r="AA171" s="18"/>
      <c r="AB171" s="18"/>
    </row>
    <row r="172" spans="1:28" x14ac:dyDescent="0.25">
      <c r="A172" s="18"/>
      <c r="B172" s="18" t="e">
        <f xml:space="preserve"> MID(A172,SEARCH(":",A172)+2,SEARCH(":",A172,SEARCH(":",A172)+1)-SEARCH(":",A172)-3)</f>
        <v>#VALUE!</v>
      </c>
      <c r="C172" s="18" t="e">
        <f>"part:"&amp;MID(A172,SEARCH(":",A172)+1,SEARCH(":",A172,SEARCH(":",A172)+1)-SEARCH(":",A172)-1)</f>
        <v>#VALUE!</v>
      </c>
      <c r="D172" s="18"/>
      <c r="E172" s="18"/>
      <c r="F172" s="18" t="e">
        <f>DATEVALUE(SUBSTITUTE(LEFT(E172,SEARCH(" ",E172)-1),".","/"))</f>
        <v>#VALUE!</v>
      </c>
      <c r="G172" s="26"/>
      <c r="H172" s="18"/>
      <c r="I172" s="18"/>
      <c r="J172" s="28"/>
      <c r="K172" s="18"/>
      <c r="L172" s="18"/>
      <c r="M172" s="18"/>
      <c r="N172" s="18"/>
      <c r="O172" s="18"/>
      <c r="P172" s="18"/>
      <c r="Q172" s="18"/>
      <c r="R172" s="18"/>
      <c r="S172" s="18"/>
      <c r="T172" s="18"/>
      <c r="U172" s="18"/>
      <c r="V172" s="18"/>
      <c r="W172" s="18"/>
      <c r="X172" s="18"/>
      <c r="Y172" s="18"/>
      <c r="Z172" s="18"/>
      <c r="AA172" s="18"/>
      <c r="AB172" s="18"/>
    </row>
    <row r="173" spans="1:28" x14ac:dyDescent="0.25">
      <c r="A173" s="18"/>
      <c r="B173" s="18" t="e">
        <f xml:space="preserve"> MID(A173,SEARCH(":",A173)+2,SEARCH(":",A173,SEARCH(":",A173)+1)-SEARCH(":",A173)-3)</f>
        <v>#VALUE!</v>
      </c>
      <c r="C173" s="18" t="e">
        <f>"part:"&amp;MID(A173,SEARCH(":",A173)+1,SEARCH(":",A173,SEARCH(":",A173)+1)-SEARCH(":",A173)-1)</f>
        <v>#VALUE!</v>
      </c>
      <c r="D173" s="18"/>
      <c r="E173" s="18"/>
      <c r="F173" s="18" t="e">
        <f>DATEVALUE(SUBSTITUTE(LEFT(E173,SEARCH(" ",E173)-1),".","/"))</f>
        <v>#VALUE!</v>
      </c>
      <c r="G173" s="26"/>
      <c r="H173" s="18"/>
      <c r="I173" s="18"/>
      <c r="J173" s="28"/>
      <c r="K173" s="18"/>
      <c r="L173" s="18"/>
      <c r="M173" s="18"/>
      <c r="N173" s="18"/>
      <c r="O173" s="18"/>
      <c r="P173" s="18"/>
      <c r="Q173" s="18"/>
      <c r="R173" s="18"/>
      <c r="S173" s="18"/>
      <c r="T173" s="18"/>
      <c r="U173" s="18"/>
      <c r="V173" s="18"/>
      <c r="W173" s="18"/>
      <c r="X173" s="18"/>
      <c r="Y173" s="18"/>
      <c r="Z173" s="18"/>
      <c r="AA173" s="18"/>
      <c r="AB173" s="18"/>
    </row>
    <row r="174" spans="1:28" x14ac:dyDescent="0.25">
      <c r="A174" s="18"/>
      <c r="B174" s="18" t="e">
        <f xml:space="preserve"> MID(A174,SEARCH(":",A174)+2,SEARCH(":",A174,SEARCH(":",A174)+1)-SEARCH(":",A174)-3)</f>
        <v>#VALUE!</v>
      </c>
      <c r="C174" s="18" t="e">
        <f>"part:"&amp;MID(A174,SEARCH(":",A174)+1,SEARCH(":",A174,SEARCH(":",A174)+1)-SEARCH(":",A174)-1)</f>
        <v>#VALUE!</v>
      </c>
      <c r="D174" s="18"/>
      <c r="E174" s="18"/>
      <c r="F174" s="18" t="e">
        <f>DATEVALUE(SUBSTITUTE(LEFT(E174,SEARCH(" ",E174)-1),".","/"))</f>
        <v>#VALUE!</v>
      </c>
      <c r="G174" s="26"/>
      <c r="H174" s="18"/>
      <c r="I174" s="18"/>
      <c r="J174" s="28"/>
      <c r="K174" s="18"/>
      <c r="L174" s="18"/>
      <c r="M174" s="18"/>
      <c r="N174" s="18"/>
      <c r="O174" s="18"/>
      <c r="P174" s="18"/>
      <c r="Q174" s="18"/>
      <c r="R174" s="18"/>
      <c r="S174" s="18"/>
      <c r="T174" s="18"/>
      <c r="U174" s="18"/>
      <c r="V174" s="18"/>
      <c r="W174" s="18"/>
      <c r="X174" s="18"/>
      <c r="Y174" s="18"/>
      <c r="Z174" s="18"/>
      <c r="AA174" s="18"/>
      <c r="AB174" s="18"/>
    </row>
    <row r="175" spans="1:28" x14ac:dyDescent="0.25">
      <c r="A175" s="18"/>
      <c r="B175" s="18" t="e">
        <f xml:space="preserve"> MID(A175,SEARCH(":",A175)+2,SEARCH(":",A175,SEARCH(":",A175)+1)-SEARCH(":",A175)-3)</f>
        <v>#VALUE!</v>
      </c>
      <c r="C175" s="18" t="e">
        <f>"part:"&amp;MID(A175,SEARCH(":",A175)+1,SEARCH(":",A175,SEARCH(":",A175)+1)-SEARCH(":",A175)-1)</f>
        <v>#VALUE!</v>
      </c>
      <c r="D175" s="18"/>
      <c r="E175" s="18"/>
      <c r="F175" s="18" t="e">
        <f>DATEVALUE(SUBSTITUTE(LEFT(E175,SEARCH(" ",E175)-1),".","/"))</f>
        <v>#VALUE!</v>
      </c>
      <c r="G175" s="26"/>
      <c r="H175" s="18"/>
      <c r="I175" s="18"/>
      <c r="J175" s="28"/>
      <c r="K175" s="18"/>
      <c r="L175" s="18"/>
      <c r="M175" s="18"/>
      <c r="N175" s="18"/>
      <c r="O175" s="18"/>
      <c r="P175" s="18"/>
      <c r="Q175" s="18"/>
      <c r="R175" s="18"/>
      <c r="S175" s="18"/>
      <c r="T175" s="18"/>
      <c r="U175" s="18"/>
      <c r="V175" s="18"/>
      <c r="W175" s="18"/>
      <c r="X175" s="18"/>
      <c r="Y175" s="18"/>
      <c r="Z175" s="18"/>
      <c r="AA175" s="18"/>
      <c r="AB175" s="18"/>
    </row>
    <row r="176" spans="1:28" x14ac:dyDescent="0.25">
      <c r="A176" s="18"/>
      <c r="B176" s="18" t="e">
        <f xml:space="preserve"> MID(A176,SEARCH(":",A176)+2,SEARCH(":",A176,SEARCH(":",A176)+1)-SEARCH(":",A176)-3)</f>
        <v>#VALUE!</v>
      </c>
      <c r="C176" s="18" t="e">
        <f>"part:"&amp;MID(A176,SEARCH(":",A176)+1,SEARCH(":",A176,SEARCH(":",A176)+1)-SEARCH(":",A176)-1)</f>
        <v>#VALUE!</v>
      </c>
      <c r="D176" s="18"/>
      <c r="E176" s="18"/>
      <c r="F176" s="18" t="e">
        <f>DATEVALUE(SUBSTITUTE(LEFT(E176,SEARCH(" ",E176)-1),".","/"))</f>
        <v>#VALUE!</v>
      </c>
      <c r="G176" s="26"/>
      <c r="H176" s="18"/>
      <c r="I176" s="18"/>
      <c r="J176" s="28"/>
      <c r="K176" s="18"/>
      <c r="L176" s="18"/>
      <c r="M176" s="18"/>
      <c r="N176" s="18"/>
      <c r="O176" s="18"/>
      <c r="P176" s="18"/>
      <c r="Q176" s="18"/>
      <c r="R176" s="18"/>
      <c r="S176" s="18"/>
      <c r="T176" s="18"/>
      <c r="U176" s="18"/>
      <c r="V176" s="18"/>
      <c r="W176" s="18"/>
      <c r="X176" s="18"/>
      <c r="Y176" s="18"/>
      <c r="Z176" s="18"/>
      <c r="AA176" s="18"/>
      <c r="AB176" s="18"/>
    </row>
    <row r="177" spans="1:28" x14ac:dyDescent="0.25">
      <c r="A177" s="18"/>
      <c r="B177" s="18" t="e">
        <f xml:space="preserve"> MID(A177,SEARCH(":",A177)+2,SEARCH(":",A177,SEARCH(":",A177)+1)-SEARCH(":",A177)-3)</f>
        <v>#VALUE!</v>
      </c>
      <c r="C177" s="18" t="e">
        <f>"part:"&amp;MID(A177,SEARCH(":",A177)+1,SEARCH(":",A177,SEARCH(":",A177)+1)-SEARCH(":",A177)-1)</f>
        <v>#VALUE!</v>
      </c>
      <c r="D177" s="18"/>
      <c r="E177" s="18"/>
      <c r="F177" s="18" t="e">
        <f>DATEVALUE(SUBSTITUTE(LEFT(E177,SEARCH(" ",E177)-1),".","/"))</f>
        <v>#VALUE!</v>
      </c>
      <c r="G177" s="26"/>
      <c r="H177" s="18"/>
      <c r="I177" s="18"/>
      <c r="J177" s="28"/>
      <c r="K177" s="18"/>
      <c r="L177" s="18"/>
      <c r="M177" s="18"/>
      <c r="N177" s="18"/>
      <c r="O177" s="18"/>
      <c r="P177" s="18"/>
      <c r="Q177" s="18"/>
      <c r="R177" s="18"/>
      <c r="S177" s="18"/>
      <c r="T177" s="18"/>
      <c r="U177" s="18"/>
      <c r="V177" s="18"/>
      <c r="W177" s="18"/>
      <c r="X177" s="18"/>
      <c r="Y177" s="18"/>
      <c r="Z177" s="18"/>
      <c r="AA177" s="18"/>
      <c r="AB177" s="18"/>
    </row>
    <row r="178" spans="1:28" x14ac:dyDescent="0.25">
      <c r="A178" s="18"/>
      <c r="B178" s="18" t="e">
        <f xml:space="preserve"> MID(A178,SEARCH(":",A178)+2,SEARCH(":",A178,SEARCH(":",A178)+1)-SEARCH(":",A178)-3)</f>
        <v>#VALUE!</v>
      </c>
      <c r="C178" s="18" t="e">
        <f>"part:"&amp;MID(A178,SEARCH(":",A178)+1,SEARCH(":",A178,SEARCH(":",A178)+1)-SEARCH(":",A178)-1)</f>
        <v>#VALUE!</v>
      </c>
      <c r="D178" s="18"/>
      <c r="E178" s="18"/>
      <c r="F178" s="18" t="e">
        <f>DATEVALUE(SUBSTITUTE(LEFT(E178,SEARCH(" ",E178)-1),".","/"))</f>
        <v>#VALUE!</v>
      </c>
      <c r="G178" s="26"/>
      <c r="H178" s="18"/>
      <c r="I178" s="18"/>
      <c r="J178" s="28"/>
      <c r="K178" s="18"/>
      <c r="L178" s="18"/>
      <c r="M178" s="18"/>
      <c r="N178" s="18"/>
      <c r="O178" s="18"/>
      <c r="P178" s="18"/>
      <c r="Q178" s="18"/>
      <c r="R178" s="18"/>
      <c r="S178" s="18"/>
      <c r="T178" s="18"/>
      <c r="U178" s="18"/>
      <c r="V178" s="18"/>
      <c r="W178" s="18"/>
      <c r="X178" s="18"/>
      <c r="Y178" s="18"/>
      <c r="Z178" s="18"/>
      <c r="AA178" s="18"/>
      <c r="AB178" s="18"/>
    </row>
    <row r="179" spans="1:28" x14ac:dyDescent="0.25">
      <c r="A179" s="18"/>
      <c r="B179" s="18" t="e">
        <f xml:space="preserve"> MID(A179,SEARCH(":",A179)+2,SEARCH(":",A179,SEARCH(":",A179)+1)-SEARCH(":",A179)-3)</f>
        <v>#VALUE!</v>
      </c>
      <c r="C179" s="18" t="e">
        <f>"part:"&amp;MID(A179,SEARCH(":",A179)+1,SEARCH(":",A179,SEARCH(":",A179)+1)-SEARCH(":",A179)-1)</f>
        <v>#VALUE!</v>
      </c>
      <c r="D179" s="18"/>
      <c r="E179" s="18"/>
      <c r="F179" s="18" t="e">
        <f>DATEVALUE(SUBSTITUTE(LEFT(E179,SEARCH(" ",E179)-1),".","/"))</f>
        <v>#VALUE!</v>
      </c>
      <c r="G179" s="26"/>
      <c r="H179" s="18"/>
      <c r="I179" s="18"/>
      <c r="J179" s="28"/>
      <c r="K179" s="18"/>
      <c r="L179" s="18"/>
      <c r="M179" s="18"/>
      <c r="N179" s="18"/>
      <c r="O179" s="18"/>
      <c r="P179" s="18"/>
      <c r="Q179" s="18"/>
      <c r="R179" s="18"/>
      <c r="S179" s="18"/>
      <c r="T179" s="18"/>
      <c r="U179" s="18"/>
      <c r="V179" s="18"/>
      <c r="W179" s="18"/>
      <c r="X179" s="18"/>
      <c r="Y179" s="18"/>
      <c r="Z179" s="18"/>
      <c r="AA179" s="18"/>
      <c r="AB179" s="18"/>
    </row>
    <row r="180" spans="1:28" x14ac:dyDescent="0.25">
      <c r="A180" s="18"/>
      <c r="B180" s="18" t="e">
        <f xml:space="preserve"> MID(A180,SEARCH(":",A180)+2,SEARCH(":",A180,SEARCH(":",A180)+1)-SEARCH(":",A180)-3)</f>
        <v>#VALUE!</v>
      </c>
      <c r="C180" s="18" t="e">
        <f>"part:"&amp;MID(A180,SEARCH(":",A180)+1,SEARCH(":",A180,SEARCH(":",A180)+1)-SEARCH(":",A180)-1)</f>
        <v>#VALUE!</v>
      </c>
      <c r="D180" s="18"/>
      <c r="E180" s="18"/>
      <c r="F180" s="18" t="e">
        <f>DATEVALUE(SUBSTITUTE(LEFT(E180,SEARCH(" ",E180)-1),".","/"))</f>
        <v>#VALUE!</v>
      </c>
      <c r="G180" s="26"/>
      <c r="H180" s="18"/>
      <c r="I180" s="18"/>
      <c r="J180" s="28"/>
      <c r="K180" s="18"/>
      <c r="L180" s="18"/>
      <c r="M180" s="18"/>
      <c r="N180" s="18"/>
      <c r="O180" s="18"/>
      <c r="P180" s="18"/>
      <c r="Q180" s="18"/>
      <c r="R180" s="18"/>
      <c r="S180" s="18"/>
      <c r="T180" s="18"/>
      <c r="U180" s="18"/>
      <c r="V180" s="18"/>
      <c r="W180" s="18"/>
      <c r="X180" s="18"/>
      <c r="Y180" s="18"/>
      <c r="Z180" s="18"/>
      <c r="AA180" s="18"/>
      <c r="AB180" s="18"/>
    </row>
    <row r="181" spans="1:28" x14ac:dyDescent="0.25">
      <c r="A181" s="18"/>
      <c r="B181" s="18" t="e">
        <f xml:space="preserve"> MID(A181,SEARCH(":",A181)+2,SEARCH(":",A181,SEARCH(":",A181)+1)-SEARCH(":",A181)-3)</f>
        <v>#VALUE!</v>
      </c>
      <c r="C181" s="18" t="e">
        <f>"part:"&amp;MID(A181,SEARCH(":",A181)+1,SEARCH(":",A181,SEARCH(":",A181)+1)-SEARCH(":",A181)-1)</f>
        <v>#VALUE!</v>
      </c>
      <c r="D181" s="18"/>
      <c r="E181" s="18"/>
      <c r="F181" s="18" t="e">
        <f>DATEVALUE(SUBSTITUTE(LEFT(E181,SEARCH(" ",E181)-1),".","/"))</f>
        <v>#VALUE!</v>
      </c>
      <c r="G181" s="26"/>
      <c r="H181" s="18"/>
      <c r="I181" s="18"/>
      <c r="J181" s="28"/>
      <c r="K181" s="18"/>
      <c r="L181" s="18"/>
      <c r="M181" s="18"/>
      <c r="N181" s="18"/>
      <c r="O181" s="18"/>
      <c r="P181" s="18"/>
      <c r="Q181" s="18"/>
      <c r="R181" s="18"/>
      <c r="S181" s="18"/>
      <c r="T181" s="18"/>
      <c r="U181" s="18"/>
      <c r="V181" s="18"/>
      <c r="W181" s="18"/>
      <c r="X181" s="18"/>
      <c r="Y181" s="18"/>
      <c r="Z181" s="18"/>
      <c r="AA181" s="18"/>
      <c r="AB181" s="18"/>
    </row>
    <row r="182" spans="1:28" x14ac:dyDescent="0.25">
      <c r="A182" s="18"/>
      <c r="B182" s="18" t="e">
        <f xml:space="preserve"> MID(A182,SEARCH(":",A182)+2,SEARCH(":",A182,SEARCH(":",A182)+1)-SEARCH(":",A182)-3)</f>
        <v>#VALUE!</v>
      </c>
      <c r="C182" s="18" t="e">
        <f>"part:"&amp;MID(A182,SEARCH(":",A182)+1,SEARCH(":",A182,SEARCH(":",A182)+1)-SEARCH(":",A182)-1)</f>
        <v>#VALUE!</v>
      </c>
      <c r="D182" s="18"/>
      <c r="E182" s="18"/>
      <c r="F182" s="18" t="e">
        <f>DATEVALUE(SUBSTITUTE(LEFT(E182,SEARCH(" ",E182)-1),".","/"))</f>
        <v>#VALUE!</v>
      </c>
      <c r="G182" s="26"/>
      <c r="H182" s="18"/>
      <c r="I182" s="18"/>
      <c r="J182" s="28"/>
      <c r="K182" s="18"/>
      <c r="L182" s="18"/>
      <c r="M182" s="18"/>
      <c r="N182" s="18"/>
      <c r="O182" s="18"/>
      <c r="P182" s="18"/>
      <c r="Q182" s="18"/>
      <c r="R182" s="18"/>
      <c r="S182" s="18"/>
      <c r="T182" s="18"/>
      <c r="U182" s="18"/>
      <c r="V182" s="18"/>
      <c r="W182" s="18"/>
      <c r="X182" s="18"/>
      <c r="Y182" s="18"/>
      <c r="Z182" s="18"/>
      <c r="AA182" s="18"/>
      <c r="AB182" s="18"/>
    </row>
    <row r="183" spans="1:28" x14ac:dyDescent="0.25">
      <c r="A183" s="18"/>
      <c r="B183" s="18" t="e">
        <f xml:space="preserve"> MID(A183,SEARCH(":",A183)+2,SEARCH(":",A183,SEARCH(":",A183)+1)-SEARCH(":",A183)-3)</f>
        <v>#VALUE!</v>
      </c>
      <c r="C183" s="18" t="e">
        <f>"part:"&amp;MID(A183,SEARCH(":",A183)+1,SEARCH(":",A183,SEARCH(":",A183)+1)-SEARCH(":",A183)-1)</f>
        <v>#VALUE!</v>
      </c>
      <c r="D183" s="18"/>
      <c r="E183" s="18"/>
      <c r="F183" s="18" t="e">
        <f>DATEVALUE(SUBSTITUTE(LEFT(E183,SEARCH(" ",E183)-1),".","/"))</f>
        <v>#VALUE!</v>
      </c>
      <c r="G183" s="26"/>
      <c r="H183" s="18"/>
      <c r="I183" s="18"/>
      <c r="J183" s="28"/>
      <c r="K183" s="18"/>
      <c r="L183" s="18"/>
      <c r="M183" s="18"/>
      <c r="N183" s="18"/>
      <c r="O183" s="18"/>
      <c r="P183" s="18"/>
      <c r="Q183" s="18"/>
      <c r="R183" s="18"/>
      <c r="S183" s="18"/>
      <c r="T183" s="18"/>
      <c r="U183" s="18"/>
      <c r="V183" s="18"/>
      <c r="W183" s="18"/>
      <c r="X183" s="18"/>
      <c r="Y183" s="18"/>
      <c r="Z183" s="18"/>
      <c r="AA183" s="18"/>
      <c r="AB183" s="18"/>
    </row>
    <row r="184" spans="1:28" x14ac:dyDescent="0.25">
      <c r="A184" s="18"/>
      <c r="B184" s="18" t="e">
        <f xml:space="preserve"> MID(A184,SEARCH(":",A184)+2,SEARCH(":",A184,SEARCH(":",A184)+1)-SEARCH(":",A184)-3)</f>
        <v>#VALUE!</v>
      </c>
      <c r="C184" s="18" t="e">
        <f>"part:"&amp;MID(A184,SEARCH(":",A184)+1,SEARCH(":",A184,SEARCH(":",A184)+1)-SEARCH(":",A184)-1)</f>
        <v>#VALUE!</v>
      </c>
      <c r="D184" s="18"/>
      <c r="E184" s="18"/>
      <c r="F184" s="18" t="e">
        <f>DATEVALUE(SUBSTITUTE(LEFT(E184,SEARCH(" ",E184)-1),".","/"))</f>
        <v>#VALUE!</v>
      </c>
      <c r="G184" s="26"/>
      <c r="H184" s="18"/>
      <c r="I184" s="18"/>
      <c r="J184" s="28"/>
      <c r="K184" s="18"/>
      <c r="L184" s="18"/>
      <c r="M184" s="18"/>
      <c r="N184" s="18"/>
      <c r="O184" s="18"/>
      <c r="P184" s="18"/>
      <c r="Q184" s="18"/>
      <c r="R184" s="18"/>
      <c r="S184" s="18"/>
      <c r="T184" s="18"/>
      <c r="U184" s="18"/>
      <c r="V184" s="18"/>
      <c r="W184" s="18"/>
      <c r="X184" s="18"/>
      <c r="Y184" s="18"/>
      <c r="Z184" s="18"/>
      <c r="AA184" s="18"/>
      <c r="AB184" s="18"/>
    </row>
    <row r="185" spans="1:28" x14ac:dyDescent="0.25">
      <c r="A185" s="18"/>
      <c r="B185" s="18" t="e">
        <f xml:space="preserve"> MID(A185,SEARCH(":",A185)+2,SEARCH(":",A185,SEARCH(":",A185)+1)-SEARCH(":",A185)-3)</f>
        <v>#VALUE!</v>
      </c>
      <c r="C185" s="18" t="e">
        <f>"part:"&amp;MID(A185,SEARCH(":",A185)+1,SEARCH(":",A185,SEARCH(":",A185)+1)-SEARCH(":",A185)-1)</f>
        <v>#VALUE!</v>
      </c>
      <c r="D185" s="18"/>
      <c r="E185" s="18"/>
      <c r="F185" s="18" t="e">
        <f>DATEVALUE(SUBSTITUTE(LEFT(E185,SEARCH(" ",E185)-1),".","/"))</f>
        <v>#VALUE!</v>
      </c>
      <c r="G185" s="26"/>
      <c r="H185" s="18"/>
      <c r="I185" s="18"/>
      <c r="J185" s="28"/>
      <c r="K185" s="18"/>
      <c r="L185" s="18"/>
      <c r="M185" s="18"/>
      <c r="N185" s="18"/>
      <c r="O185" s="18"/>
      <c r="P185" s="18"/>
      <c r="Q185" s="18"/>
      <c r="R185" s="18"/>
      <c r="S185" s="18"/>
      <c r="T185" s="18"/>
      <c r="U185" s="18"/>
      <c r="V185" s="18"/>
      <c r="W185" s="18"/>
      <c r="X185" s="18"/>
      <c r="Y185" s="18"/>
      <c r="Z185" s="18"/>
      <c r="AA185" s="18"/>
      <c r="AB185" s="18"/>
    </row>
    <row r="186" spans="1:28" x14ac:dyDescent="0.25">
      <c r="A186" s="18"/>
      <c r="B186" s="18" t="e">
        <f xml:space="preserve"> MID(A186,SEARCH(":",A186)+2,SEARCH(":",A186,SEARCH(":",A186)+1)-SEARCH(":",A186)-3)</f>
        <v>#VALUE!</v>
      </c>
      <c r="C186" s="18" t="e">
        <f>"part:"&amp;MID(A186,SEARCH(":",A186)+1,SEARCH(":",A186,SEARCH(":",A186)+1)-SEARCH(":",A186)-1)</f>
        <v>#VALUE!</v>
      </c>
      <c r="D186" s="18"/>
      <c r="E186" s="18"/>
      <c r="F186" s="18" t="e">
        <f>DATEVALUE(SUBSTITUTE(LEFT(E186,SEARCH(" ",E186)-1),".","/"))</f>
        <v>#VALUE!</v>
      </c>
      <c r="G186" s="26"/>
      <c r="H186" s="18"/>
      <c r="I186" s="18"/>
      <c r="J186" s="28"/>
      <c r="K186" s="18"/>
      <c r="L186" s="18"/>
      <c r="M186" s="18"/>
      <c r="N186" s="18"/>
      <c r="O186" s="18"/>
      <c r="P186" s="18"/>
      <c r="Q186" s="18"/>
      <c r="R186" s="18"/>
      <c r="S186" s="18"/>
      <c r="T186" s="18"/>
      <c r="U186" s="18"/>
      <c r="V186" s="18"/>
      <c r="W186" s="18"/>
      <c r="X186" s="18"/>
      <c r="Y186" s="18"/>
      <c r="Z186" s="18"/>
      <c r="AA186" s="18"/>
      <c r="AB186" s="18"/>
    </row>
    <row r="187" spans="1:28" x14ac:dyDescent="0.25">
      <c r="A187" s="18"/>
      <c r="B187" s="18" t="e">
        <f xml:space="preserve"> MID(A187,SEARCH(":",A187)+2,SEARCH(":",A187,SEARCH(":",A187)+1)-SEARCH(":",A187)-3)</f>
        <v>#VALUE!</v>
      </c>
      <c r="C187" s="18" t="e">
        <f>"part:"&amp;MID(A187,SEARCH(":",A187)+1,SEARCH(":",A187,SEARCH(":",A187)+1)-SEARCH(":",A187)-1)</f>
        <v>#VALUE!</v>
      </c>
      <c r="D187" s="18"/>
      <c r="E187" s="18"/>
      <c r="F187" s="18" t="e">
        <f>DATEVALUE(SUBSTITUTE(LEFT(E187,SEARCH(" ",E187)-1),".","/"))</f>
        <v>#VALUE!</v>
      </c>
      <c r="G187" s="26"/>
      <c r="H187" s="18"/>
      <c r="I187" s="18"/>
      <c r="J187" s="28"/>
      <c r="K187" s="18"/>
      <c r="L187" s="18"/>
      <c r="M187" s="18"/>
      <c r="N187" s="18"/>
      <c r="O187" s="18"/>
      <c r="P187" s="18"/>
      <c r="Q187" s="18"/>
      <c r="R187" s="18"/>
      <c r="S187" s="18"/>
      <c r="T187" s="18"/>
      <c r="U187" s="18"/>
      <c r="V187" s="18"/>
      <c r="W187" s="18"/>
      <c r="X187" s="18"/>
      <c r="Y187" s="18"/>
      <c r="Z187" s="18"/>
      <c r="AA187" s="18"/>
      <c r="AB187" s="18"/>
    </row>
    <row r="188" spans="1:28" x14ac:dyDescent="0.25">
      <c r="A188" s="18"/>
      <c r="B188" s="18" t="e">
        <f xml:space="preserve"> MID(A188,SEARCH(":",A188)+2,SEARCH(":",A188,SEARCH(":",A188)+1)-SEARCH(":",A188)-3)</f>
        <v>#VALUE!</v>
      </c>
      <c r="C188" s="18" t="e">
        <f>"part:"&amp;MID(A188,SEARCH(":",A188)+1,SEARCH(":",A188,SEARCH(":",A188)+1)-SEARCH(":",A188)-1)</f>
        <v>#VALUE!</v>
      </c>
      <c r="D188" s="18"/>
      <c r="E188" s="18"/>
      <c r="F188" s="18" t="e">
        <f>DATEVALUE(SUBSTITUTE(LEFT(E188,SEARCH(" ",E188)-1),".","/"))</f>
        <v>#VALUE!</v>
      </c>
      <c r="G188" s="26"/>
      <c r="H188" s="18"/>
      <c r="I188" s="18"/>
      <c r="J188" s="28"/>
      <c r="K188" s="18"/>
      <c r="L188" s="18"/>
      <c r="M188" s="18"/>
      <c r="N188" s="18"/>
      <c r="O188" s="18"/>
      <c r="P188" s="18"/>
      <c r="Q188" s="18"/>
      <c r="R188" s="18"/>
      <c r="S188" s="18"/>
      <c r="T188" s="18"/>
      <c r="U188" s="18"/>
      <c r="V188" s="18"/>
      <c r="W188" s="18"/>
      <c r="X188" s="18"/>
      <c r="Y188" s="18"/>
      <c r="Z188" s="18"/>
      <c r="AA188" s="18"/>
      <c r="AB188" s="18"/>
    </row>
    <row r="189" spans="1:28" x14ac:dyDescent="0.25">
      <c r="A189" s="18"/>
      <c r="B189" s="18" t="e">
        <f xml:space="preserve"> MID(A189,SEARCH(":",A189)+2,SEARCH(":",A189,SEARCH(":",A189)+1)-SEARCH(":",A189)-3)</f>
        <v>#VALUE!</v>
      </c>
      <c r="C189" s="18" t="e">
        <f>"part:"&amp;MID(A189,SEARCH(":",A189)+1,SEARCH(":",A189,SEARCH(":",A189)+1)-SEARCH(":",A189)-1)</f>
        <v>#VALUE!</v>
      </c>
      <c r="D189" s="18"/>
      <c r="E189" s="18"/>
      <c r="F189" s="18" t="e">
        <f>DATEVALUE(SUBSTITUTE(LEFT(E189,SEARCH(" ",E189)-1),".","/"))</f>
        <v>#VALUE!</v>
      </c>
      <c r="G189" s="26"/>
      <c r="H189" s="18"/>
      <c r="I189" s="18"/>
      <c r="J189" s="28"/>
      <c r="K189" s="18"/>
      <c r="L189" s="18"/>
      <c r="M189" s="18"/>
      <c r="N189" s="18"/>
      <c r="O189" s="18"/>
      <c r="P189" s="18"/>
      <c r="Q189" s="18"/>
      <c r="R189" s="18"/>
      <c r="S189" s="18"/>
      <c r="T189" s="18"/>
      <c r="U189" s="18"/>
      <c r="V189" s="18"/>
      <c r="W189" s="18"/>
      <c r="X189" s="18"/>
      <c r="Y189" s="18"/>
      <c r="Z189" s="18"/>
      <c r="AA189" s="18"/>
      <c r="AB189" s="18"/>
    </row>
    <row r="190" spans="1:28" x14ac:dyDescent="0.25">
      <c r="A190" s="18"/>
      <c r="B190" s="18" t="e">
        <f xml:space="preserve"> MID(A190,SEARCH(":",A190)+2,SEARCH(":",A190,SEARCH(":",A190)+1)-SEARCH(":",A190)-3)</f>
        <v>#VALUE!</v>
      </c>
      <c r="C190" s="18" t="e">
        <f>"part:"&amp;MID(A190,SEARCH(":",A190)+1,SEARCH(":",A190,SEARCH(":",A190)+1)-SEARCH(":",A190)-1)</f>
        <v>#VALUE!</v>
      </c>
      <c r="D190" s="18"/>
      <c r="E190" s="18"/>
      <c r="F190" s="18" t="e">
        <f>DATEVALUE(SUBSTITUTE(LEFT(E190,SEARCH(" ",E190)-1),".","/"))</f>
        <v>#VALUE!</v>
      </c>
      <c r="G190" s="26"/>
      <c r="H190" s="18"/>
      <c r="I190" s="18"/>
      <c r="J190" s="28"/>
      <c r="K190" s="18"/>
      <c r="L190" s="18"/>
      <c r="M190" s="18"/>
      <c r="N190" s="18"/>
      <c r="O190" s="18"/>
      <c r="P190" s="18"/>
      <c r="Q190" s="18"/>
      <c r="R190" s="18"/>
      <c r="S190" s="18"/>
      <c r="T190" s="18"/>
      <c r="U190" s="18"/>
      <c r="V190" s="18"/>
      <c r="W190" s="18"/>
      <c r="X190" s="18"/>
      <c r="Y190" s="18"/>
      <c r="Z190" s="18"/>
      <c r="AA190" s="18"/>
      <c r="AB190" s="18"/>
    </row>
    <row r="191" spans="1:28" x14ac:dyDescent="0.25">
      <c r="A191" s="18"/>
      <c r="B191" s="18" t="e">
        <f xml:space="preserve"> MID(A191,SEARCH(":",A191)+2,SEARCH(":",A191,SEARCH(":",A191)+1)-SEARCH(":",A191)-3)</f>
        <v>#VALUE!</v>
      </c>
      <c r="C191" s="18" t="e">
        <f>"part:"&amp;MID(A191,SEARCH(":",A191)+1,SEARCH(":",A191,SEARCH(":",A191)+1)-SEARCH(":",A191)-1)</f>
        <v>#VALUE!</v>
      </c>
      <c r="D191" s="18"/>
      <c r="E191" s="18"/>
      <c r="F191" s="18" t="e">
        <f>DATEVALUE(SUBSTITUTE(LEFT(E191,SEARCH(" ",E191)-1),".","/"))</f>
        <v>#VALUE!</v>
      </c>
      <c r="G191" s="26"/>
      <c r="H191" s="18"/>
      <c r="I191" s="18"/>
      <c r="J191" s="28"/>
      <c r="K191" s="18"/>
      <c r="L191" s="18"/>
      <c r="M191" s="18"/>
      <c r="N191" s="18"/>
      <c r="O191" s="18"/>
      <c r="P191" s="18"/>
      <c r="Q191" s="18"/>
      <c r="R191" s="18"/>
      <c r="S191" s="18"/>
      <c r="T191" s="18"/>
      <c r="U191" s="18"/>
      <c r="V191" s="18"/>
      <c r="W191" s="18"/>
      <c r="X191" s="18"/>
      <c r="Y191" s="18"/>
      <c r="Z191" s="18"/>
      <c r="AA191" s="18"/>
      <c r="AB191" s="18"/>
    </row>
    <row r="192" spans="1:28" x14ac:dyDescent="0.25">
      <c r="A192" s="18"/>
      <c r="B192" s="18" t="e">
        <f xml:space="preserve"> MID(A192,SEARCH(":",A192)+2,SEARCH(":",A192,SEARCH(":",A192)+1)-SEARCH(":",A192)-3)</f>
        <v>#VALUE!</v>
      </c>
      <c r="C192" s="18" t="e">
        <f>"part:"&amp;MID(A192,SEARCH(":",A192)+1,SEARCH(":",A192,SEARCH(":",A192)+1)-SEARCH(":",A192)-1)</f>
        <v>#VALUE!</v>
      </c>
      <c r="D192" s="18"/>
      <c r="E192" s="18"/>
      <c r="F192" s="18" t="e">
        <f>DATEVALUE(SUBSTITUTE(LEFT(E192,SEARCH(" ",E192)-1),".","/"))</f>
        <v>#VALUE!</v>
      </c>
      <c r="G192" s="26"/>
      <c r="H192" s="18"/>
      <c r="I192" s="18"/>
      <c r="J192" s="28"/>
      <c r="K192" s="18"/>
      <c r="L192" s="18"/>
      <c r="M192" s="18"/>
      <c r="N192" s="18"/>
      <c r="O192" s="18"/>
      <c r="P192" s="18"/>
      <c r="Q192" s="18"/>
      <c r="R192" s="18"/>
      <c r="S192" s="18"/>
      <c r="T192" s="18"/>
      <c r="U192" s="18"/>
      <c r="V192" s="18"/>
      <c r="W192" s="18"/>
      <c r="X192" s="18"/>
      <c r="Y192" s="18"/>
      <c r="Z192" s="18"/>
      <c r="AA192" s="18"/>
      <c r="AB192" s="18"/>
    </row>
    <row r="193" spans="1:28" x14ac:dyDescent="0.25">
      <c r="A193" s="18"/>
      <c r="B193" s="18" t="e">
        <f xml:space="preserve"> MID(A193,SEARCH(":",A193)+2,SEARCH(":",A193,SEARCH(":",A193)+1)-SEARCH(":",A193)-3)</f>
        <v>#VALUE!</v>
      </c>
      <c r="C193" s="18" t="e">
        <f>"part:"&amp;MID(A193,SEARCH(":",A193)+1,SEARCH(":",A193,SEARCH(":",A193)+1)-SEARCH(":",A193)-1)</f>
        <v>#VALUE!</v>
      </c>
      <c r="D193" s="18"/>
      <c r="E193" s="18"/>
      <c r="F193" s="18" t="e">
        <f>DATEVALUE(SUBSTITUTE(LEFT(E193,SEARCH(" ",E193)-1),".","/"))</f>
        <v>#VALUE!</v>
      </c>
      <c r="G193" s="26"/>
      <c r="H193" s="18"/>
      <c r="I193" s="18"/>
      <c r="J193" s="28"/>
      <c r="K193" s="18"/>
      <c r="L193" s="18"/>
      <c r="M193" s="18"/>
      <c r="N193" s="18"/>
      <c r="O193" s="18"/>
      <c r="P193" s="18"/>
      <c r="Q193" s="18"/>
      <c r="R193" s="18"/>
      <c r="S193" s="18"/>
      <c r="T193" s="18"/>
      <c r="U193" s="18"/>
      <c r="V193" s="18"/>
      <c r="W193" s="18"/>
      <c r="X193" s="18"/>
      <c r="Y193" s="18"/>
      <c r="Z193" s="18"/>
      <c r="AA193" s="18"/>
      <c r="AB193" s="18"/>
    </row>
    <row r="194" spans="1:28" x14ac:dyDescent="0.25">
      <c r="A194" s="18"/>
      <c r="B194" s="18" t="e">
        <f xml:space="preserve"> MID(A194,SEARCH(":",A194)+2,SEARCH(":",A194,SEARCH(":",A194)+1)-SEARCH(":",A194)-3)</f>
        <v>#VALUE!</v>
      </c>
      <c r="C194" s="18" t="e">
        <f>"part:"&amp;MID(A194,SEARCH(":",A194)+1,SEARCH(":",A194,SEARCH(":",A194)+1)-SEARCH(":",A194)-1)</f>
        <v>#VALUE!</v>
      </c>
      <c r="D194" s="18"/>
      <c r="E194" s="18"/>
      <c r="F194" s="18" t="e">
        <f>DATEVALUE(SUBSTITUTE(LEFT(E194,SEARCH(" ",E194)-1),".","/"))</f>
        <v>#VALUE!</v>
      </c>
      <c r="G194" s="26"/>
      <c r="H194" s="18"/>
      <c r="I194" s="18"/>
      <c r="J194" s="28"/>
      <c r="K194" s="18"/>
      <c r="L194" s="18"/>
      <c r="M194" s="18"/>
      <c r="N194" s="18"/>
      <c r="O194" s="18"/>
      <c r="P194" s="18"/>
      <c r="Q194" s="18"/>
      <c r="R194" s="18"/>
      <c r="S194" s="18"/>
      <c r="T194" s="18"/>
      <c r="U194" s="18"/>
      <c r="V194" s="18"/>
      <c r="W194" s="18"/>
      <c r="X194" s="18"/>
      <c r="Y194" s="18"/>
      <c r="Z194" s="18"/>
      <c r="AA194" s="18"/>
      <c r="AB194" s="18"/>
    </row>
    <row r="195" spans="1:28" x14ac:dyDescent="0.25">
      <c r="A195" s="18"/>
      <c r="B195" s="18" t="e">
        <f xml:space="preserve"> MID(A195,SEARCH(":",A195)+2,SEARCH(":",A195,SEARCH(":",A195)+1)-SEARCH(":",A195)-3)</f>
        <v>#VALUE!</v>
      </c>
      <c r="C195" s="18" t="e">
        <f>"part:"&amp;MID(A195,SEARCH(":",A195)+1,SEARCH(":",A195,SEARCH(":",A195)+1)-SEARCH(":",A195)-1)</f>
        <v>#VALUE!</v>
      </c>
      <c r="D195" s="18"/>
      <c r="E195" s="18"/>
      <c r="F195" s="18" t="e">
        <f>DATEVALUE(SUBSTITUTE(LEFT(E195,SEARCH(" ",E195)-1),".","/"))</f>
        <v>#VALUE!</v>
      </c>
      <c r="G195" s="26"/>
      <c r="H195" s="18"/>
      <c r="I195" s="18"/>
      <c r="J195" s="28"/>
      <c r="K195" s="18"/>
      <c r="L195" s="18"/>
      <c r="M195" s="18"/>
      <c r="N195" s="18"/>
      <c r="O195" s="18"/>
      <c r="P195" s="18"/>
      <c r="Q195" s="18"/>
      <c r="R195" s="18"/>
      <c r="S195" s="18"/>
      <c r="T195" s="18"/>
      <c r="U195" s="18"/>
      <c r="V195" s="18"/>
      <c r="W195" s="18"/>
      <c r="X195" s="18"/>
      <c r="Y195" s="18"/>
      <c r="Z195" s="18"/>
      <c r="AA195" s="18"/>
      <c r="AB195" s="18"/>
    </row>
    <row r="196" spans="1:28" x14ac:dyDescent="0.25">
      <c r="A196" s="18"/>
      <c r="B196" s="18" t="e">
        <f xml:space="preserve"> MID(A196,SEARCH(":",A196)+2,SEARCH(":",A196,SEARCH(":",A196)+1)-SEARCH(":",A196)-3)</f>
        <v>#VALUE!</v>
      </c>
      <c r="C196" s="18" t="e">
        <f>"part:"&amp;MID(A196,SEARCH(":",A196)+1,SEARCH(":",A196,SEARCH(":",A196)+1)-SEARCH(":",A196)-1)</f>
        <v>#VALUE!</v>
      </c>
      <c r="D196" s="18"/>
      <c r="E196" s="18"/>
      <c r="F196" s="18" t="e">
        <f>DATEVALUE(SUBSTITUTE(LEFT(E196,SEARCH(" ",E196)-1),".","/"))</f>
        <v>#VALUE!</v>
      </c>
      <c r="G196" s="26"/>
      <c r="H196" s="18"/>
      <c r="I196" s="18"/>
      <c r="J196" s="28"/>
      <c r="K196" s="18"/>
      <c r="L196" s="18"/>
      <c r="M196" s="18"/>
      <c r="N196" s="18"/>
      <c r="O196" s="18"/>
      <c r="P196" s="18"/>
      <c r="Q196" s="18"/>
      <c r="R196" s="18"/>
      <c r="S196" s="18"/>
      <c r="T196" s="18"/>
      <c r="U196" s="18"/>
      <c r="V196" s="18"/>
      <c r="W196" s="18"/>
      <c r="X196" s="18"/>
      <c r="Y196" s="18"/>
      <c r="Z196" s="18"/>
      <c r="AA196" s="18"/>
      <c r="AB196" s="18"/>
    </row>
    <row r="197" spans="1:28" x14ac:dyDescent="0.25">
      <c r="A197" s="18"/>
      <c r="B197" s="18" t="e">
        <f xml:space="preserve"> MID(A197,SEARCH(":",A197)+2,SEARCH(":",A197,SEARCH(":",A197)+1)-SEARCH(":",A197)-3)</f>
        <v>#VALUE!</v>
      </c>
      <c r="C197" s="18" t="e">
        <f>"part:"&amp;MID(A197,SEARCH(":",A197)+1,SEARCH(":",A197,SEARCH(":",A197)+1)-SEARCH(":",A197)-1)</f>
        <v>#VALUE!</v>
      </c>
      <c r="D197" s="18"/>
      <c r="E197" s="18"/>
      <c r="F197" s="18" t="e">
        <f>DATEVALUE(SUBSTITUTE(LEFT(E197,SEARCH(" ",E197)-1),".","/"))</f>
        <v>#VALUE!</v>
      </c>
      <c r="G197" s="26"/>
      <c r="H197" s="18"/>
      <c r="I197" s="18"/>
      <c r="J197" s="28"/>
      <c r="K197" s="18"/>
      <c r="L197" s="18"/>
      <c r="M197" s="18"/>
      <c r="N197" s="18"/>
      <c r="O197" s="18"/>
      <c r="P197" s="18"/>
      <c r="Q197" s="18"/>
      <c r="R197" s="18"/>
      <c r="S197" s="18"/>
      <c r="T197" s="18"/>
      <c r="U197" s="18"/>
      <c r="V197" s="18"/>
      <c r="W197" s="18"/>
      <c r="X197" s="18"/>
      <c r="Y197" s="18"/>
      <c r="Z197" s="18"/>
      <c r="AA197" s="18"/>
      <c r="AB197" s="18"/>
    </row>
    <row r="198" spans="1:28" x14ac:dyDescent="0.25">
      <c r="A198" s="18"/>
      <c r="B198" s="18" t="e">
        <f xml:space="preserve"> MID(A198,SEARCH(":",A198)+2,SEARCH(":",A198,SEARCH(":",A198)+1)-SEARCH(":",A198)-3)</f>
        <v>#VALUE!</v>
      </c>
      <c r="C198" s="18" t="e">
        <f>"part:"&amp;MID(A198,SEARCH(":",A198)+1,SEARCH(":",A198,SEARCH(":",A198)+1)-SEARCH(":",A198)-1)</f>
        <v>#VALUE!</v>
      </c>
      <c r="D198" s="18"/>
      <c r="E198" s="18"/>
      <c r="F198" s="18" t="e">
        <f>DATEVALUE(SUBSTITUTE(LEFT(E198,SEARCH(" ",E198)-1),".","/"))</f>
        <v>#VALUE!</v>
      </c>
      <c r="G198" s="26"/>
      <c r="H198" s="18"/>
      <c r="I198" s="18"/>
      <c r="J198" s="28"/>
      <c r="K198" s="18"/>
      <c r="L198" s="18"/>
      <c r="M198" s="18"/>
      <c r="N198" s="18"/>
      <c r="O198" s="18"/>
      <c r="P198" s="18"/>
      <c r="Q198" s="18"/>
      <c r="R198" s="18"/>
      <c r="S198" s="18"/>
      <c r="T198" s="18"/>
      <c r="U198" s="18"/>
      <c r="V198" s="18"/>
      <c r="W198" s="18"/>
      <c r="X198" s="18"/>
      <c r="Y198" s="18"/>
      <c r="Z198" s="18"/>
      <c r="AA198" s="18"/>
      <c r="AB198" s="18"/>
    </row>
    <row r="199" spans="1:28" x14ac:dyDescent="0.25">
      <c r="A199" s="18"/>
      <c r="B199" s="18" t="e">
        <f xml:space="preserve"> MID(A199,SEARCH(":",A199)+2,SEARCH(":",A199,SEARCH(":",A199)+1)-SEARCH(":",A199)-3)</f>
        <v>#VALUE!</v>
      </c>
      <c r="C199" s="18" t="e">
        <f>"part:"&amp;MID(A199,SEARCH(":",A199)+1,SEARCH(":",A199,SEARCH(":",A199)+1)-SEARCH(":",A199)-1)</f>
        <v>#VALUE!</v>
      </c>
      <c r="D199" s="18"/>
      <c r="E199" s="18"/>
      <c r="F199" s="18" t="e">
        <f>DATEVALUE(SUBSTITUTE(LEFT(E199,SEARCH(" ",E199)-1),".","/"))</f>
        <v>#VALUE!</v>
      </c>
      <c r="G199" s="26"/>
      <c r="H199" s="18"/>
      <c r="I199" s="18"/>
      <c r="J199" s="28"/>
      <c r="K199" s="18"/>
      <c r="L199" s="18"/>
      <c r="M199" s="18"/>
      <c r="N199" s="18"/>
      <c r="O199" s="18"/>
      <c r="P199" s="18"/>
      <c r="Q199" s="18"/>
      <c r="R199" s="18"/>
      <c r="S199" s="18"/>
      <c r="T199" s="18"/>
      <c r="U199" s="18"/>
      <c r="V199" s="18"/>
      <c r="W199" s="18"/>
      <c r="X199" s="18"/>
      <c r="Y199" s="18"/>
      <c r="Z199" s="18"/>
      <c r="AA199" s="18"/>
      <c r="AB199" s="18"/>
    </row>
    <row r="200" spans="1:28" x14ac:dyDescent="0.25">
      <c r="A200" s="18"/>
      <c r="B200" s="18" t="e">
        <f xml:space="preserve"> MID(A200,SEARCH(":",A200)+2,SEARCH(":",A200,SEARCH(":",A200)+1)-SEARCH(":",A200)-3)</f>
        <v>#VALUE!</v>
      </c>
      <c r="C200" s="18" t="e">
        <f>"part:"&amp;MID(A200,SEARCH(":",A200)+1,SEARCH(":",A200,SEARCH(":",A200)+1)-SEARCH(":",A200)-1)</f>
        <v>#VALUE!</v>
      </c>
      <c r="D200" s="18"/>
      <c r="E200" s="18"/>
      <c r="F200" s="18" t="e">
        <f>DATEVALUE(SUBSTITUTE(LEFT(E200,SEARCH(" ",E200)-1),".","/"))</f>
        <v>#VALUE!</v>
      </c>
      <c r="G200" s="26"/>
      <c r="H200" s="18"/>
      <c r="I200" s="18"/>
      <c r="J200" s="28"/>
      <c r="K200" s="18"/>
      <c r="L200" s="18"/>
      <c r="M200" s="18"/>
      <c r="N200" s="18"/>
      <c r="O200" s="18"/>
      <c r="P200" s="18"/>
      <c r="Q200" s="18"/>
      <c r="R200" s="18"/>
      <c r="S200" s="18"/>
      <c r="T200" s="18"/>
      <c r="U200" s="18"/>
      <c r="V200" s="18"/>
      <c r="W200" s="18"/>
      <c r="X200" s="18"/>
      <c r="Y200" s="18"/>
      <c r="Z200" s="18"/>
      <c r="AA200" s="18"/>
      <c r="AB200" s="18"/>
    </row>
    <row r="201" spans="1:28" x14ac:dyDescent="0.25">
      <c r="A201" s="18"/>
      <c r="B201" s="18" t="e">
        <f xml:space="preserve"> MID(A201,SEARCH(":",A201)+2,SEARCH(":",A201,SEARCH(":",A201)+1)-SEARCH(":",A201)-3)</f>
        <v>#VALUE!</v>
      </c>
      <c r="C201" s="18" t="e">
        <f>"part:"&amp;MID(A201,SEARCH(":",A201)+1,SEARCH(":",A201,SEARCH(":",A201)+1)-SEARCH(":",A201)-1)</f>
        <v>#VALUE!</v>
      </c>
      <c r="D201" s="18"/>
      <c r="E201" s="18"/>
      <c r="F201" s="18" t="e">
        <f>DATEVALUE(SUBSTITUTE(LEFT(E201,SEARCH(" ",E201)-1),".","/"))</f>
        <v>#VALUE!</v>
      </c>
      <c r="G201" s="26"/>
      <c r="H201" s="18"/>
      <c r="I201" s="18"/>
      <c r="J201" s="28"/>
      <c r="K201" s="18"/>
      <c r="L201" s="18"/>
      <c r="M201" s="18"/>
      <c r="N201" s="18"/>
      <c r="O201" s="18"/>
      <c r="P201" s="18"/>
      <c r="Q201" s="18"/>
      <c r="R201" s="18"/>
      <c r="S201" s="18"/>
      <c r="T201" s="18"/>
      <c r="U201" s="18"/>
      <c r="V201" s="18"/>
      <c r="W201" s="18"/>
      <c r="X201" s="18"/>
      <c r="Y201" s="18"/>
      <c r="Z201" s="18"/>
      <c r="AA201" s="18"/>
      <c r="AB201" s="18"/>
    </row>
    <row r="202" spans="1:28" x14ac:dyDescent="0.25">
      <c r="A202" s="18"/>
      <c r="B202" s="18" t="e">
        <f xml:space="preserve"> MID(A202,SEARCH(":",A202)+2,SEARCH(":",A202,SEARCH(":",A202)+1)-SEARCH(":",A202)-3)</f>
        <v>#VALUE!</v>
      </c>
      <c r="C202" s="18" t="e">
        <f>"part:"&amp;MID(A202,SEARCH(":",A202)+1,SEARCH(":",A202,SEARCH(":",A202)+1)-SEARCH(":",A202)-1)</f>
        <v>#VALUE!</v>
      </c>
      <c r="D202" s="18"/>
      <c r="E202" s="18"/>
      <c r="F202" s="18" t="e">
        <f>DATEVALUE(SUBSTITUTE(LEFT(E202,SEARCH(" ",E202)-1),".","/"))</f>
        <v>#VALUE!</v>
      </c>
      <c r="G202" s="26"/>
      <c r="H202" s="18"/>
      <c r="I202" s="18"/>
      <c r="J202" s="28"/>
      <c r="K202" s="18"/>
      <c r="L202" s="18"/>
      <c r="M202" s="18"/>
      <c r="N202" s="18"/>
      <c r="O202" s="18"/>
      <c r="P202" s="18"/>
      <c r="Q202" s="18"/>
      <c r="R202" s="18"/>
      <c r="S202" s="18"/>
      <c r="T202" s="18"/>
      <c r="U202" s="18"/>
      <c r="V202" s="18"/>
      <c r="W202" s="18"/>
      <c r="X202" s="18"/>
      <c r="Y202" s="18"/>
      <c r="Z202" s="18"/>
      <c r="AA202" s="18"/>
      <c r="AB202" s="18"/>
    </row>
    <row r="203" spans="1:28" x14ac:dyDescent="0.25">
      <c r="A203" s="18"/>
      <c r="B203" s="18" t="e">
        <f xml:space="preserve"> MID(A203,SEARCH(":",A203)+2,SEARCH(":",A203,SEARCH(":",A203)+1)-SEARCH(":",A203)-3)</f>
        <v>#VALUE!</v>
      </c>
      <c r="C203" s="18" t="e">
        <f>"part:"&amp;MID(A203,SEARCH(":",A203)+1,SEARCH(":",A203,SEARCH(":",A203)+1)-SEARCH(":",A203)-1)</f>
        <v>#VALUE!</v>
      </c>
      <c r="D203" s="18"/>
      <c r="E203" s="18"/>
      <c r="F203" s="18" t="e">
        <f>DATEVALUE(SUBSTITUTE(LEFT(E203,SEARCH(" ",E203)-1),".","/"))</f>
        <v>#VALUE!</v>
      </c>
      <c r="G203" s="26"/>
      <c r="H203" s="18"/>
      <c r="I203" s="18"/>
      <c r="J203" s="28"/>
      <c r="K203" s="18"/>
      <c r="L203" s="18"/>
      <c r="M203" s="18"/>
      <c r="N203" s="18"/>
      <c r="O203" s="18"/>
      <c r="P203" s="18"/>
      <c r="Q203" s="18"/>
      <c r="R203" s="18"/>
      <c r="S203" s="18"/>
      <c r="T203" s="18"/>
      <c r="U203" s="18"/>
      <c r="V203" s="18"/>
      <c r="W203" s="18"/>
      <c r="X203" s="18"/>
      <c r="Y203" s="18"/>
      <c r="Z203" s="18"/>
      <c r="AA203" s="18"/>
      <c r="AB203" s="18"/>
    </row>
    <row r="204" spans="1:28" x14ac:dyDescent="0.25">
      <c r="A204" s="18"/>
      <c r="B204" s="18" t="e">
        <f xml:space="preserve"> MID(A204,SEARCH(":",A204)+2,SEARCH(":",A204,SEARCH(":",A204)+1)-SEARCH(":",A204)-3)</f>
        <v>#VALUE!</v>
      </c>
      <c r="C204" s="18" t="e">
        <f>"part:"&amp;MID(A204,SEARCH(":",A204)+1,SEARCH(":",A204,SEARCH(":",A204)+1)-SEARCH(":",A204)-1)</f>
        <v>#VALUE!</v>
      </c>
      <c r="D204" s="18"/>
      <c r="E204" s="18"/>
      <c r="F204" s="18" t="e">
        <f>DATEVALUE(SUBSTITUTE(LEFT(E204,SEARCH(" ",E204)-1),".","/"))</f>
        <v>#VALUE!</v>
      </c>
      <c r="G204" s="26"/>
      <c r="H204" s="18"/>
      <c r="I204" s="18"/>
      <c r="J204" s="28"/>
      <c r="K204" s="18"/>
      <c r="L204" s="18"/>
      <c r="M204" s="18"/>
      <c r="N204" s="18"/>
      <c r="O204" s="18"/>
      <c r="P204" s="18"/>
      <c r="Q204" s="18"/>
      <c r="R204" s="18"/>
      <c r="S204" s="18"/>
      <c r="T204" s="18"/>
      <c r="U204" s="18"/>
      <c r="V204" s="18"/>
      <c r="W204" s="18"/>
      <c r="X204" s="18"/>
      <c r="Y204" s="18"/>
      <c r="Z204" s="18"/>
      <c r="AA204" s="18"/>
      <c r="AB204" s="18"/>
    </row>
    <row r="205" spans="1:28" x14ac:dyDescent="0.25">
      <c r="A205" s="18"/>
      <c r="B205" s="18" t="e">
        <f xml:space="preserve"> MID(A205,SEARCH(":",A205)+2,SEARCH(":",A205,SEARCH(":",A205)+1)-SEARCH(":",A205)-3)</f>
        <v>#VALUE!</v>
      </c>
      <c r="C205" s="18" t="e">
        <f>"part:"&amp;MID(A205,SEARCH(":",A205)+1,SEARCH(":",A205,SEARCH(":",A205)+1)-SEARCH(":",A205)-1)</f>
        <v>#VALUE!</v>
      </c>
      <c r="D205" s="18"/>
      <c r="E205" s="18"/>
      <c r="F205" s="18" t="e">
        <f>DATEVALUE(SUBSTITUTE(LEFT(E205,SEARCH(" ",E205)-1),".","/"))</f>
        <v>#VALUE!</v>
      </c>
      <c r="G205" s="26"/>
      <c r="H205" s="18"/>
      <c r="I205" s="18"/>
      <c r="J205" s="28"/>
      <c r="K205" s="18"/>
      <c r="L205" s="18"/>
      <c r="M205" s="18"/>
      <c r="N205" s="18"/>
      <c r="O205" s="18"/>
      <c r="P205" s="18"/>
      <c r="Q205" s="18"/>
      <c r="R205" s="18"/>
      <c r="S205" s="18"/>
      <c r="T205" s="18"/>
      <c r="U205" s="18"/>
      <c r="V205" s="18"/>
      <c r="W205" s="18"/>
      <c r="X205" s="18"/>
      <c r="Y205" s="18"/>
      <c r="Z205" s="18"/>
      <c r="AA205" s="18"/>
      <c r="AB205" s="18"/>
    </row>
    <row r="206" spans="1:28" x14ac:dyDescent="0.25">
      <c r="A206" s="18"/>
      <c r="B206" s="18" t="e">
        <f xml:space="preserve"> MID(A206,SEARCH(":",A206)+2,SEARCH(":",A206,SEARCH(":",A206)+1)-SEARCH(":",A206)-3)</f>
        <v>#VALUE!</v>
      </c>
      <c r="C206" s="18" t="e">
        <f>"part:"&amp;MID(A206,SEARCH(":",A206)+1,SEARCH(":",A206,SEARCH(":",A206)+1)-SEARCH(":",A206)-1)</f>
        <v>#VALUE!</v>
      </c>
      <c r="D206" s="18"/>
      <c r="E206" s="18"/>
      <c r="F206" s="18" t="e">
        <f>DATEVALUE(SUBSTITUTE(LEFT(E206,SEARCH(" ",E206)-1),".","/"))</f>
        <v>#VALUE!</v>
      </c>
      <c r="G206" s="26"/>
      <c r="H206" s="18"/>
      <c r="I206" s="18"/>
      <c r="J206" s="28"/>
      <c r="K206" s="18"/>
      <c r="L206" s="18"/>
      <c r="M206" s="18"/>
      <c r="N206" s="18"/>
      <c r="O206" s="18"/>
      <c r="P206" s="18"/>
      <c r="Q206" s="18"/>
      <c r="R206" s="18"/>
      <c r="S206" s="18"/>
      <c r="T206" s="18"/>
      <c r="U206" s="18"/>
      <c r="V206" s="18"/>
      <c r="W206" s="18"/>
      <c r="X206" s="18"/>
      <c r="Y206" s="18"/>
      <c r="Z206" s="18"/>
      <c r="AA206" s="18"/>
      <c r="AB206" s="18"/>
    </row>
    <row r="207" spans="1:28" x14ac:dyDescent="0.25">
      <c r="A207" s="18"/>
      <c r="B207" s="18" t="e">
        <f xml:space="preserve"> MID(A207,SEARCH(":",A207)+2,SEARCH(":",A207,SEARCH(":",A207)+1)-SEARCH(":",A207)-3)</f>
        <v>#VALUE!</v>
      </c>
      <c r="C207" s="18" t="e">
        <f>"part:"&amp;MID(A207,SEARCH(":",A207)+1,SEARCH(":",A207,SEARCH(":",A207)+1)-SEARCH(":",A207)-1)</f>
        <v>#VALUE!</v>
      </c>
      <c r="D207" s="18"/>
      <c r="E207" s="18"/>
      <c r="F207" s="18" t="e">
        <f>DATEVALUE(SUBSTITUTE(LEFT(E207,SEARCH(" ",E207)-1),".","/"))</f>
        <v>#VALUE!</v>
      </c>
      <c r="G207" s="26"/>
      <c r="H207" s="18"/>
      <c r="I207" s="18"/>
      <c r="J207" s="28"/>
      <c r="K207" s="18"/>
      <c r="L207" s="18"/>
      <c r="M207" s="18"/>
      <c r="N207" s="18"/>
      <c r="O207" s="18"/>
      <c r="P207" s="18"/>
      <c r="Q207" s="18"/>
      <c r="R207" s="18"/>
      <c r="S207" s="18"/>
      <c r="T207" s="18"/>
      <c r="U207" s="18"/>
      <c r="V207" s="18"/>
      <c r="W207" s="18"/>
      <c r="X207" s="18"/>
      <c r="Y207" s="18"/>
      <c r="Z207" s="18"/>
      <c r="AA207" s="18"/>
      <c r="AB207" s="18"/>
    </row>
    <row r="208" spans="1:28" x14ac:dyDescent="0.25">
      <c r="A208" s="18"/>
      <c r="B208" s="18" t="e">
        <f xml:space="preserve"> MID(A208,SEARCH(":",A208)+2,SEARCH(":",A208,SEARCH(":",A208)+1)-SEARCH(":",A208)-3)</f>
        <v>#VALUE!</v>
      </c>
      <c r="C208" s="18" t="e">
        <f>"part:"&amp;MID(A208,SEARCH(":",A208)+1,SEARCH(":",A208,SEARCH(":",A208)+1)-SEARCH(":",A208)-1)</f>
        <v>#VALUE!</v>
      </c>
      <c r="D208" s="18"/>
      <c r="E208" s="18"/>
      <c r="F208" s="18" t="e">
        <f>DATEVALUE(SUBSTITUTE(LEFT(E208,SEARCH(" ",E208)-1),".","/"))</f>
        <v>#VALUE!</v>
      </c>
      <c r="G208" s="26"/>
      <c r="H208" s="18"/>
      <c r="I208" s="18"/>
      <c r="J208" s="28"/>
      <c r="K208" s="18"/>
      <c r="L208" s="18"/>
      <c r="M208" s="18"/>
      <c r="N208" s="18"/>
      <c r="O208" s="18"/>
      <c r="P208" s="18"/>
      <c r="Q208" s="18"/>
      <c r="R208" s="18"/>
      <c r="S208" s="18"/>
      <c r="T208" s="18"/>
      <c r="U208" s="18"/>
      <c r="V208" s="18"/>
      <c r="W208" s="18"/>
      <c r="X208" s="18"/>
      <c r="Y208" s="18"/>
      <c r="Z208" s="18"/>
      <c r="AA208" s="18"/>
      <c r="AB208" s="18"/>
    </row>
    <row r="209" spans="1:28" x14ac:dyDescent="0.25">
      <c r="A209" s="18"/>
      <c r="B209" s="18" t="e">
        <f xml:space="preserve"> MID(A209,SEARCH(":",A209)+2,SEARCH(":",A209,SEARCH(":",A209)+1)-SEARCH(":",A209)-3)</f>
        <v>#VALUE!</v>
      </c>
      <c r="C209" s="18" t="e">
        <f>"part:"&amp;MID(A209,SEARCH(":",A209)+1,SEARCH(":",A209,SEARCH(":",A209)+1)-SEARCH(":",A209)-1)</f>
        <v>#VALUE!</v>
      </c>
      <c r="D209" s="18"/>
      <c r="E209" s="18"/>
      <c r="F209" s="18" t="e">
        <f>DATEVALUE(SUBSTITUTE(LEFT(E209,SEARCH(" ",E209)-1),".","/"))</f>
        <v>#VALUE!</v>
      </c>
      <c r="G209" s="26"/>
      <c r="H209" s="18"/>
      <c r="I209" s="18"/>
      <c r="J209" s="28"/>
      <c r="K209" s="18"/>
      <c r="L209" s="18"/>
      <c r="M209" s="18"/>
      <c r="N209" s="18"/>
      <c r="O209" s="18"/>
      <c r="P209" s="18"/>
      <c r="Q209" s="18"/>
      <c r="R209" s="18"/>
      <c r="S209" s="18"/>
      <c r="T209" s="18"/>
      <c r="U209" s="18"/>
      <c r="V209" s="18"/>
      <c r="W209" s="18"/>
      <c r="X209" s="18"/>
      <c r="Y209" s="18"/>
      <c r="Z209" s="18"/>
      <c r="AA209" s="18"/>
      <c r="AB209" s="18"/>
    </row>
    <row r="210" spans="1:28" x14ac:dyDescent="0.25">
      <c r="A210" s="18"/>
      <c r="B210" s="18" t="e">
        <f xml:space="preserve"> MID(A210,SEARCH(":",A210)+2,SEARCH(":",A210,SEARCH(":",A210)+1)-SEARCH(":",A210)-3)</f>
        <v>#VALUE!</v>
      </c>
      <c r="C210" s="18" t="e">
        <f>"part:"&amp;MID(A210,SEARCH(":",A210)+1,SEARCH(":",A210,SEARCH(":",A210)+1)-SEARCH(":",A210)-1)</f>
        <v>#VALUE!</v>
      </c>
      <c r="D210" s="18"/>
      <c r="E210" s="18"/>
      <c r="F210" s="18" t="e">
        <f>DATEVALUE(SUBSTITUTE(LEFT(E210,SEARCH(" ",E210)-1),".","/"))</f>
        <v>#VALUE!</v>
      </c>
      <c r="G210" s="26"/>
      <c r="H210" s="18"/>
      <c r="I210" s="18"/>
      <c r="J210" s="28"/>
      <c r="K210" s="18"/>
      <c r="L210" s="18"/>
      <c r="M210" s="18"/>
      <c r="N210" s="18"/>
      <c r="O210" s="18"/>
      <c r="P210" s="18"/>
      <c r="Q210" s="18"/>
      <c r="R210" s="18"/>
      <c r="S210" s="18"/>
      <c r="T210" s="18"/>
      <c r="U210" s="18"/>
      <c r="V210" s="18"/>
      <c r="W210" s="18"/>
      <c r="X210" s="18"/>
      <c r="Y210" s="18"/>
      <c r="Z210" s="18"/>
      <c r="AA210" s="18"/>
      <c r="AB210" s="18"/>
    </row>
    <row r="211" spans="1:28" x14ac:dyDescent="0.25">
      <c r="A211" s="18"/>
      <c r="B211" s="18" t="e">
        <f xml:space="preserve"> MID(A211,SEARCH(":",A211)+2,SEARCH(":",A211,SEARCH(":",A211)+1)-SEARCH(":",A211)-3)</f>
        <v>#VALUE!</v>
      </c>
      <c r="C211" s="18" t="e">
        <f>"part:"&amp;MID(A211,SEARCH(":",A211)+1,SEARCH(":",A211,SEARCH(":",A211)+1)-SEARCH(":",A211)-1)</f>
        <v>#VALUE!</v>
      </c>
      <c r="D211" s="18"/>
      <c r="E211" s="18"/>
      <c r="F211" s="18" t="e">
        <f>DATEVALUE(SUBSTITUTE(LEFT(E211,SEARCH(" ",E211)-1),".","/"))</f>
        <v>#VALUE!</v>
      </c>
      <c r="G211" s="26"/>
      <c r="H211" s="18"/>
      <c r="I211" s="18"/>
      <c r="J211" s="28"/>
      <c r="K211" s="18"/>
      <c r="L211" s="18"/>
      <c r="M211" s="18"/>
      <c r="N211" s="18"/>
      <c r="O211" s="18"/>
      <c r="P211" s="18"/>
      <c r="Q211" s="18"/>
      <c r="R211" s="18"/>
      <c r="S211" s="18"/>
      <c r="T211" s="18"/>
      <c r="U211" s="18"/>
      <c r="V211" s="18"/>
      <c r="W211" s="18"/>
      <c r="X211" s="18"/>
      <c r="Y211" s="18"/>
      <c r="Z211" s="18"/>
      <c r="AA211" s="18"/>
      <c r="AB211" s="18"/>
    </row>
    <row r="212" spans="1:28" x14ac:dyDescent="0.25">
      <c r="A212" s="18"/>
      <c r="B212" s="18" t="e">
        <f xml:space="preserve"> MID(A212,SEARCH(":",A212)+2,SEARCH(":",A212,SEARCH(":",A212)+1)-SEARCH(":",A212)-3)</f>
        <v>#VALUE!</v>
      </c>
      <c r="C212" s="18" t="e">
        <f>"part:"&amp;MID(A212,SEARCH(":",A212)+1,SEARCH(":",A212,SEARCH(":",A212)+1)-SEARCH(":",A212)-1)</f>
        <v>#VALUE!</v>
      </c>
      <c r="D212" s="18"/>
      <c r="E212" s="18"/>
      <c r="F212" s="18" t="e">
        <f>DATEVALUE(SUBSTITUTE(LEFT(E212,SEARCH(" ",E212)-1),".","/"))</f>
        <v>#VALUE!</v>
      </c>
      <c r="G212" s="26"/>
      <c r="H212" s="18"/>
      <c r="I212" s="18"/>
      <c r="J212" s="28"/>
      <c r="K212" s="18"/>
      <c r="L212" s="18"/>
      <c r="M212" s="18"/>
      <c r="N212" s="18"/>
      <c r="O212" s="18"/>
      <c r="P212" s="18"/>
      <c r="Q212" s="18"/>
      <c r="R212" s="18"/>
      <c r="S212" s="18"/>
      <c r="T212" s="18"/>
      <c r="U212" s="18"/>
      <c r="V212" s="18"/>
      <c r="W212" s="18"/>
      <c r="X212" s="18"/>
      <c r="Y212" s="18"/>
      <c r="Z212" s="18"/>
      <c r="AA212" s="18"/>
      <c r="AB212" s="18"/>
    </row>
    <row r="213" spans="1:28" x14ac:dyDescent="0.25">
      <c r="A213" s="18"/>
      <c r="B213" s="18" t="e">
        <f xml:space="preserve"> MID(A213,SEARCH(":",A213)+2,SEARCH(":",A213,SEARCH(":",A213)+1)-SEARCH(":",A213)-3)</f>
        <v>#VALUE!</v>
      </c>
      <c r="C213" s="18" t="e">
        <f>"part:"&amp;MID(A213,SEARCH(":",A213)+1,SEARCH(":",A213,SEARCH(":",A213)+1)-SEARCH(":",A213)-1)</f>
        <v>#VALUE!</v>
      </c>
      <c r="D213" s="18"/>
      <c r="E213" s="18"/>
      <c r="F213" s="18" t="e">
        <f>DATEVALUE(SUBSTITUTE(LEFT(E213,SEARCH(" ",E213)-1),".","/"))</f>
        <v>#VALUE!</v>
      </c>
      <c r="G213" s="26"/>
      <c r="H213" s="18"/>
      <c r="I213" s="18"/>
      <c r="J213" s="28"/>
      <c r="K213" s="18"/>
      <c r="L213" s="18"/>
      <c r="M213" s="18"/>
      <c r="N213" s="18"/>
      <c r="O213" s="18"/>
      <c r="P213" s="18"/>
      <c r="Q213" s="18"/>
      <c r="R213" s="18"/>
      <c r="S213" s="18"/>
      <c r="T213" s="18"/>
      <c r="U213" s="18"/>
      <c r="V213" s="18"/>
      <c r="W213" s="18"/>
      <c r="X213" s="18"/>
      <c r="Y213" s="18"/>
      <c r="Z213" s="18"/>
      <c r="AA213" s="18"/>
      <c r="AB213" s="18"/>
    </row>
    <row r="214" spans="1:28" x14ac:dyDescent="0.25">
      <c r="A214" s="18"/>
      <c r="B214" s="18" t="e">
        <f xml:space="preserve"> MID(A214,SEARCH(":",A214)+2,SEARCH(":",A214,SEARCH(":",A214)+1)-SEARCH(":",A214)-3)</f>
        <v>#VALUE!</v>
      </c>
      <c r="C214" s="18" t="e">
        <f>"part:"&amp;MID(A214,SEARCH(":",A214)+1,SEARCH(":",A214,SEARCH(":",A214)+1)-SEARCH(":",A214)-1)</f>
        <v>#VALUE!</v>
      </c>
      <c r="D214" s="18"/>
      <c r="E214" s="18"/>
      <c r="F214" s="18" t="e">
        <f>DATEVALUE(SUBSTITUTE(LEFT(E214,SEARCH(" ",E214)-1),".","/"))</f>
        <v>#VALUE!</v>
      </c>
      <c r="G214" s="26"/>
      <c r="H214" s="18"/>
      <c r="I214" s="18"/>
      <c r="J214" s="28"/>
      <c r="K214" s="18"/>
      <c r="L214" s="18"/>
      <c r="M214" s="18"/>
      <c r="N214" s="18"/>
      <c r="O214" s="18"/>
      <c r="P214" s="18"/>
      <c r="Q214" s="18"/>
      <c r="R214" s="18"/>
      <c r="S214" s="18"/>
      <c r="T214" s="18"/>
      <c r="U214" s="18"/>
      <c r="V214" s="18"/>
      <c r="W214" s="18"/>
      <c r="X214" s="18"/>
      <c r="Y214" s="18"/>
      <c r="Z214" s="18"/>
      <c r="AA214" s="18"/>
      <c r="AB214" s="18"/>
    </row>
    <row r="215" spans="1:28" x14ac:dyDescent="0.25">
      <c r="A215" s="18"/>
      <c r="B215" s="18" t="e">
        <f xml:space="preserve"> MID(A215,SEARCH(":",A215)+2,SEARCH(":",A215,SEARCH(":",A215)+1)-SEARCH(":",A215)-3)</f>
        <v>#VALUE!</v>
      </c>
      <c r="C215" s="18" t="e">
        <f>"part:"&amp;MID(A215,SEARCH(":",A215)+1,SEARCH(":",A215,SEARCH(":",A215)+1)-SEARCH(":",A215)-1)</f>
        <v>#VALUE!</v>
      </c>
      <c r="D215" s="18"/>
      <c r="E215" s="18"/>
      <c r="F215" s="18" t="e">
        <f>DATEVALUE(SUBSTITUTE(LEFT(E215,SEARCH(" ",E215)-1),".","/"))</f>
        <v>#VALUE!</v>
      </c>
      <c r="G215" s="26"/>
      <c r="H215" s="18"/>
      <c r="I215" s="18"/>
      <c r="J215" s="28"/>
      <c r="K215" s="18"/>
      <c r="L215" s="18"/>
      <c r="M215" s="18"/>
      <c r="N215" s="18"/>
      <c r="O215" s="18"/>
      <c r="P215" s="18"/>
      <c r="Q215" s="18"/>
      <c r="R215" s="18"/>
      <c r="S215" s="18"/>
      <c r="T215" s="18"/>
      <c r="U215" s="18"/>
      <c r="V215" s="18"/>
      <c r="W215" s="18"/>
      <c r="X215" s="18"/>
      <c r="Y215" s="18"/>
      <c r="Z215" s="18"/>
      <c r="AA215" s="18"/>
      <c r="AB215" s="18"/>
    </row>
    <row r="216" spans="1:28" x14ac:dyDescent="0.25">
      <c r="A216" s="18"/>
      <c r="B216" s="18" t="e">
        <f xml:space="preserve"> MID(A216,SEARCH(":",A216)+2,SEARCH(":",A216,SEARCH(":",A216)+1)-SEARCH(":",A216)-3)</f>
        <v>#VALUE!</v>
      </c>
      <c r="C216" s="18" t="e">
        <f>"part:"&amp;MID(A216,SEARCH(":",A216)+1,SEARCH(":",A216,SEARCH(":",A216)+1)-SEARCH(":",A216)-1)</f>
        <v>#VALUE!</v>
      </c>
      <c r="D216" s="18"/>
      <c r="E216" s="18"/>
      <c r="F216" s="18" t="e">
        <f>DATEVALUE(SUBSTITUTE(LEFT(E216,SEARCH(" ",E216)-1),".","/"))</f>
        <v>#VALUE!</v>
      </c>
      <c r="G216" s="26"/>
      <c r="H216" s="18"/>
      <c r="I216" s="18"/>
      <c r="J216" s="28"/>
      <c r="K216" s="18"/>
      <c r="L216" s="18"/>
      <c r="M216" s="18"/>
      <c r="N216" s="18"/>
      <c r="O216" s="18"/>
      <c r="P216" s="18"/>
      <c r="Q216" s="18"/>
      <c r="R216" s="18"/>
      <c r="S216" s="18"/>
      <c r="T216" s="18"/>
      <c r="U216" s="18"/>
      <c r="V216" s="18"/>
      <c r="W216" s="18"/>
      <c r="X216" s="18"/>
      <c r="Y216" s="18"/>
      <c r="Z216" s="18"/>
      <c r="AA216" s="18"/>
      <c r="AB216" s="18"/>
    </row>
    <row r="217" spans="1:28" x14ac:dyDescent="0.25">
      <c r="A217" s="18"/>
      <c r="B217" s="18" t="e">
        <f xml:space="preserve"> MID(A217,SEARCH(":",A217)+2,SEARCH(":",A217,SEARCH(":",A217)+1)-SEARCH(":",A217)-3)</f>
        <v>#VALUE!</v>
      </c>
      <c r="C217" s="18" t="e">
        <f>"part:"&amp;MID(A217,SEARCH(":",A217)+1,SEARCH(":",A217,SEARCH(":",A217)+1)-SEARCH(":",A217)-1)</f>
        <v>#VALUE!</v>
      </c>
      <c r="D217" s="18"/>
      <c r="E217" s="18"/>
      <c r="F217" s="18" t="e">
        <f>DATEVALUE(SUBSTITUTE(LEFT(E217,SEARCH(" ",E217)-1),".","/"))</f>
        <v>#VALUE!</v>
      </c>
      <c r="G217" s="26"/>
      <c r="H217" s="18"/>
      <c r="I217" s="18"/>
      <c r="J217" s="28"/>
      <c r="K217" s="18"/>
      <c r="L217" s="18"/>
      <c r="M217" s="18"/>
      <c r="N217" s="18"/>
      <c r="O217" s="18"/>
      <c r="P217" s="18"/>
      <c r="Q217" s="18"/>
      <c r="R217" s="18"/>
      <c r="S217" s="18"/>
      <c r="T217" s="18"/>
      <c r="U217" s="18"/>
      <c r="V217" s="18"/>
      <c r="W217" s="18"/>
      <c r="X217" s="18"/>
      <c r="Y217" s="18"/>
      <c r="Z217" s="18"/>
      <c r="AA217" s="18"/>
      <c r="AB217" s="18"/>
    </row>
  </sheetData>
  <conditionalFormatting sqref="G1:G1048576">
    <cfRule type="expression" dxfId="2" priority="25">
      <formula>TODAY()-G1&gt;=6</formula>
    </cfRule>
    <cfRule type="expression" dxfId="1" priority="26">
      <formula>TODAY()-G1&gt;=2</formula>
    </cfRule>
  </conditionalFormatting>
  <conditionalFormatting sqref="D1:D1048576">
    <cfRule type="expression" dxfId="0" priority="11">
      <formula>ISBLANK(D1)</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workbookViewId="0">
      <selection activeCell="E78" sqref="E78"/>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task!#REF!</f>
        <v>#REF!</v>
      </c>
    </row>
    <row r="2" spans="1:1" x14ac:dyDescent="0.25">
      <c r="A2" t="str">
        <f xml:space="preserve"> task!B2</f>
        <v>Startrack - 3PL</v>
      </c>
    </row>
    <row r="3" spans="1:1" x14ac:dyDescent="0.25">
      <c r="A3" t="e">
        <f xml:space="preserve"> task!#REF!</f>
        <v>#REF!</v>
      </c>
    </row>
    <row r="4" spans="1:1" x14ac:dyDescent="0.25">
      <c r="A4" t="str">
        <f xml:space="preserve"> task!B3</f>
        <v>Valmar Surgical Supplies</v>
      </c>
    </row>
    <row r="5" spans="1:1" x14ac:dyDescent="0.25">
      <c r="A5" t="str">
        <f xml:space="preserve"> task!B4</f>
        <v>Petstock AU</v>
      </c>
    </row>
    <row r="6" spans="1:1" x14ac:dyDescent="0.25">
      <c r="A6" t="str">
        <f xml:space="preserve"> task!B5</f>
        <v>Medical Action</v>
      </c>
    </row>
    <row r="7" spans="1:1" x14ac:dyDescent="0.25">
      <c r="A7" t="str">
        <f xml:space="preserve"> task!B6</f>
        <v>Asda</v>
      </c>
    </row>
    <row r="8" spans="1:1" x14ac:dyDescent="0.25">
      <c r="A8" t="str">
        <f xml:space="preserve"> task!B7</f>
        <v>Babymoov</v>
      </c>
    </row>
    <row r="9" spans="1:1" x14ac:dyDescent="0.25">
      <c r="A9" t="str">
        <f xml:space="preserve"> task!B8</f>
        <v>Coupa - Waste Management Partner</v>
      </c>
    </row>
    <row r="10" spans="1:1" x14ac:dyDescent="0.25">
      <c r="A10" t="str">
        <f xml:space="preserve"> task!B9</f>
        <v>Carestream</v>
      </c>
    </row>
    <row r="11" spans="1:1" x14ac:dyDescent="0.25">
      <c r="A11" t="str">
        <f xml:space="preserve"> task!B10</f>
        <v>Commercial Spring &amp; Tool</v>
      </c>
    </row>
    <row r="12" spans="1:1" x14ac:dyDescent="0.25">
      <c r="A12" t="str">
        <f xml:space="preserve"> task!B11</f>
        <v>Doordash</v>
      </c>
    </row>
    <row r="13" spans="1:1" x14ac:dyDescent="0.25">
      <c r="A13" t="str">
        <f xml:space="preserve"> task!B12</f>
        <v>Flex-N-Gate Effingham LLC</v>
      </c>
    </row>
    <row r="14" spans="1:1" x14ac:dyDescent="0.25">
      <c r="A14" t="e">
        <f xml:space="preserve"> task!#REF!</f>
        <v>#REF!</v>
      </c>
    </row>
    <row r="15" spans="1:1" x14ac:dyDescent="0.25">
      <c r="A15" t="e">
        <f xml:space="preserve"> task!#REF!</f>
        <v>#REF!</v>
      </c>
    </row>
    <row r="16" spans="1:1" x14ac:dyDescent="0.25">
      <c r="A16" t="str">
        <f xml:space="preserve"> task!B13</f>
        <v>Dufry</v>
      </c>
    </row>
    <row r="17" spans="1:1" x14ac:dyDescent="0.25">
      <c r="A17" t="str">
        <f xml:space="preserve"> task!B14</f>
        <v>Oakwood Group</v>
      </c>
    </row>
    <row r="18" spans="1:1" x14ac:dyDescent="0.25">
      <c r="A18" t="str">
        <f xml:space="preserve"> task!B15</f>
        <v>Save On Foods</v>
      </c>
    </row>
    <row r="19" spans="1:1" x14ac:dyDescent="0.25">
      <c r="A19" t="str">
        <f xml:space="preserve"> task!B16</f>
        <v>Groupe Robert Inc.</v>
      </c>
    </row>
    <row r="20" spans="1:1" x14ac:dyDescent="0.25">
      <c r="A20" t="str">
        <f xml:space="preserve"> task!B17</f>
        <v>GSK Consumer Healthcare</v>
      </c>
    </row>
    <row r="21" spans="1:1" x14ac:dyDescent="0.25">
      <c r="A21" t="str">
        <f xml:space="preserve"> task!B18</f>
        <v>Dell Australia</v>
      </c>
    </row>
    <row r="22" spans="1:1" x14ac:dyDescent="0.25">
      <c r="A22" t="str">
        <f xml:space="preserve"> task!B19</f>
        <v>TSC Stores Dropship</v>
      </c>
    </row>
    <row r="23" spans="1:1" x14ac:dyDescent="0.25">
      <c r="A23" t="str">
        <f xml:space="preserve"> task!B20</f>
        <v>Ipex</v>
      </c>
    </row>
    <row r="24" spans="1:1" x14ac:dyDescent="0.25">
      <c r="A24" t="str">
        <f xml:space="preserve"> task!B21</f>
        <v>Volkswagen.De</v>
      </c>
    </row>
    <row r="25" spans="1:1" x14ac:dyDescent="0.25">
      <c r="A25" t="e">
        <f xml:space="preserve"> task!#REF!</f>
        <v>#REF!</v>
      </c>
    </row>
    <row r="26" spans="1:1" x14ac:dyDescent="0.25">
      <c r="A26" t="e">
        <f xml:space="preserve"> task!B22</f>
        <v>#VALUE!</v>
      </c>
    </row>
    <row r="27" spans="1:1" x14ac:dyDescent="0.25">
      <c r="A27" t="e">
        <f xml:space="preserve"> task!B23</f>
        <v>#VALUE!</v>
      </c>
    </row>
    <row r="28" spans="1:1" x14ac:dyDescent="0.25">
      <c r="A28" t="e">
        <f xml:space="preserve"> task!B24</f>
        <v>#VALUE!</v>
      </c>
    </row>
    <row r="29" spans="1:1" x14ac:dyDescent="0.25">
      <c r="A29" t="e">
        <f xml:space="preserve"> task!B25</f>
        <v>#VALUE!</v>
      </c>
    </row>
    <row r="30" spans="1:1" x14ac:dyDescent="0.25">
      <c r="A30" t="e">
        <f xml:space="preserve"> task!B26</f>
        <v>#VALUE!</v>
      </c>
    </row>
    <row r="31" spans="1:1" x14ac:dyDescent="0.25">
      <c r="A31" t="e">
        <f xml:space="preserve"> task!B27</f>
        <v>#VALUE!</v>
      </c>
    </row>
    <row r="32" spans="1:1" x14ac:dyDescent="0.25">
      <c r="A32" t="e">
        <f xml:space="preserve"> task!B28</f>
        <v>#VALUE!</v>
      </c>
    </row>
    <row r="33" spans="1:1" x14ac:dyDescent="0.25">
      <c r="A33" t="e">
        <f xml:space="preserve"> task!B29</f>
        <v>#VALUE!</v>
      </c>
    </row>
    <row r="34" spans="1:1" x14ac:dyDescent="0.25">
      <c r="A34" t="e">
        <f xml:space="preserve"> task!B30</f>
        <v>#VALUE!</v>
      </c>
    </row>
    <row r="35" spans="1:1" x14ac:dyDescent="0.25">
      <c r="A35" t="e">
        <f xml:space="preserve"> task!B31</f>
        <v>#VALUE!</v>
      </c>
    </row>
    <row r="36" spans="1:1" x14ac:dyDescent="0.25">
      <c r="A36" t="e">
        <f xml:space="preserve"> task!B32</f>
        <v>#VALUE!</v>
      </c>
    </row>
    <row r="37" spans="1:1" x14ac:dyDescent="0.25">
      <c r="A37" t="e">
        <f xml:space="preserve"> task!B33</f>
        <v>#VALUE!</v>
      </c>
    </row>
    <row r="38" spans="1:1" x14ac:dyDescent="0.25">
      <c r="A38" t="e">
        <f xml:space="preserve"> task!B34</f>
        <v>#VALUE!</v>
      </c>
    </row>
    <row r="39" spans="1:1" x14ac:dyDescent="0.25">
      <c r="A39" t="e">
        <f xml:space="preserve"> task!B35</f>
        <v>#VALUE!</v>
      </c>
    </row>
    <row r="40" spans="1:1" x14ac:dyDescent="0.25">
      <c r="A40" t="e">
        <f xml:space="preserve"> task!B36</f>
        <v>#VALUE!</v>
      </c>
    </row>
    <row r="41" spans="1:1" x14ac:dyDescent="0.25">
      <c r="A41" t="e">
        <f xml:space="preserve"> task!B37</f>
        <v>#VALUE!</v>
      </c>
    </row>
    <row r="42" spans="1:1" x14ac:dyDescent="0.25">
      <c r="A42" t="e">
        <f xml:space="preserve"> task!B38</f>
        <v>#VALUE!</v>
      </c>
    </row>
    <row r="43" spans="1:1" x14ac:dyDescent="0.25">
      <c r="A43" t="e">
        <f xml:space="preserve"> task!B39</f>
        <v>#VALUE!</v>
      </c>
    </row>
    <row r="44" spans="1:1" x14ac:dyDescent="0.25">
      <c r="A44" t="e">
        <f xml:space="preserve"> task!B40</f>
        <v>#VALUE!</v>
      </c>
    </row>
    <row r="45" spans="1:1" x14ac:dyDescent="0.25">
      <c r="A45" t="e">
        <f xml:space="preserve"> task!B41</f>
        <v>#VALUE!</v>
      </c>
    </row>
    <row r="46" spans="1:1" x14ac:dyDescent="0.25">
      <c r="A46" t="e">
        <f xml:space="preserve"> task!B42</f>
        <v>#VALUE!</v>
      </c>
    </row>
    <row r="47" spans="1:1" x14ac:dyDescent="0.25">
      <c r="A47" t="e">
        <f xml:space="preserve"> task!B43</f>
        <v>#VALUE!</v>
      </c>
    </row>
    <row r="48" spans="1:1" x14ac:dyDescent="0.25">
      <c r="A48" t="e">
        <f xml:space="preserve"> task!B44</f>
        <v>#VALUE!</v>
      </c>
    </row>
    <row r="49" spans="1:1" x14ac:dyDescent="0.25">
      <c r="A49" t="e">
        <f xml:space="preserve"> task!B45</f>
        <v>#VALUE!</v>
      </c>
    </row>
    <row r="50" spans="1:1" x14ac:dyDescent="0.25">
      <c r="A50" t="e">
        <f xml:space="preserve"> task!B46</f>
        <v>#VALUE!</v>
      </c>
    </row>
    <row r="51" spans="1:1" x14ac:dyDescent="0.25">
      <c r="A51" t="e">
        <f xml:space="preserve"> task!B47</f>
        <v>#VALUE!</v>
      </c>
    </row>
    <row r="52" spans="1:1" x14ac:dyDescent="0.25">
      <c r="A52" t="e">
        <f xml:space="preserve"> task!B48</f>
        <v>#VALUE!</v>
      </c>
    </row>
    <row r="53" spans="1:1" x14ac:dyDescent="0.25">
      <c r="A53" t="e">
        <f xml:space="preserve"> task!B49</f>
        <v>#VALUE!</v>
      </c>
    </row>
    <row r="54" spans="1:1" x14ac:dyDescent="0.25">
      <c r="A54" t="e">
        <f xml:space="preserve"> task!B50</f>
        <v>#VALUE!</v>
      </c>
    </row>
    <row r="55" spans="1:1" x14ac:dyDescent="0.25">
      <c r="A55" t="e">
        <f xml:space="preserve"> task!B51</f>
        <v>#VALUE!</v>
      </c>
    </row>
    <row r="56" spans="1:1" x14ac:dyDescent="0.25">
      <c r="A56" t="e">
        <f xml:space="preserve"> task!B52</f>
        <v>#VALUE!</v>
      </c>
    </row>
    <row r="57" spans="1:1" x14ac:dyDescent="0.25">
      <c r="A57" t="e">
        <f xml:space="preserve"> task!B53</f>
        <v>#VALUE!</v>
      </c>
    </row>
    <row r="58" spans="1:1" x14ac:dyDescent="0.25">
      <c r="A58" t="e">
        <f xml:space="preserve"> task!B54</f>
        <v>#VALUE!</v>
      </c>
    </row>
    <row r="59" spans="1:1" x14ac:dyDescent="0.25">
      <c r="A59" t="e">
        <f xml:space="preserve"> task!B55</f>
        <v>#VALUE!</v>
      </c>
    </row>
    <row r="60" spans="1:1" x14ac:dyDescent="0.25">
      <c r="A60" t="e">
        <f xml:space="preserve"> task!B56</f>
        <v>#VALUE!</v>
      </c>
    </row>
    <row r="61" spans="1:1" x14ac:dyDescent="0.25">
      <c r="A61" t="e">
        <f xml:space="preserve"> task!B57</f>
        <v>#VALUE!</v>
      </c>
    </row>
    <row r="62" spans="1:1" x14ac:dyDescent="0.25">
      <c r="A62" t="e">
        <f xml:space="preserve"> task!B58</f>
        <v>#VALUE!</v>
      </c>
    </row>
    <row r="63" spans="1:1" x14ac:dyDescent="0.25">
      <c r="A63" t="e">
        <f xml:space="preserve"> task!B59</f>
        <v>#VALUE!</v>
      </c>
    </row>
    <row r="64" spans="1:1" x14ac:dyDescent="0.25">
      <c r="A64" t="e">
        <f xml:space="preserve"> task!B60</f>
        <v>#VALUE!</v>
      </c>
    </row>
    <row r="65" spans="1:1" x14ac:dyDescent="0.25">
      <c r="A65" t="e">
        <f xml:space="preserve"> task!B61</f>
        <v>#VALUE!</v>
      </c>
    </row>
    <row r="66" spans="1:1" x14ac:dyDescent="0.25">
      <c r="A66" t="e">
        <f xml:space="preserve"> task!B62</f>
        <v>#VALUE!</v>
      </c>
    </row>
    <row r="67" spans="1:1" x14ac:dyDescent="0.25">
      <c r="A67" t="e">
        <f xml:space="preserve"> task!B63</f>
        <v>#VALUE!</v>
      </c>
    </row>
    <row r="68" spans="1:1" x14ac:dyDescent="0.25">
      <c r="A68" t="e">
        <f xml:space="preserve"> task!B64</f>
        <v>#VALUE!</v>
      </c>
    </row>
    <row r="69" spans="1:1" x14ac:dyDescent="0.25">
      <c r="A69" t="e">
        <f xml:space="preserve"> task!B65</f>
        <v>#VALUE!</v>
      </c>
    </row>
    <row r="70" spans="1:1" x14ac:dyDescent="0.25">
      <c r="A70" t="e">
        <f xml:space="preserve"> task!B66</f>
        <v>#VALUE!</v>
      </c>
    </row>
    <row r="71" spans="1:1" x14ac:dyDescent="0.25">
      <c r="A71" t="e">
        <f xml:space="preserve"> task!B67</f>
        <v>#VALUE!</v>
      </c>
    </row>
    <row r="72" spans="1:1" x14ac:dyDescent="0.25">
      <c r="A72" t="e">
        <f xml:space="preserve"> task!B68</f>
        <v>#VALUE!</v>
      </c>
    </row>
    <row r="73" spans="1:1" x14ac:dyDescent="0.25">
      <c r="A73" t="e">
        <f xml:space="preserve"> task!B69</f>
        <v>#VALUE!</v>
      </c>
    </row>
    <row r="74" spans="1:1" x14ac:dyDescent="0.25">
      <c r="A74" t="e">
        <f xml:space="preserve"> task!B70</f>
        <v>#VALUE!</v>
      </c>
    </row>
    <row r="75" spans="1:1" x14ac:dyDescent="0.25">
      <c r="A75" t="e">
        <f xml:space="preserve"> task!B71</f>
        <v>#VALUE!</v>
      </c>
    </row>
    <row r="76" spans="1:1" x14ac:dyDescent="0.25">
      <c r="A76" t="e">
        <f xml:space="preserve"> task!B72</f>
        <v>#VALUE!</v>
      </c>
    </row>
    <row r="77" spans="1:1" x14ac:dyDescent="0.25">
      <c r="A77" t="e">
        <f xml:space="preserve"> task!B73</f>
        <v>#VALUE!</v>
      </c>
    </row>
    <row r="78" spans="1:1" x14ac:dyDescent="0.25">
      <c r="A78" t="e">
        <f xml:space="preserve"> task!B74</f>
        <v>#VALUE!</v>
      </c>
    </row>
    <row r="79" spans="1:1" x14ac:dyDescent="0.25">
      <c r="A79" t="e">
        <f xml:space="preserve"> task!B75</f>
        <v>#VALUE!</v>
      </c>
    </row>
    <row r="80" spans="1:1" x14ac:dyDescent="0.25">
      <c r="A80" t="e">
        <f xml:space="preserve"> task!B76</f>
        <v>#VALUE!</v>
      </c>
    </row>
    <row r="81" spans="1:1" x14ac:dyDescent="0.25">
      <c r="A81" t="e">
        <f xml:space="preserve"> task!B77</f>
        <v>#VALUE!</v>
      </c>
    </row>
    <row r="82" spans="1:1" x14ac:dyDescent="0.25">
      <c r="A82" t="e">
        <f xml:space="preserve"> task!B78</f>
        <v>#VALUE!</v>
      </c>
    </row>
    <row r="83" spans="1:1" x14ac:dyDescent="0.25">
      <c r="A83" t="e">
        <f xml:space="preserve"> task!B79</f>
        <v>#VALUE!</v>
      </c>
    </row>
    <row r="84" spans="1:1" x14ac:dyDescent="0.25">
      <c r="A84" t="e">
        <f xml:space="preserve"> task!B80</f>
        <v>#VALUE!</v>
      </c>
    </row>
    <row r="85" spans="1:1" x14ac:dyDescent="0.25">
      <c r="A85" t="e">
        <f xml:space="preserve"> task!B81</f>
        <v>#VALUE!</v>
      </c>
    </row>
    <row r="86" spans="1:1" x14ac:dyDescent="0.25">
      <c r="A86" t="e">
        <f xml:space="preserve"> task!B82</f>
        <v>#VALUE!</v>
      </c>
    </row>
    <row r="87" spans="1:1" x14ac:dyDescent="0.25">
      <c r="A87" t="e">
        <f xml:space="preserve"> task!B83</f>
        <v>#VALUE!</v>
      </c>
    </row>
    <row r="88" spans="1:1" x14ac:dyDescent="0.25">
      <c r="A88" t="e">
        <f xml:space="preserve"> task!B84</f>
        <v>#VALUE!</v>
      </c>
    </row>
    <row r="89" spans="1:1" x14ac:dyDescent="0.25">
      <c r="A89" t="e">
        <f xml:space="preserve"> task!B85</f>
        <v>#VALUE!</v>
      </c>
    </row>
    <row r="90" spans="1:1" x14ac:dyDescent="0.25">
      <c r="A90" t="e">
        <f xml:space="preserve"> task!B86</f>
        <v>#VALUE!</v>
      </c>
    </row>
    <row r="91" spans="1:1" x14ac:dyDescent="0.25">
      <c r="A91" t="e">
        <f xml:space="preserve"> task!B87</f>
        <v>#VALUE!</v>
      </c>
    </row>
    <row r="92" spans="1:1" x14ac:dyDescent="0.25">
      <c r="A92" t="e">
        <f xml:space="preserve"> task!B88</f>
        <v>#VALUE!</v>
      </c>
    </row>
    <row r="93" spans="1:1" x14ac:dyDescent="0.25">
      <c r="A93" t="e">
        <f xml:space="preserve"> task!B89</f>
        <v>#VALUE!</v>
      </c>
    </row>
    <row r="94" spans="1:1" x14ac:dyDescent="0.25">
      <c r="A94" t="e">
        <f xml:space="preserve"> task!B90</f>
        <v>#VALUE!</v>
      </c>
    </row>
    <row r="95" spans="1:1" x14ac:dyDescent="0.25">
      <c r="A95" t="e">
        <f xml:space="preserve"> task!B91</f>
        <v>#VALUE!</v>
      </c>
    </row>
    <row r="96" spans="1:1" x14ac:dyDescent="0.25">
      <c r="A96" t="e">
        <f xml:space="preserve"> task!B92</f>
        <v>#VALUE!</v>
      </c>
    </row>
    <row r="97" spans="1:1" x14ac:dyDescent="0.25">
      <c r="A97" t="e">
        <f xml:space="preserve"> task!B93</f>
        <v>#VALUE!</v>
      </c>
    </row>
    <row r="98" spans="1:1" x14ac:dyDescent="0.25">
      <c r="A98" t="e">
        <f xml:space="preserve"> task!B94</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9"/>
  <sheetViews>
    <sheetView workbookViewId="0">
      <selection activeCell="B19" sqref="B19"/>
    </sheetView>
  </sheetViews>
  <sheetFormatPr defaultRowHeight="15" x14ac:dyDescent="0.25"/>
  <cols>
    <col min="1" max="1" width="28.28515625" customWidth="1"/>
    <col min="2" max="2" width="140.42578125" customWidth="1"/>
  </cols>
  <sheetData>
    <row r="1" spans="1:7" x14ac:dyDescent="0.25">
      <c r="A1" s="21" t="s">
        <v>55</v>
      </c>
      <c r="B1" s="22"/>
      <c r="C1" s="22"/>
      <c r="D1" s="22"/>
      <c r="E1" s="22"/>
      <c r="F1" s="22"/>
      <c r="G1" s="22"/>
    </row>
    <row r="2" spans="1:7" x14ac:dyDescent="0.25">
      <c r="A2" s="22"/>
      <c r="B2" s="22"/>
      <c r="C2" s="22"/>
      <c r="D2" s="22"/>
      <c r="E2" s="22"/>
      <c r="F2" s="22"/>
      <c r="G2" s="22"/>
    </row>
    <row r="3" spans="1:7" x14ac:dyDescent="0.25">
      <c r="A3" s="22"/>
      <c r="B3" s="22"/>
      <c r="C3" s="22"/>
      <c r="D3" s="22"/>
      <c r="E3" s="22"/>
      <c r="F3" s="22"/>
      <c r="G3" s="22"/>
    </row>
    <row r="4" spans="1:7" x14ac:dyDescent="0.25">
      <c r="A4" s="22"/>
      <c r="B4" s="22"/>
      <c r="C4" s="22"/>
      <c r="D4" s="22"/>
      <c r="E4" s="22"/>
      <c r="F4" s="22"/>
      <c r="G4" s="22"/>
    </row>
    <row r="5" spans="1:7" x14ac:dyDescent="0.25">
      <c r="A5" s="22"/>
      <c r="B5" s="22"/>
      <c r="C5" s="22"/>
      <c r="D5" s="22"/>
      <c r="E5" s="22"/>
      <c r="F5" s="22"/>
      <c r="G5" s="22"/>
    </row>
    <row r="6" spans="1:7" x14ac:dyDescent="0.25">
      <c r="A6" s="22"/>
      <c r="B6" s="22"/>
      <c r="C6" s="22"/>
      <c r="D6" s="22"/>
      <c r="E6" s="22"/>
      <c r="F6" s="22"/>
      <c r="G6" s="22"/>
    </row>
    <row r="7" spans="1:7" x14ac:dyDescent="0.25">
      <c r="A7" s="22"/>
      <c r="B7" s="22"/>
      <c r="C7" s="22"/>
      <c r="D7" s="22"/>
      <c r="E7" s="22"/>
      <c r="F7" s="22"/>
      <c r="G7" s="22"/>
    </row>
    <row r="8" spans="1:7" x14ac:dyDescent="0.25">
      <c r="A8" s="22"/>
      <c r="B8" s="22"/>
      <c r="C8" s="22"/>
      <c r="D8" s="22"/>
      <c r="E8" s="22"/>
      <c r="F8" s="22"/>
      <c r="G8" s="22"/>
    </row>
    <row r="9" spans="1:7" x14ac:dyDescent="0.25">
      <c r="A9" s="22"/>
      <c r="B9" s="22"/>
      <c r="C9" s="22"/>
      <c r="D9" s="22"/>
      <c r="E9" s="22"/>
      <c r="F9" s="22"/>
      <c r="G9" s="22"/>
    </row>
    <row r="10" spans="1:7" x14ac:dyDescent="0.25">
      <c r="A10" s="22"/>
      <c r="B10" s="22"/>
      <c r="C10" s="22"/>
      <c r="D10" s="22"/>
      <c r="E10" s="22"/>
      <c r="F10" s="22"/>
      <c r="G10" s="22"/>
    </row>
    <row r="11" spans="1:7" x14ac:dyDescent="0.25">
      <c r="A11" s="22"/>
      <c r="B11" s="22"/>
      <c r="C11" s="22"/>
      <c r="D11" s="22"/>
      <c r="E11" s="22"/>
      <c r="F11" s="22"/>
      <c r="G11" s="22"/>
    </row>
    <row r="12" spans="1:7" x14ac:dyDescent="0.25">
      <c r="A12" s="22"/>
      <c r="B12" s="22"/>
      <c r="C12" s="22"/>
      <c r="D12" s="22"/>
      <c r="E12" s="22"/>
      <c r="F12" s="22"/>
      <c r="G12" s="22"/>
    </row>
    <row r="13" spans="1:7" x14ac:dyDescent="0.25">
      <c r="A13" s="22"/>
      <c r="B13" s="22"/>
      <c r="C13" s="22"/>
      <c r="D13" s="22"/>
      <c r="E13" s="22"/>
      <c r="F13" s="22"/>
      <c r="G13" s="22"/>
    </row>
    <row r="14" spans="1:7" x14ac:dyDescent="0.25">
      <c r="A14" s="22"/>
      <c r="B14" s="22"/>
      <c r="C14" s="22"/>
      <c r="D14" s="22"/>
      <c r="E14" s="22"/>
      <c r="F14" s="22"/>
      <c r="G14" s="22"/>
    </row>
    <row r="15" spans="1:7" x14ac:dyDescent="0.25">
      <c r="A15" s="22"/>
      <c r="B15" s="22"/>
      <c r="C15" s="22"/>
      <c r="D15" s="22"/>
      <c r="E15" s="22"/>
      <c r="F15" s="22"/>
      <c r="G15" s="22"/>
    </row>
    <row r="16" spans="1:7" x14ac:dyDescent="0.25">
      <c r="B16" s="12" t="s">
        <v>80</v>
      </c>
    </row>
    <row r="17" spans="2:2" x14ac:dyDescent="0.25">
      <c r="B17" t="s">
        <v>97</v>
      </c>
    </row>
    <row r="18" spans="2:2" x14ac:dyDescent="0.25">
      <c r="B18" t="s">
        <v>104</v>
      </c>
    </row>
    <row r="19" spans="2:2" x14ac:dyDescent="0.25">
      <c r="B19" t="s">
        <v>108</v>
      </c>
    </row>
  </sheetData>
  <mergeCells count="1">
    <mergeCell ref="A1:G15"/>
  </mergeCells>
  <hyperlinks>
    <hyperlink ref="B16"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46</v>
      </c>
      <c r="B1" t="s">
        <v>47</v>
      </c>
      <c r="C1" t="s">
        <v>45</v>
      </c>
      <c r="D1" t="s">
        <v>50</v>
      </c>
      <c r="E1" t="s">
        <v>48</v>
      </c>
      <c r="F1" t="s">
        <v>49</v>
      </c>
    </row>
    <row r="2" spans="1:6" x14ac:dyDescent="0.25">
      <c r="A2" t="s">
        <v>34</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35</v>
      </c>
      <c r="B3" t="str">
        <f t="shared" si="0"/>
        <v>1050778399</v>
      </c>
      <c r="C3" t="str">
        <f t="shared" si="1"/>
        <v>Burlington Coat Factory Unknown</v>
      </c>
      <c r="D3" t="str">
        <f t="shared" si="2"/>
        <v>Burlington Coat Factory</v>
      </c>
      <c r="E3" t="str">
        <f t="shared" si="3"/>
        <v>Unknown</v>
      </c>
      <c r="F3" t="str">
        <f t="shared" si="4"/>
        <v>Unknown</v>
      </c>
    </row>
    <row r="4" spans="1:6" x14ac:dyDescent="0.25">
      <c r="A4" t="s">
        <v>36</v>
      </c>
      <c r="B4" t="str">
        <f t="shared" si="0"/>
        <v>1050778400</v>
      </c>
      <c r="C4" t="str">
        <f t="shared" si="1"/>
        <v>Burlington Coat Factory Unknown</v>
      </c>
      <c r="D4" t="str">
        <f t="shared" si="2"/>
        <v>Burlington Coat Factory</v>
      </c>
      <c r="E4" t="str">
        <f t="shared" si="3"/>
        <v>Unknown</v>
      </c>
      <c r="F4" t="str">
        <f t="shared" si="4"/>
        <v>Unknown</v>
      </c>
    </row>
    <row r="5" spans="1:6" x14ac:dyDescent="0.25">
      <c r="A5" t="s">
        <v>37</v>
      </c>
      <c r="B5" t="str">
        <f t="shared" si="0"/>
        <v>1050778401</v>
      </c>
      <c r="C5" t="str">
        <f t="shared" si="1"/>
        <v>Burlington Coat Factory Unknown</v>
      </c>
      <c r="D5" t="str">
        <f t="shared" si="2"/>
        <v>Burlington Coat Factory</v>
      </c>
      <c r="E5" t="str">
        <f t="shared" si="3"/>
        <v>Unknown</v>
      </c>
      <c r="F5" t="str">
        <f t="shared" si="4"/>
        <v>Unknown</v>
      </c>
    </row>
    <row r="6" spans="1:6" x14ac:dyDescent="0.25">
      <c r="A6" t="s">
        <v>38</v>
      </c>
      <c r="B6" t="str">
        <f t="shared" si="0"/>
        <v>1050778402</v>
      </c>
      <c r="C6" t="str">
        <f t="shared" si="1"/>
        <v>Burlington Coat Factory Unknown</v>
      </c>
      <c r="D6" t="str">
        <f t="shared" si="2"/>
        <v>Burlington Coat Factory</v>
      </c>
      <c r="E6" t="str">
        <f t="shared" si="3"/>
        <v>Unknown</v>
      </c>
      <c r="F6" t="str">
        <f t="shared" si="4"/>
        <v>Unknown</v>
      </c>
    </row>
    <row r="7" spans="1:6" x14ac:dyDescent="0.25">
      <c r="A7" t="s">
        <v>39</v>
      </c>
      <c r="B7" t="str">
        <f t="shared" si="0"/>
        <v>1050778403</v>
      </c>
      <c r="C7" t="str">
        <f t="shared" si="1"/>
        <v>Burlington Coat Factory Unknown</v>
      </c>
      <c r="D7" t="str">
        <f t="shared" si="2"/>
        <v>Burlington Coat Factory</v>
      </c>
      <c r="E7" t="str">
        <f t="shared" si="3"/>
        <v>Unknown</v>
      </c>
      <c r="F7" t="str">
        <f t="shared" si="4"/>
        <v>Unknown</v>
      </c>
    </row>
    <row r="8" spans="1:6" x14ac:dyDescent="0.25">
      <c r="A8" t="s">
        <v>40</v>
      </c>
      <c r="B8" t="str">
        <f t="shared" si="0"/>
        <v>1050778404</v>
      </c>
      <c r="C8" t="str">
        <f t="shared" si="1"/>
        <v>Burlington Coat Factory Unknown</v>
      </c>
      <c r="D8" t="str">
        <f t="shared" si="2"/>
        <v>Burlington Coat Factory</v>
      </c>
      <c r="E8" t="str">
        <f t="shared" si="3"/>
        <v>Unknown</v>
      </c>
      <c r="F8" t="str">
        <f t="shared" si="4"/>
        <v>Unknown</v>
      </c>
    </row>
    <row r="9" spans="1:6" x14ac:dyDescent="0.25">
      <c r="A9" t="s">
        <v>41</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42</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43</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44</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task</vt:lpstr>
      <vt:lpstr>partner</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2021-08-24T03:41:36Z</dcterms:modified>
</cp:coreProperties>
</file>