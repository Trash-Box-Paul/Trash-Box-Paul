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activeTab="5"/>
  </bookViews>
  <sheets>
    <sheet name="in progress" sheetId="1" r:id="rId1"/>
    <sheet name="pending" sheetId="7" r:id="rId2"/>
    <sheet name="completed" sheetId="8" r:id="rId3"/>
    <sheet name="notes" sheetId="3" r:id="rId4"/>
    <sheet name="Sheet2" sheetId="2" r:id="rId5"/>
    <sheet name="Sheet5"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D3" i="1"/>
  <c r="F3"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F136" i="8"/>
  <c r="C136" i="8"/>
  <c r="B136" i="8"/>
  <c r="F135" i="8"/>
  <c r="C135" i="8"/>
  <c r="B135" i="8"/>
  <c r="G134" i="8"/>
  <c r="F134" i="8"/>
  <c r="C134" i="8"/>
  <c r="B134" i="8"/>
  <c r="F133" i="8"/>
  <c r="G133" i="8" s="1"/>
  <c r="C133" i="8"/>
  <c r="B133" i="8"/>
  <c r="G132" i="8"/>
  <c r="F132" i="8"/>
  <c r="C132" i="8"/>
  <c r="B132" i="8"/>
  <c r="F131" i="8"/>
  <c r="G131" i="8" s="1"/>
  <c r="C131" i="8"/>
  <c r="B131" i="8"/>
  <c r="G130" i="8"/>
  <c r="F130" i="8"/>
  <c r="C130" i="8"/>
  <c r="B130" i="8"/>
  <c r="F129" i="8"/>
  <c r="G129" i="8" s="1"/>
  <c r="C129" i="8"/>
  <c r="B129" i="8"/>
  <c r="G128" i="8"/>
  <c r="F128" i="8"/>
  <c r="C128" i="8"/>
  <c r="B128" i="8"/>
  <c r="F127" i="8"/>
  <c r="G127" i="8" s="1"/>
  <c r="C127" i="8"/>
  <c r="B127" i="8"/>
  <c r="G126" i="8"/>
  <c r="F126" i="8"/>
  <c r="C126" i="8"/>
  <c r="B126" i="8"/>
  <c r="F125" i="8"/>
  <c r="G125" i="8" s="1"/>
  <c r="C125" i="8"/>
  <c r="B125" i="8"/>
  <c r="G124" i="8"/>
  <c r="F124" i="8"/>
  <c r="C124" i="8"/>
  <c r="B124" i="8"/>
  <c r="F123" i="8"/>
  <c r="G123" i="8" s="1"/>
  <c r="C123" i="8"/>
  <c r="B123" i="8"/>
  <c r="G122" i="8"/>
  <c r="F122" i="8"/>
  <c r="C122" i="8"/>
  <c r="B122" i="8"/>
  <c r="F121" i="8"/>
  <c r="G121" i="8" s="1"/>
  <c r="C121" i="8"/>
  <c r="B121" i="8"/>
  <c r="G120" i="8"/>
  <c r="F120" i="8"/>
  <c r="C120" i="8"/>
  <c r="B120" i="8"/>
  <c r="F119" i="8"/>
  <c r="G119" i="8" s="1"/>
  <c r="C119" i="8"/>
  <c r="B119" i="8"/>
  <c r="G118" i="8"/>
  <c r="F118" i="8"/>
  <c r="C118" i="8"/>
  <c r="B118" i="8"/>
  <c r="F117" i="8"/>
  <c r="G117" i="8" s="1"/>
  <c r="C117" i="8"/>
  <c r="B117" i="8"/>
  <c r="G116" i="8"/>
  <c r="F116" i="8"/>
  <c r="C116" i="8"/>
  <c r="B116" i="8"/>
  <c r="F115" i="8"/>
  <c r="G115" i="8" s="1"/>
  <c r="C115" i="8"/>
  <c r="B115" i="8"/>
  <c r="G114" i="8"/>
  <c r="F114" i="8"/>
  <c r="C114" i="8"/>
  <c r="B114" i="8"/>
  <c r="F113" i="8"/>
  <c r="G113" i="8" s="1"/>
  <c r="C113" i="8"/>
  <c r="B113" i="8"/>
  <c r="G112" i="8"/>
  <c r="F112" i="8"/>
  <c r="C112" i="8"/>
  <c r="B112" i="8"/>
  <c r="F111" i="8"/>
  <c r="G111" i="8" s="1"/>
  <c r="C111" i="8"/>
  <c r="B111" i="8"/>
  <c r="G110" i="8"/>
  <c r="F110" i="8"/>
  <c r="C110" i="8"/>
  <c r="B110" i="8"/>
  <c r="F109" i="8"/>
  <c r="G109" i="8" s="1"/>
  <c r="C109" i="8"/>
  <c r="B109" i="8"/>
  <c r="G108" i="8"/>
  <c r="F108" i="8"/>
  <c r="C108" i="8"/>
  <c r="B108" i="8"/>
  <c r="F107" i="8"/>
  <c r="G107" i="8" s="1"/>
  <c r="C107" i="8"/>
  <c r="B107" i="8"/>
  <c r="G106" i="8"/>
  <c r="F106" i="8"/>
  <c r="C106" i="8"/>
  <c r="B106" i="8"/>
  <c r="F105" i="8"/>
  <c r="G105" i="8" s="1"/>
  <c r="C105" i="8"/>
  <c r="B105" i="8"/>
  <c r="G104" i="8"/>
  <c r="F104" i="8"/>
  <c r="C104" i="8"/>
  <c r="B104" i="8"/>
  <c r="F103" i="8"/>
  <c r="G103" i="8" s="1"/>
  <c r="C103" i="8"/>
  <c r="B103" i="8"/>
  <c r="G102" i="8"/>
  <c r="F102" i="8"/>
  <c r="C102" i="8"/>
  <c r="B102" i="8"/>
  <c r="F101" i="8"/>
  <c r="G101" i="8" s="1"/>
  <c r="C101" i="8"/>
  <c r="B101" i="8"/>
  <c r="E100" i="8"/>
  <c r="F100" i="8" s="1"/>
  <c r="G100" i="8" s="1"/>
  <c r="C100" i="8"/>
  <c r="B100" i="8"/>
  <c r="E99" i="8"/>
  <c r="F99" i="8" s="1"/>
  <c r="G99" i="8" s="1"/>
  <c r="C99" i="8"/>
  <c r="B99" i="8"/>
  <c r="G98" i="8"/>
  <c r="F98" i="8"/>
  <c r="E98" i="8"/>
  <c r="C98" i="8"/>
  <c r="B98" i="8"/>
  <c r="F97" i="8"/>
  <c r="G97" i="8" s="1"/>
  <c r="E97" i="8"/>
  <c r="C97" i="8"/>
  <c r="B97" i="8"/>
  <c r="E96" i="8"/>
  <c r="F96" i="8" s="1"/>
  <c r="G96" i="8" s="1"/>
  <c r="C96" i="8"/>
  <c r="B96" i="8"/>
  <c r="F95" i="8"/>
  <c r="G95" i="8" s="1"/>
  <c r="E95" i="8"/>
  <c r="C95" i="8"/>
  <c r="B95" i="8"/>
  <c r="E94" i="8"/>
  <c r="F94" i="8" s="1"/>
  <c r="G94" i="8" s="1"/>
  <c r="C94" i="8"/>
  <c r="B94" i="8"/>
  <c r="E93" i="8"/>
  <c r="F93" i="8" s="1"/>
  <c r="G93" i="8" s="1"/>
  <c r="C93" i="8"/>
  <c r="B93" i="8"/>
  <c r="E92" i="8"/>
  <c r="F92" i="8" s="1"/>
  <c r="G92" i="8" s="1"/>
  <c r="C92" i="8"/>
  <c r="B92" i="8"/>
  <c r="E91" i="8"/>
  <c r="F91" i="8" s="1"/>
  <c r="G91" i="8" s="1"/>
  <c r="C91" i="8"/>
  <c r="B91" i="8"/>
  <c r="G90" i="8"/>
  <c r="F90" i="8"/>
  <c r="E90" i="8"/>
  <c r="C90" i="8"/>
  <c r="B90" i="8"/>
  <c r="F89" i="8"/>
  <c r="G89" i="8" s="1"/>
  <c r="E89" i="8"/>
  <c r="C89" i="8"/>
  <c r="B89" i="8"/>
  <c r="E88" i="8"/>
  <c r="F88" i="8" s="1"/>
  <c r="G88" i="8" s="1"/>
  <c r="C88" i="8"/>
  <c r="B88" i="8"/>
  <c r="F87" i="8"/>
  <c r="G87" i="8" s="1"/>
  <c r="E87" i="8"/>
  <c r="C87" i="8"/>
  <c r="B87" i="8"/>
  <c r="E86" i="8"/>
  <c r="F86" i="8" s="1"/>
  <c r="G86" i="8" s="1"/>
  <c r="C86" i="8"/>
  <c r="B86" i="8"/>
  <c r="E85" i="8"/>
  <c r="F85" i="8" s="1"/>
  <c r="G85" i="8" s="1"/>
  <c r="C85" i="8"/>
  <c r="B85" i="8"/>
  <c r="E84" i="8"/>
  <c r="F84" i="8" s="1"/>
  <c r="G84" i="8" s="1"/>
  <c r="C84" i="8"/>
  <c r="B84" i="8"/>
  <c r="E83" i="8"/>
  <c r="F83" i="8" s="1"/>
  <c r="G83" i="8" s="1"/>
  <c r="C83" i="8"/>
  <c r="B83" i="8"/>
  <c r="G82" i="8"/>
  <c r="F82" i="8"/>
  <c r="E82" i="8"/>
  <c r="C82" i="8"/>
  <c r="B82" i="8"/>
  <c r="F81" i="8"/>
  <c r="G81" i="8" s="1"/>
  <c r="E81" i="8"/>
  <c r="C81" i="8"/>
  <c r="B81" i="8"/>
  <c r="E80" i="8"/>
  <c r="F80" i="8" s="1"/>
  <c r="G80" i="8" s="1"/>
  <c r="C80" i="8"/>
  <c r="B80" i="8"/>
  <c r="F79" i="8"/>
  <c r="G79" i="8" s="1"/>
  <c r="E79" i="8"/>
  <c r="C79" i="8"/>
  <c r="B79" i="8"/>
  <c r="E78" i="8"/>
  <c r="F78" i="8" s="1"/>
  <c r="G78" i="8" s="1"/>
  <c r="C78" i="8"/>
  <c r="B78" i="8"/>
  <c r="E77" i="8"/>
  <c r="F77" i="8" s="1"/>
  <c r="G77" i="8" s="1"/>
  <c r="C77" i="8"/>
  <c r="B77" i="8"/>
  <c r="E76" i="8"/>
  <c r="F76" i="8" s="1"/>
  <c r="G76" i="8" s="1"/>
  <c r="C76" i="8"/>
  <c r="B76" i="8"/>
  <c r="E75" i="8"/>
  <c r="F75" i="8" s="1"/>
  <c r="G75" i="8" s="1"/>
  <c r="C75" i="8"/>
  <c r="B75" i="8"/>
  <c r="G74" i="8"/>
  <c r="F74" i="8"/>
  <c r="E74" i="8"/>
  <c r="C74" i="8"/>
  <c r="B74" i="8"/>
  <c r="F73" i="8"/>
  <c r="G73" i="8" s="1"/>
  <c r="E73" i="8"/>
  <c r="C73" i="8"/>
  <c r="B73" i="8"/>
  <c r="E72" i="8"/>
  <c r="F72" i="8" s="1"/>
  <c r="G72" i="8" s="1"/>
  <c r="C72" i="8"/>
  <c r="B72" i="8"/>
  <c r="F71" i="8"/>
  <c r="G71" i="8" s="1"/>
  <c r="E71" i="8"/>
  <c r="C71" i="8"/>
  <c r="B71" i="8"/>
  <c r="E70" i="8"/>
  <c r="F70" i="8" s="1"/>
  <c r="G70" i="8" s="1"/>
  <c r="C70" i="8"/>
  <c r="B70" i="8"/>
  <c r="E69" i="8"/>
  <c r="F69" i="8" s="1"/>
  <c r="G69" i="8" s="1"/>
  <c r="C69" i="8"/>
  <c r="B69" i="8"/>
  <c r="E68" i="8"/>
  <c r="F68" i="8" s="1"/>
  <c r="G68" i="8" s="1"/>
  <c r="C68" i="8"/>
  <c r="B68" i="8"/>
  <c r="E67" i="8"/>
  <c r="F67" i="8" s="1"/>
  <c r="G67" i="8" s="1"/>
  <c r="C67" i="8"/>
  <c r="B67" i="8"/>
  <c r="G66" i="8"/>
  <c r="F66" i="8"/>
  <c r="E66" i="8"/>
  <c r="C66" i="8"/>
  <c r="B66" i="8"/>
  <c r="F65" i="8"/>
  <c r="G65" i="8" s="1"/>
  <c r="E65" i="8"/>
  <c r="C65" i="8"/>
  <c r="B65" i="8"/>
  <c r="E64" i="8"/>
  <c r="F64" i="8" s="1"/>
  <c r="G64" i="8" s="1"/>
  <c r="C64" i="8"/>
  <c r="B64" i="8"/>
  <c r="F63" i="8"/>
  <c r="G63" i="8" s="1"/>
  <c r="E63" i="8"/>
  <c r="C63" i="8"/>
  <c r="B63" i="8"/>
  <c r="E62" i="8"/>
  <c r="F62" i="8" s="1"/>
  <c r="G62" i="8" s="1"/>
  <c r="C62" i="8"/>
  <c r="B62" i="8"/>
  <c r="E61" i="8"/>
  <c r="F61" i="8" s="1"/>
  <c r="G61" i="8" s="1"/>
  <c r="C61" i="8"/>
  <c r="B61" i="8"/>
  <c r="E60" i="8"/>
  <c r="F60" i="8" s="1"/>
  <c r="G60" i="8" s="1"/>
  <c r="C60" i="8"/>
  <c r="B60" i="8"/>
  <c r="E59" i="8"/>
  <c r="F59" i="8" s="1"/>
  <c r="G59" i="8" s="1"/>
  <c r="C59" i="8"/>
  <c r="B59" i="8"/>
  <c r="G58" i="8"/>
  <c r="F58" i="8"/>
  <c r="E58" i="8"/>
  <c r="C58" i="8"/>
  <c r="B58" i="8"/>
  <c r="F57" i="8"/>
  <c r="G57" i="8" s="1"/>
  <c r="E57" i="8"/>
  <c r="C57" i="8"/>
  <c r="B57" i="8"/>
  <c r="E56" i="8"/>
  <c r="F56" i="8" s="1"/>
  <c r="G56" i="8" s="1"/>
  <c r="C56" i="8"/>
  <c r="B56" i="8"/>
  <c r="F55" i="8"/>
  <c r="G55" i="8" s="1"/>
  <c r="E55" i="8"/>
  <c r="C55" i="8"/>
  <c r="B55" i="8"/>
  <c r="E54" i="8"/>
  <c r="F54" i="8" s="1"/>
  <c r="G54" i="8" s="1"/>
  <c r="C54" i="8"/>
  <c r="B54" i="8"/>
  <c r="E53" i="8"/>
  <c r="F53" i="8" s="1"/>
  <c r="G53" i="8" s="1"/>
  <c r="C53" i="8"/>
  <c r="B53" i="8"/>
  <c r="E52" i="8"/>
  <c r="F52" i="8" s="1"/>
  <c r="G52" i="8" s="1"/>
  <c r="C52" i="8"/>
  <c r="B52" i="8"/>
  <c r="E51" i="8"/>
  <c r="F51" i="8" s="1"/>
  <c r="G51" i="8" s="1"/>
  <c r="C51" i="8"/>
  <c r="B51" i="8"/>
  <c r="G50" i="8"/>
  <c r="F50" i="8"/>
  <c r="E50" i="8"/>
  <c r="C50" i="8"/>
  <c r="B50" i="8"/>
  <c r="F49" i="8"/>
  <c r="G49" i="8" s="1"/>
  <c r="E49" i="8"/>
  <c r="C49" i="8"/>
  <c r="B49" i="8"/>
  <c r="E48" i="8"/>
  <c r="F48" i="8" s="1"/>
  <c r="G48" i="8" s="1"/>
  <c r="C48" i="8"/>
  <c r="B48" i="8"/>
  <c r="F47" i="8"/>
  <c r="G47" i="8" s="1"/>
  <c r="E47" i="8"/>
  <c r="C47" i="8"/>
  <c r="B47" i="8"/>
  <c r="E46" i="8"/>
  <c r="F46" i="8" s="1"/>
  <c r="G46" i="8" s="1"/>
  <c r="C46" i="8"/>
  <c r="B46" i="8"/>
  <c r="E45" i="8"/>
  <c r="F45" i="8" s="1"/>
  <c r="G45" i="8" s="1"/>
  <c r="C45" i="8"/>
  <c r="B45" i="8"/>
  <c r="E44" i="8"/>
  <c r="F44" i="8" s="1"/>
  <c r="G44" i="8" s="1"/>
  <c r="C44" i="8"/>
  <c r="B44" i="8"/>
  <c r="E43" i="8"/>
  <c r="F43" i="8" s="1"/>
  <c r="G43" i="8" s="1"/>
  <c r="C43" i="8"/>
  <c r="B43" i="8"/>
  <c r="G42" i="8"/>
  <c r="F42" i="8"/>
  <c r="E42" i="8"/>
  <c r="C42" i="8"/>
  <c r="B42" i="8"/>
  <c r="F41" i="8"/>
  <c r="G41" i="8" s="1"/>
  <c r="E41" i="8"/>
  <c r="C41" i="8"/>
  <c r="B41" i="8"/>
  <c r="F40" i="8"/>
  <c r="G40" i="8" s="1"/>
  <c r="E40" i="8"/>
  <c r="C40" i="8"/>
  <c r="B40" i="8"/>
  <c r="F39" i="8"/>
  <c r="G39" i="8" s="1"/>
  <c r="E39" i="8"/>
  <c r="C39" i="8"/>
  <c r="B39" i="8"/>
  <c r="E38" i="8"/>
  <c r="F38" i="8" s="1"/>
  <c r="G38" i="8" s="1"/>
  <c r="C38" i="8"/>
  <c r="B38" i="8"/>
  <c r="E37" i="8"/>
  <c r="F37" i="8" s="1"/>
  <c r="G37" i="8" s="1"/>
  <c r="C37" i="8"/>
  <c r="B37" i="8"/>
  <c r="E36" i="8"/>
  <c r="F36" i="8" s="1"/>
  <c r="G36" i="8" s="1"/>
  <c r="C36" i="8"/>
  <c r="B36" i="8"/>
  <c r="E35" i="8"/>
  <c r="F35" i="8" s="1"/>
  <c r="G35" i="8" s="1"/>
  <c r="C35" i="8"/>
  <c r="B35" i="8"/>
  <c r="G34" i="8"/>
  <c r="F34" i="8"/>
  <c r="E34" i="8"/>
  <c r="C34" i="8"/>
  <c r="B34" i="8"/>
  <c r="F33" i="8"/>
  <c r="G33" i="8" s="1"/>
  <c r="E33" i="8"/>
  <c r="C33" i="8"/>
  <c r="B33" i="8"/>
  <c r="F32" i="8"/>
  <c r="G32" i="8" s="1"/>
  <c r="E32" i="8"/>
  <c r="C32" i="8"/>
  <c r="B32" i="8"/>
  <c r="F31" i="8"/>
  <c r="G31" i="8" s="1"/>
  <c r="E31" i="8"/>
  <c r="C31" i="8"/>
  <c r="B31" i="8"/>
  <c r="E30" i="8"/>
  <c r="F30" i="8" s="1"/>
  <c r="G30" i="8" s="1"/>
  <c r="C30" i="8"/>
  <c r="B30" i="8"/>
  <c r="E29" i="8"/>
  <c r="F29" i="8" s="1"/>
  <c r="G29" i="8" s="1"/>
  <c r="C29" i="8"/>
  <c r="B29" i="8"/>
  <c r="E28" i="8"/>
  <c r="F28" i="8" s="1"/>
  <c r="G28" i="8" s="1"/>
  <c r="C28" i="8"/>
  <c r="B28" i="8"/>
  <c r="E27" i="8"/>
  <c r="F27" i="8" s="1"/>
  <c r="G27" i="8" s="1"/>
  <c r="C27" i="8"/>
  <c r="B27" i="8"/>
  <c r="G26" i="8"/>
  <c r="F26" i="8"/>
  <c r="E26" i="8"/>
  <c r="C26" i="8"/>
  <c r="B26" i="8"/>
  <c r="F25" i="8"/>
  <c r="G25" i="8" s="1"/>
  <c r="E25" i="8"/>
  <c r="C25" i="8"/>
  <c r="B25" i="8"/>
  <c r="F24" i="8"/>
  <c r="G24" i="8" s="1"/>
  <c r="E24" i="8"/>
  <c r="C24" i="8"/>
  <c r="B24" i="8"/>
  <c r="F23" i="8"/>
  <c r="G23" i="8" s="1"/>
  <c r="E23" i="8"/>
  <c r="C23" i="8"/>
  <c r="B23" i="8"/>
  <c r="E22" i="8"/>
  <c r="F22" i="8" s="1"/>
  <c r="G22" i="8" s="1"/>
  <c r="C22" i="8"/>
  <c r="B22" i="8"/>
  <c r="E21" i="8"/>
  <c r="F21" i="8" s="1"/>
  <c r="G21" i="8" s="1"/>
  <c r="C21" i="8"/>
  <c r="B21" i="8"/>
  <c r="E20" i="8"/>
  <c r="F20" i="8" s="1"/>
  <c r="G20" i="8" s="1"/>
  <c r="C20" i="8"/>
  <c r="B20" i="8"/>
  <c r="E19" i="8"/>
  <c r="F19" i="8" s="1"/>
  <c r="G19" i="8" s="1"/>
  <c r="C19" i="8"/>
  <c r="B19" i="8"/>
  <c r="G18" i="8"/>
  <c r="F18" i="8"/>
  <c r="E18" i="8"/>
  <c r="C18" i="8"/>
  <c r="B18" i="8"/>
  <c r="F17" i="8"/>
  <c r="G17" i="8" s="1"/>
  <c r="E17" i="8"/>
  <c r="C17" i="8"/>
  <c r="B17" i="8"/>
  <c r="F16" i="8"/>
  <c r="G16" i="8" s="1"/>
  <c r="E16" i="8"/>
  <c r="C16" i="8"/>
  <c r="B16" i="8"/>
  <c r="F15" i="8"/>
  <c r="G15" i="8" s="1"/>
  <c r="E15" i="8"/>
  <c r="C15" i="8"/>
  <c r="B15" i="8"/>
  <c r="E14" i="8"/>
  <c r="F14" i="8" s="1"/>
  <c r="G14" i="8" s="1"/>
  <c r="C14" i="8"/>
  <c r="B14" i="8"/>
  <c r="E13" i="8"/>
  <c r="F13" i="8" s="1"/>
  <c r="G13" i="8" s="1"/>
  <c r="C13" i="8"/>
  <c r="B13" i="8"/>
  <c r="E12" i="8"/>
  <c r="F12" i="8" s="1"/>
  <c r="G12" i="8" s="1"/>
  <c r="C12" i="8"/>
  <c r="B12" i="8"/>
  <c r="E11" i="8"/>
  <c r="F11" i="8" s="1"/>
  <c r="G11" i="8" s="1"/>
  <c r="C11" i="8"/>
  <c r="B11" i="8"/>
  <c r="G10" i="8"/>
  <c r="F10" i="8"/>
  <c r="E10" i="8"/>
  <c r="C10" i="8"/>
  <c r="B10" i="8"/>
  <c r="F9" i="8"/>
  <c r="G9" i="8" s="1"/>
  <c r="E9" i="8"/>
  <c r="C9" i="8"/>
  <c r="B9" i="8"/>
  <c r="F8" i="8"/>
  <c r="G8" i="8" s="1"/>
  <c r="E8" i="8"/>
  <c r="C8" i="8"/>
  <c r="B8" i="8"/>
  <c r="F7" i="8"/>
  <c r="G7" i="8" s="1"/>
  <c r="E7" i="8"/>
  <c r="C7" i="8"/>
  <c r="B7" i="8"/>
  <c r="E6" i="8"/>
  <c r="F6" i="8" s="1"/>
  <c r="G6" i="8" s="1"/>
  <c r="C6" i="8"/>
  <c r="B6" i="8"/>
  <c r="E5" i="8"/>
  <c r="F5" i="8" s="1"/>
  <c r="G5" i="8" s="1"/>
  <c r="C5" i="8"/>
  <c r="B5" i="8"/>
  <c r="E4" i="8"/>
  <c r="F4" i="8" s="1"/>
  <c r="G4" i="8" s="1"/>
  <c r="C4" i="8"/>
  <c r="B4" i="8"/>
  <c r="E3" i="8"/>
  <c r="F3" i="8" s="1"/>
  <c r="G3" i="8" s="1"/>
  <c r="C3" i="8"/>
  <c r="B3" i="8"/>
  <c r="G2" i="8"/>
  <c r="F2" i="8"/>
  <c r="E2" i="8"/>
  <c r="C2" i="8"/>
  <c r="B2" i="8"/>
  <c r="D2" i="1"/>
  <c r="D22" i="1"/>
  <c r="D4" i="1"/>
  <c r="D5" i="1"/>
  <c r="D6" i="1"/>
  <c r="D7" i="1"/>
  <c r="D10" i="1"/>
  <c r="D13" i="1"/>
  <c r="D14" i="1"/>
  <c r="D16" i="1"/>
  <c r="D19" i="1"/>
  <c r="D21" i="1"/>
  <c r="D26" i="1"/>
  <c r="D27" i="1"/>
  <c r="D28" i="1"/>
  <c r="D29" i="1"/>
  <c r="D30" i="1"/>
  <c r="D31" i="1"/>
  <c r="D8" i="1"/>
  <c r="D11" i="1"/>
  <c r="D15" i="1"/>
  <c r="D17" i="1"/>
  <c r="D18" i="1"/>
  <c r="D24" i="1"/>
  <c r="D20" i="1"/>
  <c r="D25" i="1"/>
  <c r="D9" i="1"/>
  <c r="D12" i="1"/>
  <c r="D23"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F136" i="7"/>
  <c r="B136" i="7"/>
  <c r="F135" i="7"/>
  <c r="B135" i="7"/>
  <c r="F134" i="7"/>
  <c r="G134" i="7" s="1"/>
  <c r="B134" i="7"/>
  <c r="F133" i="7"/>
  <c r="G133" i="7" s="1"/>
  <c r="B133" i="7"/>
  <c r="F132" i="7"/>
  <c r="G132" i="7" s="1"/>
  <c r="B132" i="7"/>
  <c r="F131" i="7"/>
  <c r="G131" i="7" s="1"/>
  <c r="B131" i="7"/>
  <c r="F130" i="7"/>
  <c r="G130" i="7" s="1"/>
  <c r="B130" i="7"/>
  <c r="F129" i="7"/>
  <c r="G129" i="7" s="1"/>
  <c r="B129" i="7"/>
  <c r="F128" i="7"/>
  <c r="G128" i="7" s="1"/>
  <c r="B128" i="7"/>
  <c r="F127" i="7"/>
  <c r="G127" i="7" s="1"/>
  <c r="B127" i="7"/>
  <c r="F126" i="7"/>
  <c r="G126" i="7" s="1"/>
  <c r="B126" i="7"/>
  <c r="F125" i="7"/>
  <c r="G125" i="7" s="1"/>
  <c r="B125" i="7"/>
  <c r="F124" i="7"/>
  <c r="G124" i="7" s="1"/>
  <c r="B124" i="7"/>
  <c r="F123" i="7"/>
  <c r="G123" i="7" s="1"/>
  <c r="B123" i="7"/>
  <c r="F122" i="7"/>
  <c r="G122" i="7" s="1"/>
  <c r="B122" i="7"/>
  <c r="F121" i="7"/>
  <c r="G121" i="7" s="1"/>
  <c r="B121" i="7"/>
  <c r="F120" i="7"/>
  <c r="G120" i="7" s="1"/>
  <c r="B120" i="7"/>
  <c r="F119" i="7"/>
  <c r="G119" i="7" s="1"/>
  <c r="B119" i="7"/>
  <c r="F118" i="7"/>
  <c r="G118" i="7" s="1"/>
  <c r="B118" i="7"/>
  <c r="F117" i="7"/>
  <c r="G117" i="7" s="1"/>
  <c r="B117" i="7"/>
  <c r="F116" i="7"/>
  <c r="G116" i="7" s="1"/>
  <c r="B116" i="7"/>
  <c r="F115" i="7"/>
  <c r="G115" i="7" s="1"/>
  <c r="B115" i="7"/>
  <c r="F114" i="7"/>
  <c r="G114" i="7" s="1"/>
  <c r="B114" i="7"/>
  <c r="F113" i="7"/>
  <c r="G113" i="7" s="1"/>
  <c r="B113" i="7"/>
  <c r="F112" i="7"/>
  <c r="G112" i="7" s="1"/>
  <c r="B112" i="7"/>
  <c r="F111" i="7"/>
  <c r="G111" i="7" s="1"/>
  <c r="B111" i="7"/>
  <c r="F110" i="7"/>
  <c r="G110" i="7" s="1"/>
  <c r="B110" i="7"/>
  <c r="F109" i="7"/>
  <c r="G109" i="7" s="1"/>
  <c r="B109" i="7"/>
  <c r="F108" i="7"/>
  <c r="G108" i="7" s="1"/>
  <c r="B108" i="7"/>
  <c r="F107" i="7"/>
  <c r="G107" i="7" s="1"/>
  <c r="B107" i="7"/>
  <c r="F106" i="7"/>
  <c r="G106" i="7" s="1"/>
  <c r="B106" i="7"/>
  <c r="F105" i="7"/>
  <c r="G105" i="7" s="1"/>
  <c r="B105" i="7"/>
  <c r="F104" i="7"/>
  <c r="G104" i="7" s="1"/>
  <c r="B104" i="7"/>
  <c r="F103" i="7"/>
  <c r="G103" i="7" s="1"/>
  <c r="B103" i="7"/>
  <c r="F102" i="7"/>
  <c r="G102" i="7" s="1"/>
  <c r="B102" i="7"/>
  <c r="F101" i="7"/>
  <c r="G101" i="7" s="1"/>
  <c r="B101" i="7"/>
  <c r="F100" i="7"/>
  <c r="G100" i="7" s="1"/>
  <c r="E100" i="7"/>
  <c r="B100" i="7"/>
  <c r="F99" i="7"/>
  <c r="G99" i="7" s="1"/>
  <c r="E99" i="7"/>
  <c r="B99" i="7"/>
  <c r="G98" i="7"/>
  <c r="F98" i="7"/>
  <c r="E98" i="7"/>
  <c r="B98" i="7"/>
  <c r="E97" i="7"/>
  <c r="F97" i="7" s="1"/>
  <c r="G97" i="7" s="1"/>
  <c r="B97" i="7"/>
  <c r="E96" i="7"/>
  <c r="F96" i="7" s="1"/>
  <c r="G96" i="7" s="1"/>
  <c r="B96" i="7"/>
  <c r="G95" i="7"/>
  <c r="F95" i="7"/>
  <c r="E95" i="7"/>
  <c r="B95" i="7"/>
  <c r="E94" i="7"/>
  <c r="F94" i="7" s="1"/>
  <c r="G94" i="7" s="1"/>
  <c r="B94" i="7"/>
  <c r="E93" i="7"/>
  <c r="F93" i="7" s="1"/>
  <c r="G93" i="7" s="1"/>
  <c r="B93" i="7"/>
  <c r="F92" i="7"/>
  <c r="G92" i="7" s="1"/>
  <c r="E92" i="7"/>
  <c r="B92" i="7"/>
  <c r="F91" i="7"/>
  <c r="G91" i="7" s="1"/>
  <c r="E91" i="7"/>
  <c r="B91" i="7"/>
  <c r="G90" i="7"/>
  <c r="F90" i="7"/>
  <c r="E90" i="7"/>
  <c r="B90" i="7"/>
  <c r="E89" i="7"/>
  <c r="F89" i="7" s="1"/>
  <c r="G89" i="7" s="1"/>
  <c r="B89" i="7"/>
  <c r="E88" i="7"/>
  <c r="F88" i="7" s="1"/>
  <c r="G88" i="7" s="1"/>
  <c r="B88" i="7"/>
  <c r="G87" i="7"/>
  <c r="F87" i="7"/>
  <c r="E87" i="7"/>
  <c r="B87" i="7"/>
  <c r="E86" i="7"/>
  <c r="F86" i="7" s="1"/>
  <c r="G86" i="7" s="1"/>
  <c r="B86" i="7"/>
  <c r="E85" i="7"/>
  <c r="F85" i="7" s="1"/>
  <c r="G85" i="7" s="1"/>
  <c r="B85" i="7"/>
  <c r="F84" i="7"/>
  <c r="G84" i="7" s="1"/>
  <c r="E84" i="7"/>
  <c r="B84" i="7"/>
  <c r="F83" i="7"/>
  <c r="G83" i="7" s="1"/>
  <c r="E83" i="7"/>
  <c r="B83" i="7"/>
  <c r="G82" i="7"/>
  <c r="F82" i="7"/>
  <c r="E82" i="7"/>
  <c r="B82" i="7"/>
  <c r="E81" i="7"/>
  <c r="F81" i="7" s="1"/>
  <c r="G81" i="7" s="1"/>
  <c r="B81" i="7"/>
  <c r="E80" i="7"/>
  <c r="F80" i="7" s="1"/>
  <c r="G80" i="7" s="1"/>
  <c r="B80" i="7"/>
  <c r="G79" i="7"/>
  <c r="F79" i="7"/>
  <c r="E79" i="7"/>
  <c r="B79" i="7"/>
  <c r="E78" i="7"/>
  <c r="F78" i="7" s="1"/>
  <c r="G78" i="7" s="1"/>
  <c r="B78" i="7"/>
  <c r="E77" i="7"/>
  <c r="F77" i="7" s="1"/>
  <c r="G77" i="7" s="1"/>
  <c r="B77" i="7"/>
  <c r="F76" i="7"/>
  <c r="G76" i="7" s="1"/>
  <c r="E76" i="7"/>
  <c r="B76" i="7"/>
  <c r="F75" i="7"/>
  <c r="G75" i="7" s="1"/>
  <c r="E75" i="7"/>
  <c r="B75" i="7"/>
  <c r="G74" i="7"/>
  <c r="F74" i="7"/>
  <c r="E74" i="7"/>
  <c r="B74" i="7"/>
  <c r="E73" i="7"/>
  <c r="F73" i="7" s="1"/>
  <c r="G73" i="7" s="1"/>
  <c r="B73" i="7"/>
  <c r="E72" i="7"/>
  <c r="F72" i="7" s="1"/>
  <c r="G72" i="7" s="1"/>
  <c r="B72" i="7"/>
  <c r="G71" i="7"/>
  <c r="F71" i="7"/>
  <c r="E71" i="7"/>
  <c r="B71" i="7"/>
  <c r="E70" i="7"/>
  <c r="F70" i="7" s="1"/>
  <c r="G70" i="7" s="1"/>
  <c r="B70" i="7"/>
  <c r="E69" i="7"/>
  <c r="F69" i="7" s="1"/>
  <c r="G69" i="7" s="1"/>
  <c r="B69" i="7"/>
  <c r="F68" i="7"/>
  <c r="G68" i="7" s="1"/>
  <c r="E68" i="7"/>
  <c r="B68" i="7"/>
  <c r="F67" i="7"/>
  <c r="G67" i="7" s="1"/>
  <c r="E67" i="7"/>
  <c r="B67" i="7"/>
  <c r="G66" i="7"/>
  <c r="F66" i="7"/>
  <c r="E66" i="7"/>
  <c r="B66" i="7"/>
  <c r="E65" i="7"/>
  <c r="F65" i="7" s="1"/>
  <c r="G65" i="7" s="1"/>
  <c r="B65" i="7"/>
  <c r="E64" i="7"/>
  <c r="F64" i="7" s="1"/>
  <c r="G64" i="7" s="1"/>
  <c r="B64" i="7"/>
  <c r="G63" i="7"/>
  <c r="F63" i="7"/>
  <c r="E63" i="7"/>
  <c r="B63" i="7"/>
  <c r="E62" i="7"/>
  <c r="F62" i="7" s="1"/>
  <c r="G62" i="7" s="1"/>
  <c r="B62" i="7"/>
  <c r="E61" i="7"/>
  <c r="F61" i="7" s="1"/>
  <c r="G61" i="7" s="1"/>
  <c r="B61" i="7"/>
  <c r="F60" i="7"/>
  <c r="G60" i="7" s="1"/>
  <c r="E60" i="7"/>
  <c r="B60" i="7"/>
  <c r="F59" i="7"/>
  <c r="G59" i="7" s="1"/>
  <c r="E59" i="7"/>
  <c r="B59" i="7"/>
  <c r="G58" i="7"/>
  <c r="F58" i="7"/>
  <c r="E58" i="7"/>
  <c r="B58" i="7"/>
  <c r="E57" i="7"/>
  <c r="F57" i="7" s="1"/>
  <c r="G57" i="7" s="1"/>
  <c r="B57" i="7"/>
  <c r="E56" i="7"/>
  <c r="F56" i="7" s="1"/>
  <c r="G56" i="7" s="1"/>
  <c r="B56" i="7"/>
  <c r="G55" i="7"/>
  <c r="F55" i="7"/>
  <c r="E55" i="7"/>
  <c r="B55" i="7"/>
  <c r="E54" i="7"/>
  <c r="F54" i="7" s="1"/>
  <c r="G54" i="7" s="1"/>
  <c r="B54" i="7"/>
  <c r="E53" i="7"/>
  <c r="F53" i="7" s="1"/>
  <c r="G53" i="7" s="1"/>
  <c r="B53" i="7"/>
  <c r="F52" i="7"/>
  <c r="G52" i="7" s="1"/>
  <c r="E52" i="7"/>
  <c r="B52" i="7"/>
  <c r="F51" i="7"/>
  <c r="G51" i="7" s="1"/>
  <c r="E51" i="7"/>
  <c r="B51" i="7"/>
  <c r="G50" i="7"/>
  <c r="F50" i="7"/>
  <c r="E50" i="7"/>
  <c r="B50" i="7"/>
  <c r="E49" i="7"/>
  <c r="F49" i="7" s="1"/>
  <c r="G49" i="7" s="1"/>
  <c r="B49" i="7"/>
  <c r="E48" i="7"/>
  <c r="F48" i="7" s="1"/>
  <c r="G48" i="7" s="1"/>
  <c r="B48" i="7"/>
  <c r="G47" i="7"/>
  <c r="F47" i="7"/>
  <c r="E47" i="7"/>
  <c r="B47" i="7"/>
  <c r="E46" i="7"/>
  <c r="F46" i="7" s="1"/>
  <c r="G46" i="7" s="1"/>
  <c r="B46" i="7"/>
  <c r="E45" i="7"/>
  <c r="F45" i="7" s="1"/>
  <c r="G45" i="7" s="1"/>
  <c r="B45" i="7"/>
  <c r="F44" i="7"/>
  <c r="G44" i="7" s="1"/>
  <c r="E44" i="7"/>
  <c r="B44" i="7"/>
  <c r="F43" i="7"/>
  <c r="G43" i="7" s="1"/>
  <c r="E43" i="7"/>
  <c r="B43" i="7"/>
  <c r="G42" i="7"/>
  <c r="F42" i="7"/>
  <c r="E42" i="7"/>
  <c r="B42" i="7"/>
  <c r="E41" i="7"/>
  <c r="F41" i="7" s="1"/>
  <c r="G41" i="7" s="1"/>
  <c r="B41" i="7"/>
  <c r="E40" i="7"/>
  <c r="F40" i="7" s="1"/>
  <c r="G40" i="7" s="1"/>
  <c r="B40" i="7"/>
  <c r="G39" i="7"/>
  <c r="F39" i="7"/>
  <c r="E39" i="7"/>
  <c r="B39" i="7"/>
  <c r="E38" i="7"/>
  <c r="F38" i="7" s="1"/>
  <c r="G38" i="7" s="1"/>
  <c r="B38" i="7"/>
  <c r="E37" i="7"/>
  <c r="F37" i="7" s="1"/>
  <c r="G37" i="7" s="1"/>
  <c r="B37" i="7"/>
  <c r="F36" i="7"/>
  <c r="G36" i="7" s="1"/>
  <c r="E36" i="7"/>
  <c r="B36" i="7"/>
  <c r="F35" i="7"/>
  <c r="G35" i="7" s="1"/>
  <c r="E35" i="7"/>
  <c r="B35" i="7"/>
  <c r="G34" i="7"/>
  <c r="F34" i="7"/>
  <c r="E34" i="7"/>
  <c r="B34" i="7"/>
  <c r="E33" i="7"/>
  <c r="F33" i="7" s="1"/>
  <c r="G33" i="7" s="1"/>
  <c r="B33" i="7"/>
  <c r="E32" i="7"/>
  <c r="F32" i="7" s="1"/>
  <c r="G32" i="7" s="1"/>
  <c r="B32" i="7"/>
  <c r="G31" i="7"/>
  <c r="F31" i="7"/>
  <c r="E31" i="7"/>
  <c r="B31" i="7"/>
  <c r="E30" i="7"/>
  <c r="F30" i="7" s="1"/>
  <c r="G30" i="7" s="1"/>
  <c r="B30" i="7"/>
  <c r="E29" i="7"/>
  <c r="F29" i="7" s="1"/>
  <c r="G29" i="7" s="1"/>
  <c r="B29" i="7"/>
  <c r="F28" i="7"/>
  <c r="G28" i="7" s="1"/>
  <c r="E28" i="7"/>
  <c r="B28" i="7"/>
  <c r="F27" i="7"/>
  <c r="G27" i="7" s="1"/>
  <c r="E27" i="7"/>
  <c r="B27" i="7"/>
  <c r="G26" i="7"/>
  <c r="F26" i="7"/>
  <c r="E26" i="7"/>
  <c r="B26" i="7"/>
  <c r="E25" i="7"/>
  <c r="F25" i="7" s="1"/>
  <c r="G25" i="7" s="1"/>
  <c r="B25" i="7"/>
  <c r="E24" i="7"/>
  <c r="F24" i="7" s="1"/>
  <c r="G24" i="7" s="1"/>
  <c r="B24" i="7"/>
  <c r="G23" i="7"/>
  <c r="F23" i="7"/>
  <c r="E23" i="7"/>
  <c r="B23" i="7"/>
  <c r="E22" i="7"/>
  <c r="F22" i="7" s="1"/>
  <c r="G22" i="7" s="1"/>
  <c r="B22" i="7"/>
  <c r="E21" i="7"/>
  <c r="F21" i="7" s="1"/>
  <c r="G21" i="7" s="1"/>
  <c r="B21" i="7"/>
  <c r="F20" i="7"/>
  <c r="G20" i="7" s="1"/>
  <c r="E20" i="7"/>
  <c r="B20" i="7"/>
  <c r="F19" i="7"/>
  <c r="G19" i="7" s="1"/>
  <c r="E19" i="7"/>
  <c r="B19" i="7"/>
  <c r="G18" i="7"/>
  <c r="F18" i="7"/>
  <c r="E18" i="7"/>
  <c r="B18" i="7"/>
  <c r="E17" i="7"/>
  <c r="F17" i="7" s="1"/>
  <c r="G17" i="7" s="1"/>
  <c r="B17" i="7"/>
  <c r="E16" i="7"/>
  <c r="F16" i="7" s="1"/>
  <c r="G16" i="7" s="1"/>
  <c r="B16" i="7"/>
  <c r="G15" i="7"/>
  <c r="F15" i="7"/>
  <c r="E15" i="7"/>
  <c r="B15" i="7"/>
  <c r="E14" i="7"/>
  <c r="F14" i="7" s="1"/>
  <c r="G14" i="7" s="1"/>
  <c r="B14" i="7"/>
  <c r="E13" i="7"/>
  <c r="F13" i="7" s="1"/>
  <c r="G13" i="7" s="1"/>
  <c r="B13" i="7"/>
  <c r="F12" i="7"/>
  <c r="G12" i="7" s="1"/>
  <c r="E12" i="7"/>
  <c r="B12" i="7"/>
  <c r="F11" i="7"/>
  <c r="G11" i="7" s="1"/>
  <c r="E11" i="7"/>
  <c r="B11" i="7"/>
  <c r="G10" i="7"/>
  <c r="F10" i="7"/>
  <c r="E10" i="7"/>
  <c r="B10" i="7"/>
  <c r="E9" i="7"/>
  <c r="F9" i="7" s="1"/>
  <c r="G9" i="7" s="1"/>
  <c r="B9" i="7"/>
  <c r="E8" i="7"/>
  <c r="F8" i="7" s="1"/>
  <c r="G8" i="7" s="1"/>
  <c r="B8" i="7"/>
  <c r="G7" i="7"/>
  <c r="F7" i="7"/>
  <c r="E7" i="7"/>
  <c r="B7" i="7"/>
  <c r="E6" i="7"/>
  <c r="F6" i="7" s="1"/>
  <c r="G6" i="7" s="1"/>
  <c r="B6" i="7"/>
  <c r="E5" i="7"/>
  <c r="F5" i="7" s="1"/>
  <c r="G5" i="7" s="1"/>
  <c r="B5" i="7"/>
  <c r="F4" i="7"/>
  <c r="G4" i="7" s="1"/>
  <c r="E4" i="7"/>
  <c r="B4" i="7"/>
  <c r="F3" i="7"/>
  <c r="G3" i="7" s="1"/>
  <c r="E3" i="7"/>
  <c r="B3" i="7"/>
  <c r="G2" i="7"/>
  <c r="F2" i="7"/>
  <c r="E2" i="7"/>
  <c r="B2" i="7"/>
  <c r="G3" i="1" l="1"/>
  <c r="B20" i="3"/>
  <c r="C22" i="1" l="1"/>
  <c r="C7" i="1" l="1"/>
  <c r="C2" i="1" l="1"/>
  <c r="C20" i="1"/>
  <c r="C13" i="1" l="1"/>
  <c r="C27" i="1"/>
  <c r="C23" i="1"/>
  <c r="C12" i="1"/>
  <c r="C11" i="1"/>
  <c r="C30" i="1"/>
  <c r="C9" i="1"/>
  <c r="F13" i="1" l="1"/>
  <c r="G13" i="1" s="1"/>
  <c r="F27" i="1"/>
  <c r="G27" i="1" s="1"/>
  <c r="F23" i="1"/>
  <c r="G23" i="1" s="1"/>
  <c r="F12" i="1"/>
  <c r="G12" i="1" s="1"/>
  <c r="F11" i="1"/>
  <c r="G11" i="1" s="1"/>
  <c r="F30" i="1"/>
  <c r="G30" i="1" s="1"/>
  <c r="F9" i="1"/>
  <c r="G9" i="1" s="1"/>
  <c r="F25" i="1"/>
  <c r="G25" i="1" s="1"/>
  <c r="F14" i="1"/>
  <c r="G14" i="1" s="1"/>
  <c r="F18" i="1"/>
  <c r="G18" i="1" s="1"/>
  <c r="F6" i="1"/>
  <c r="G6" i="1" s="1"/>
  <c r="F16" i="1"/>
  <c r="G16" i="1" s="1"/>
  <c r="F17" i="1"/>
  <c r="G17" i="1" s="1"/>
  <c r="F15" i="1"/>
  <c r="G15" i="1" s="1"/>
  <c r="F31" i="1"/>
  <c r="G31" i="1" s="1"/>
  <c r="F24" i="1"/>
  <c r="G24" i="1" s="1"/>
  <c r="F26" i="1"/>
  <c r="G26" i="1" s="1"/>
  <c r="F5" i="1"/>
  <c r="G5" i="1" s="1"/>
  <c r="F21" i="1"/>
  <c r="G21" i="1" s="1"/>
  <c r="F4" i="1"/>
  <c r="G4" i="1" s="1"/>
  <c r="F10" i="1"/>
  <c r="G10" i="1" s="1"/>
  <c r="F29" i="1"/>
  <c r="G29" i="1" s="1"/>
  <c r="F19" i="1"/>
  <c r="G19" i="1" s="1"/>
  <c r="F8" i="1"/>
  <c r="G8" i="1" s="1"/>
  <c r="F32" i="1"/>
  <c r="G32" i="1" s="1"/>
  <c r="F33" i="1"/>
  <c r="G33" i="1" s="1"/>
  <c r="F34" i="1"/>
  <c r="G34" i="1" s="1"/>
  <c r="F35" i="1"/>
  <c r="G35" i="1" s="1"/>
  <c r="F36" i="1"/>
  <c r="G36" i="1" s="1"/>
  <c r="F37" i="1"/>
  <c r="G37" i="1" s="1"/>
  <c r="F38" i="1"/>
  <c r="G38" i="1" s="1"/>
  <c r="F39" i="1"/>
  <c r="G39" i="1" s="1"/>
  <c r="F40" i="1"/>
  <c r="G40" i="1" s="1"/>
  <c r="F41" i="1"/>
  <c r="G41" i="1" s="1"/>
  <c r="F42" i="1"/>
  <c r="G42" i="1" s="1"/>
  <c r="F43" i="1"/>
  <c r="G43" i="1" s="1"/>
  <c r="F44" i="1"/>
  <c r="G44" i="1" s="1"/>
  <c r="F45" i="1"/>
  <c r="G45" i="1" s="1"/>
  <c r="F46" i="1"/>
  <c r="G46" i="1" s="1"/>
  <c r="F47" i="1"/>
  <c r="G47" i="1" s="1"/>
  <c r="F48" i="1"/>
  <c r="G48" i="1" s="1"/>
  <c r="F49" i="1"/>
  <c r="G49" i="1" s="1"/>
  <c r="F50" i="1"/>
  <c r="G50" i="1" s="1"/>
  <c r="F51" i="1"/>
  <c r="G51" i="1" s="1"/>
  <c r="F52" i="1"/>
  <c r="G52" i="1" s="1"/>
  <c r="F53" i="1"/>
  <c r="G53" i="1" s="1"/>
  <c r="F54" i="1"/>
  <c r="G54" i="1" s="1"/>
  <c r="F55" i="1"/>
  <c r="G55" i="1" s="1"/>
  <c r="F56" i="1"/>
  <c r="G56" i="1" s="1"/>
  <c r="F57" i="1"/>
  <c r="G57" i="1" s="1"/>
  <c r="F58" i="1"/>
  <c r="G58" i="1" s="1"/>
  <c r="F59" i="1"/>
  <c r="G59" i="1" s="1"/>
  <c r="F60" i="1"/>
  <c r="G60" i="1" s="1"/>
  <c r="F61" i="1"/>
  <c r="G61" i="1" s="1"/>
  <c r="F62" i="1"/>
  <c r="G62" i="1" s="1"/>
  <c r="F63" i="1"/>
  <c r="G63" i="1" s="1"/>
  <c r="F64" i="1"/>
  <c r="G64" i="1" s="1"/>
  <c r="F65" i="1"/>
  <c r="G65" i="1" s="1"/>
  <c r="F66" i="1"/>
  <c r="G66" i="1" s="1"/>
  <c r="F67" i="1"/>
  <c r="G67" i="1" s="1"/>
  <c r="F68" i="1"/>
  <c r="G68" i="1" s="1"/>
  <c r="F69" i="1"/>
  <c r="G69" i="1" s="1"/>
  <c r="F70" i="1"/>
  <c r="G70" i="1" s="1"/>
  <c r="F71" i="1"/>
  <c r="G71" i="1" s="1"/>
  <c r="F72" i="1"/>
  <c r="G72" i="1" s="1"/>
  <c r="F73" i="1"/>
  <c r="G73" i="1" s="1"/>
  <c r="F74" i="1"/>
  <c r="G74" i="1" s="1"/>
  <c r="F75" i="1"/>
  <c r="G75" i="1" s="1"/>
  <c r="F76" i="1"/>
  <c r="G76" i="1" s="1"/>
  <c r="F77" i="1"/>
  <c r="G77" i="1" s="1"/>
  <c r="F78" i="1"/>
  <c r="G78" i="1" s="1"/>
  <c r="F79" i="1"/>
  <c r="G79" i="1" s="1"/>
  <c r="F80" i="1"/>
  <c r="G80" i="1" s="1"/>
  <c r="F81" i="1"/>
  <c r="G81" i="1" s="1"/>
  <c r="F82" i="1"/>
  <c r="G82" i="1" s="1"/>
  <c r="F83" i="1"/>
  <c r="G83" i="1" s="1"/>
  <c r="F84" i="1"/>
  <c r="G84" i="1" s="1"/>
  <c r="F85" i="1"/>
  <c r="G85" i="1" s="1"/>
  <c r="F86" i="1"/>
  <c r="G86" i="1" s="1"/>
  <c r="F87" i="1"/>
  <c r="G87" i="1" s="1"/>
  <c r="F88" i="1"/>
  <c r="G88" i="1" s="1"/>
  <c r="F89" i="1"/>
  <c r="G89" i="1" s="1"/>
  <c r="F90" i="1"/>
  <c r="G90" i="1" s="1"/>
  <c r="F91" i="1"/>
  <c r="G91" i="1" s="1"/>
  <c r="F92" i="1"/>
  <c r="G92" i="1" s="1"/>
  <c r="F93" i="1"/>
  <c r="G93" i="1" s="1"/>
  <c r="F94" i="1"/>
  <c r="G94" i="1" s="1"/>
  <c r="F95" i="1"/>
  <c r="G95" i="1" s="1"/>
  <c r="F96" i="1"/>
  <c r="G96" i="1" s="1"/>
  <c r="F97" i="1"/>
  <c r="G97" i="1" s="1"/>
  <c r="F98" i="1"/>
  <c r="G98" i="1" s="1"/>
  <c r="F99" i="1"/>
  <c r="G99" i="1" s="1"/>
  <c r="B21" i="3" l="1"/>
  <c r="F2" i="1" l="1"/>
  <c r="G2" i="1" s="1"/>
  <c r="F28" i="1" l="1"/>
  <c r="G28" i="1" s="1"/>
  <c r="F7" i="1"/>
  <c r="G7" i="1" s="1"/>
  <c r="F20" i="1"/>
  <c r="G20" i="1" s="1"/>
  <c r="C28" i="1" l="1"/>
  <c r="C25" i="1"/>
  <c r="C14" i="1"/>
  <c r="C18" i="1"/>
  <c r="C6" i="1"/>
  <c r="C16" i="1"/>
  <c r="C17" i="1"/>
  <c r="C15" i="1"/>
  <c r="C31" i="1"/>
  <c r="C24" i="1"/>
  <c r="C26" i="1"/>
  <c r="C5" i="1"/>
  <c r="C21" i="1"/>
  <c r="C4" i="1"/>
  <c r="C10" i="1"/>
  <c r="C29" i="1"/>
  <c r="C19" i="1"/>
  <c r="C8"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22" i="1"/>
  <c r="E22" i="2"/>
  <c r="E35" i="2"/>
  <c r="D7" i="2"/>
  <c r="E15" i="2"/>
  <c r="D11" i="2"/>
  <c r="D16" i="2"/>
  <c r="E7" i="2"/>
  <c r="D22" i="2"/>
  <c r="E23" i="2"/>
  <c r="D8" i="2"/>
  <c r="E16" i="2"/>
  <c r="D21" i="2"/>
  <c r="D23" i="2"/>
  <c r="E10" i="2"/>
  <c r="D15" i="2"/>
  <c r="E17" i="2"/>
  <c r="E32" i="2"/>
  <c r="E20" i="2"/>
  <c r="D28" i="2"/>
  <c r="E3" i="2"/>
  <c r="E11" i="2"/>
  <c r="D26" i="2"/>
  <c r="E31" i="2"/>
  <c r="E9" i="2"/>
  <c r="E26" i="2"/>
  <c r="D2" i="2"/>
  <c r="D9" i="2"/>
  <c r="E27" i="2"/>
  <c r="E24" i="2"/>
  <c r="D12" i="2"/>
  <c r="E18" i="2"/>
  <c r="E29" i="2"/>
  <c r="D6" i="2"/>
  <c r="D31" i="2"/>
  <c r="E6" i="2"/>
  <c r="D24" i="2"/>
  <c r="E14" i="2"/>
  <c r="D4" i="2"/>
  <c r="E33" i="2"/>
  <c r="E30" i="2"/>
  <c r="D3" i="2"/>
  <c r="E8" i="2"/>
  <c r="E4" i="2"/>
  <c r="E19" i="2"/>
  <c r="D27" i="2"/>
  <c r="E34" i="2"/>
  <c r="D30" i="2"/>
  <c r="D14" i="2"/>
  <c r="E25" i="2"/>
  <c r="D10" i="2"/>
  <c r="D29" i="2"/>
  <c r="E2" i="2"/>
  <c r="D17" i="2"/>
  <c r="D18" i="2"/>
  <c r="D13" i="2"/>
  <c r="D5" i="2"/>
  <c r="E21" i="2"/>
  <c r="G22" i="1" l="1"/>
  <c r="D25" i="2"/>
  <c r="D20" i="2"/>
  <c r="E12" i="2"/>
  <c r="E5" i="2"/>
  <c r="D19" i="2"/>
  <c r="E13" i="2"/>
  <c r="E28" i="2"/>
</calcChain>
</file>

<file path=xl/sharedStrings.xml><?xml version="1.0" encoding="utf-8"?>
<sst xmlns="http://schemas.openxmlformats.org/spreadsheetml/2006/main" count="403" uniqueCount="133">
  <si>
    <t>Column10</t>
  </si>
  <si>
    <t>Column11</t>
  </si>
  <si>
    <t>Column12</t>
  </si>
  <si>
    <t>Column13</t>
  </si>
  <si>
    <t>Column14</t>
  </si>
  <si>
    <t>Column15</t>
  </si>
  <si>
    <t>Column16</t>
  </si>
  <si>
    <t>Column17</t>
  </si>
  <si>
    <t>Column18</t>
  </si>
  <si>
    <t>Column19</t>
  </si>
  <si>
    <t>Column20</t>
  </si>
  <si>
    <t>PSA Task Name</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</si>
  <si>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</si>
  <si>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</si>
  <si>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</si>
  <si>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</si>
  <si>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</si>
  <si>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</si>
  <si>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</si>
  <si>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</si>
  <si>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</si>
  <si>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</si>
  <si>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</si>
  <si>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</si>
  <si>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</si>
  <si>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</si>
  <si>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</si>
  <si>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</si>
  <si>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</si>
  <si>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</si>
  <si>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</si>
  <si>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</si>
  <si>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</si>
  <si>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</si>
  <si>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</si>
  <si>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</si>
  <si>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</si>
  <si>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</si>
  <si>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directions</t>
  </si>
  <si>
    <t>Specs</t>
  </si>
  <si>
    <t>EDI ID</t>
  </si>
  <si>
    <t>Van/AS2/FTP</t>
  </si>
  <si>
    <t>Column1</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</si>
  <si>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</si>
  <si>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</si>
  <si>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</si>
  <si>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</si>
  <si>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</si>
  <si>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</si>
  <si>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</si>
  <si>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</si>
  <si>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</si>
  <si>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</si>
  <si>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</si>
  <si>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Pure Country West : New Trading Partner Setup</t>
  </si>
  <si>
    <t>rebeccab@purecountry.com</t>
  </si>
  <si>
    <t>Testing : Raynor Gaming : New Trading Partner Setup</t>
  </si>
  <si>
    <t>dgrossman@raynorgroup.com</t>
  </si>
  <si>
    <t>Testing : C2wireless SPS Vendor : New Trading Partner Setup</t>
  </si>
  <si>
    <t>Cstokes@c2wdistribution.com</t>
  </si>
  <si>
    <t>Testing : Herregan Distributors Inc. : New Trading Partner Setup</t>
  </si>
  <si>
    <t>Testing : Wormser Corporation-Jaguar Freight XML : New Trading Partner Setup</t>
  </si>
  <si>
    <t>Testing : Tower Automotive - Bellevue : New Trading Partner Setup</t>
  </si>
  <si>
    <t>Testing : Rhenus Contract Logistics - VSC : New Trading Partner Setup</t>
  </si>
  <si>
    <t>Testing : Guitar Center - XML Trading Partner : New Trading Partner Setup</t>
  </si>
  <si>
    <t>Testing : Georges Music XML : New Trading Partner Setup</t>
  </si>
  <si>
    <t>Testing : Valley Bakers : New Trading Partner Setup</t>
  </si>
  <si>
    <t>Testing : Del Mar Fans : New Trading Partner Setup</t>
  </si>
  <si>
    <t>Testing : Stego Germany : New Trading Partner Setup</t>
  </si>
  <si>
    <t>dgartman@gartman.com</t>
  </si>
  <si>
    <t>annmarie@wormsergroup.com</t>
  </si>
  <si>
    <t>Armin@jaguarfreight.com</t>
  </si>
  <si>
    <t>kseibel@autokiniton.com</t>
  </si>
  <si>
    <t>gc@gc.com</t>
  </si>
  <si>
    <t>Mike.Smith@valleybakers.com</t>
  </si>
  <si>
    <t>AshleyD@delmarfans.com</t>
  </si>
  <si>
    <t>ddeschner@Stego.de</t>
  </si>
  <si>
    <t>Testing : Home Depot Pro : New Trading Partner Setup</t>
  </si>
  <si>
    <t>Testing : Malouf : New Trading Partner Setup</t>
  </si>
  <si>
    <t>Testing : Coborn's Central Support Pharmacy : New Trading Partner Setup</t>
  </si>
  <si>
    <t>Testing : Windsor Modules : New Trading Partner Setup</t>
  </si>
  <si>
    <t>Testing : Magna Closures : New Trading Partner Setup</t>
  </si>
  <si>
    <t>Testing : Magna Seating Vendor : New Trading Partner Setup</t>
  </si>
  <si>
    <t>Testing : Lear Montgomery AL : New Trading Partner Setup</t>
  </si>
  <si>
    <t>Testing : Robertson : New Trading Partner Setup</t>
  </si>
  <si>
    <t>Testing : Thoroughbred Diesel : New Trading Partner Setup</t>
  </si>
  <si>
    <t>Testing : CJ Pony Parts - File Partner : New Trading Partner Setup</t>
  </si>
  <si>
    <t>Testing : Quadratec Vendor : New Trading Partner Setup</t>
  </si>
  <si>
    <t>Testing : Cameron Ashley Building Products, Inc. : New Trading Partner Setup</t>
  </si>
  <si>
    <t>Testing : Full Compass : New Trading Partner Setup</t>
  </si>
  <si>
    <t>Testing : Uppa Baby : New Trading Partner Setup</t>
  </si>
  <si>
    <t>Testing : Peg Perego : New Trading Partner Setup</t>
  </si>
  <si>
    <t>Multiple Records</t>
  </si>
  <si>
    <t>Stephan.Henze@ajiwin.com</t>
  </si>
  <si>
    <t>Everardo.Rodriguez@magna.com</t>
  </si>
  <si>
    <t>cody@viduus.org</t>
  </si>
  <si>
    <t>andy@cjponyparts.com</t>
  </si>
  <si>
    <t>andrew.basenfelder@quadratec.com</t>
  </si>
  <si>
    <t>compliance@dicentral.com</t>
  </si>
  <si>
    <t>brian@uppababy.com</t>
  </si>
  <si>
    <t>mike.palmer@pegperego.com</t>
  </si>
  <si>
    <t>`10.29.21 Reach out to Armin for samples
10.20.21 Waiting for XML sampls and solve of FTP login
10.9.21 Reach out to trading partner: 1</t>
  </si>
  <si>
    <t>11.3.21 Reach out to customer side for the information for Bioplus
10.22.21 Reach out to the new contact(customer side)
10.16.21 Reach our to Brad for contact</t>
  </si>
  <si>
    <t>11.4.21 Still need directions for these two transactions
10.25.21 Reach out to trading partner again for update
10.14.21 Waiting for the updates
10.8.21 Reach out to trading partner:2
9.27.21 Reaching out to trading partner</t>
  </si>
  <si>
    <t>11.4.21 Waiting for new contact from Brandon
10.25.21 Reach out to Cosma for details again:3
10.17.21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</si>
  <si>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11.4.21 Waiting for the updates for connection methods 
10.25.21 Waiting for reply for TP
10.18.21 Reach out to trading partner: 2
10.9.21 Reach out to trading partner: 1</t>
  </si>
  <si>
    <t>11.4.21 Reach out to new contact:1
10.25.21 Reach out to Jodi for a new contact</t>
  </si>
  <si>
    <t>11.4.21 Reach out to trading partner: 3
10.25.21 Waiting for updates from Trading partner
10.16.21 Reach out to trading partner: 1</t>
  </si>
  <si>
    <t>11.4.21 Reach out to Hirono for the details from customer
10.25.21 Reach out to trading partner:2
10.16.21 Reach out to trading partner: 1</t>
  </si>
  <si>
    <t>11.4.21 Reach out to Lori for a new contact
10.26.21 Reach out to new contact:3
10.19.21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</si>
  <si>
    <t>11.4.21 Reach out to new contact
10.27.21 No Contacts</t>
  </si>
  <si>
    <t>11.4.21 Reach out to trading partner</t>
  </si>
  <si>
    <t>11.4.21 Reach out to Charlie for a new contact
10.27.21 No Contacts</t>
  </si>
  <si>
    <t>Testing : Cymbio : New Trading Partner Setup</t>
  </si>
  <si>
    <t>11.5.21 Reach out to Lori for a new contact
10.27.21 No Contacts</t>
  </si>
  <si>
    <t>11.5.21 Reach out to trading partner</t>
  </si>
  <si>
    <t>11.5.21 Reach out to  Lee for a new contact
10.27.21 No Contacts</t>
  </si>
  <si>
    <t>11.5.21 Reach out to Miguel for updates
10.29.21 Reach out to Bill again
10.22.21 Reach out to Bill agian
10.15.21 Reach out to Bill agian
10.8.21 Reach out to Bill again
9.28.21 Waiting for reply from Bill
9.22.21 Reach out to trading partenr:2
9.13.21 Reach out to trading partner</t>
  </si>
  <si>
    <t>11.5.21 Reach out to Aaron for help
10.28.21 Reach out to customer:1
10.20.21 waiting for contact from jodi
10.11.21 Reach out to trading partner: 1</t>
  </si>
  <si>
    <t>11.8.21 Assign a mapping case: 13987661
10.28.21 Reach out to Stego for the EDIfact samples
10.21.21 Waiting for trading partner's reply
10.11.21 Reach out to trading partner: 1</t>
  </si>
  <si>
    <t>11.8.21 Assign a mapping case:  13987765
10.29.21 Waiting for the reply
10.20.21 Reach out to trading partner: 2
10.11.21 Reach out to trading partner: 1</t>
  </si>
  <si>
    <t>11.8.21 Reach out to Aaron for help
10.29.21 Reach out to new contact
10.21.21 Wait for new contact from Jodi
10.11.21 Reach out to trading partner: 1</t>
  </si>
  <si>
    <t>11.8.21 Waiting for contacts from Brad
10.30.21 Wait for updates from Brad
10.21.21 Reach out to Brad for a contact and updates
10.11.21 Reach out to trading partner: 1</t>
  </si>
  <si>
    <t>11.3.21 Reach out to new contact:2
10.22.21 Reach out to the new contact
10.15.21 Ask Brad for a new contact
10.8.21 Reach out to TP:3
9.26.21 Reach out to TP:2
9.17.21 Reach out to trading partner</t>
  </si>
  <si>
    <t>Partner Name</t>
  </si>
  <si>
    <t>Contact1</t>
  </si>
  <si>
    <t>Contact2</t>
  </si>
  <si>
    <t>Task ID</t>
  </si>
  <si>
    <t>ID</t>
  </si>
  <si>
    <t>11.9.21 Reach out to new contact:3
11.3.21 Reach out to new contact:2
10.22.21 Reach out to the new contact
10.15.21 Ask Brad for a new contact
10.8.21 Reach out to TP:3
9.26.21 Reach out to TP:2
9.17.21 Reach out to trading partner</t>
  </si>
  <si>
    <t>11.9.21 Reach out to Brad for a contact
11.3.21 Reach out to customer side for the information for Bioplus
10.22.21 Reach out to the new contact(customer side)
10.16.21 Reach our to Brad for contact</t>
  </si>
  <si>
    <t>11.9.21 Assign a mapping case: 13994045
11.4.21 Still need directions for these two transactions
10.25.21 Reach out to trading partner again for update
10.14.21 Waiting for the updates
10.8.21 Reach out to trading partner:2
9.27.21 Reaching out to trading partner</t>
  </si>
  <si>
    <t>11.10.21  Reach out to  new contact:2
11.4.21  Reach out to new contact
10.27.21  No Contacts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</si>
</sst>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9"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
      <patternFill patternType="solid">
        <fgColor rgb="FFEFF1F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1">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7" fillId="4" borderId="0" xfId="4" applyFont="1"/>
    <xf numFmtId="0" fontId="8"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165" fontId="0" fillId="0" borderId="0" xfId="0" applyNumberFormat="1" applyAlignment="1">
      <alignment vertical="top"/>
    </xf>
    <xf numFmtId="165" fontId="0" fillId="0" borderId="0" xfId="0" applyNumberFormat="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0" borderId="2" xfId="0" applyFont="1" applyBorder="1" applyAlignment="1">
      <alignment vertical="top"/>
    </xf>
    <xf numFmtId="0" fontId="4" fillId="0" borderId="0" xfId="3" applyAlignment="1">
      <alignment vertical="top"/>
    </xf>
    <xf numFmtId="0" fontId="2" fillId="0" borderId="0" xfId="0" applyFont="1"/>
    <xf numFmtId="0" fontId="2" fillId="0" borderId="2" xfId="0" applyFont="1" applyBorder="1"/>
    <xf numFmtId="0" fontId="2" fillId="9" borderId="0" xfId="0" applyFont="1" applyFill="1" applyBorder="1" applyAlignment="1">
      <alignment horizontal="left" vertical="center" wrapText="1" indent="1"/>
    </xf>
    <xf numFmtId="0" fontId="2" fillId="6" borderId="0" xfId="0" applyFont="1" applyFill="1" applyBorder="1" applyAlignment="1">
      <alignment horizontal="left" vertical="center" wrapText="1" indent="1"/>
    </xf>
    <xf numFmtId="0" fontId="2" fillId="0" borderId="0" xfId="0" applyFont="1" applyBorder="1"/>
    <xf numFmtId="0" fontId="2" fillId="6" borderId="0" xfId="0" applyFont="1" applyFill="1" applyBorder="1" applyAlignment="1">
      <alignment horizontal="left" vertical="top"/>
    </xf>
    <xf numFmtId="0" fontId="0" fillId="0" borderId="0" xfId="0" applyAlignment="1">
      <alignment horizontal="center" wrapText="1"/>
    </xf>
    <xf numFmtId="0" fontId="0" fillId="0" borderId="0" xfId="0" applyAlignment="1">
      <alignment horizontal="center"/>
    </xf>
    <xf numFmtId="0" fontId="0" fillId="0" borderId="0" xfId="0" applyAlignment="1">
      <alignment wrapText="1"/>
    </xf>
    <xf numFmtId="14" fontId="0" fillId="0" borderId="0" xfId="0" applyNumberFormat="1" applyAlignment="1">
      <alignment vertical="top" wrapText="1"/>
    </xf>
    <xf numFmtId="14" fontId="0" fillId="0" borderId="0" xfId="0" applyNumberFormat="1"/>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75">
    <dxf>
      <alignment horizontal="general"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numFmt numFmtId="19" formatCode="m/d/yyyy"/>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89" totalsRowShown="0" headerRowDxfId="74" headerRowCellStyle="Check Cell" dataCellStyle="Normal">
  <autoFilter ref="A1:AB189"/>
  <sortState ref="A2:AB189">
    <sortCondition ref="A1:A189"/>
  </sortState>
  <tableColumns count="28">
    <tableColumn id="1" name="PSA Task Name" dataCellStyle="Normal"/>
    <tableColumn id="30" name="ID" dataCellStyle="Normal"/>
    <tableColumn id="2" name="Partner Name" dataCellStyle="Normal">
      <calculatedColumnFormula xml:space="preserve"> MID(A2,SEARCH(":",A2)+2,SEARCH(":",A2,SEARCH(":",A2)+1)-SEARCH(":",A2)-3)</calculatedColumnFormula>
    </tableColumn>
    <tableColumn id="3" name="Customer  Name" dataCellStyle="Normal">
      <calculatedColumnFormula>"partner:"&amp;MID(A2,SEARCH(":",A2)+1,SEARCH(":",A2,SEARCH(":",A2)+1)-SEARCH(":",A2)-1)</calculatedColumnFormula>
    </tableColumn>
    <tableColumn id="29" name="Notes" dataDxfId="0" dataCellStyle="Normal"/>
    <tableColumn id="4" name="Latest Note" dataCellStyle="Normal"/>
    <tableColumn id="6" name="Date" dataDxfId="5" dataCellStyle="Normal">
      <calculatedColumnFormula>DATEVALUE(SUBSTITUTE(LEFT(F2,SEARCH(" ",F2)-1),".","/"))</calculatedColumnFormula>
    </tableColumn>
    <tableColumn id="7" name="Contact1" dataCellStyle="Normal"/>
    <tableColumn id="8" name="Contact2" dataCellStyle="Normal"/>
    <tableColumn id="9" name="Task ID" dataCellStyle="Normal"/>
    <tableColumn id="10" name="directions" dataCellStyle="Normal"/>
    <tableColumn id="11" name="Specs" dataCellStyle="Normal"/>
    <tableColumn id="12" name="EDI ID" dataCellStyle="Normal"/>
    <tableColumn id="13" name="Van/AS2/FTP" dataCellStyle="Normal"/>
    <tableColumn id="14" name="Column10" dataCellStyle="Normal"/>
    <tableColumn id="15" name="Column11" dataCellStyle="Normal"/>
    <tableColumn id="16" name="Column12" dataCellStyle="Normal"/>
    <tableColumn id="17" name="Column13" dataCellStyle="Normal"/>
    <tableColumn id="18" name="Column14" dataCellStyle="Normal"/>
    <tableColumn id="19" name="Column15" dataCellStyle="Normal"/>
    <tableColumn id="20" name="Column16" dataCellStyle="Normal"/>
    <tableColumn id="21" name="Column17" dataCellStyle="Normal"/>
    <tableColumn id="22" name="Column18" dataCellStyle="Normal"/>
    <tableColumn id="23" name="Column19" dataCellStyle="Normal"/>
    <tableColumn id="24" name="Column20" dataCellStyle="Normal"/>
    <tableColumn id="25" name="Column21" dataCellStyle="Normal"/>
    <tableColumn id="26" name="Column22" dataCellStyle="Normal"/>
    <tableColumn id="27" name="Column23" dataCellStyle="Normal"/>
  </tableColumns>
  <tableStyleInfo name="TableStyleLight8" showFirstColumn="0" showLastColumn="0" showRowStripes="1" showColumnStripes="0"/>
</table>
</file>

<file path=xl/tables/table2.xml><?xml version="1.0" encoding="utf-8"?>
<table xmlns="http://schemas.openxmlformats.org/spreadsheetml/2006/main" id="1" name="Table22" displayName="Table22" ref="A1:AB136" totalsRowShown="0" headerRowDxfId="73" dataDxfId="72" headerRowCellStyle="Check Cell" dataCellStyle="Normal">
  <autoFilter ref="A1:AB136"/>
  <sortState ref="A2:AB136">
    <sortCondition ref="G1:G136"/>
  </sortState>
  <tableColumns count="28">
    <tableColumn id="1" name="PSA Task Name" dataDxfId="71" dataCellStyle="Normal"/>
    <tableColumn id="2" name="Customer  Name" dataDxfId="70" dataCellStyle="Normal">
      <calculatedColumnFormula xml:space="preserve"> MID(A2,SEARCH(":",A2)+2,SEARCH(":",A2,SEARCH(":",A2)+1)-SEARCH(":",A2)-3)</calculatedColumnFormula>
    </tableColumn>
    <tableColumn id="3" name="Partner Name" dataDxfId="44" dataCellStyle="Normal">
      <calculatedColumnFormula>"partner:"&amp;MID(A2,SEARCH(":",A2)+1,SEARCH(":",A2,SEARCH(":",A2)+1)-SEARCH(":",A2)-1)</calculatedColumnFormula>
    </tableColumn>
    <tableColumn id="29" name="Notes" dataDxfId="69"/>
    <tableColumn id="4" name="Latest Note" dataDxfId="68" dataCellStyle="Normal"/>
    <tableColumn id="5" name="4/30/21" dataDxfId="67" dataCellStyle="Normal">
      <calculatedColumnFormula>DATEVALUE(SUBSTITUTE(LEFT(E2,SEARCH(" ",E2)-1),".","/"))</calculatedColumnFormula>
    </tableColumn>
    <tableColumn id="6" name="Date" dataDxfId="66" dataCellStyle="Normal"/>
    <tableColumn id="7" name="Contact" dataDxfId="65" dataCellStyle="Normal"/>
    <tableColumn id="8" name="Email" dataDxfId="64" dataCellStyle="Normal"/>
    <tableColumn id="9" name="Column1" dataDxfId="63" dataCellStyle="Normal"/>
    <tableColumn id="10" name="directions" dataDxfId="62" dataCellStyle="Normal"/>
    <tableColumn id="11" name="Specs" dataDxfId="61" dataCellStyle="Normal"/>
    <tableColumn id="12" name="EDI ID" dataDxfId="60" dataCellStyle="Normal"/>
    <tableColumn id="13" name="Van/AS2/FTP" dataDxfId="59" dataCellStyle="Normal"/>
    <tableColumn id="14" name="Column10" dataDxfId="58" dataCellStyle="Normal"/>
    <tableColumn id="15" name="Column11" dataDxfId="57" dataCellStyle="Normal"/>
    <tableColumn id="16" name="Column12" dataDxfId="56" dataCellStyle="Normal"/>
    <tableColumn id="17" name="Column13" dataDxfId="55" dataCellStyle="Normal"/>
    <tableColumn id="18" name="Column14" dataDxfId="54" dataCellStyle="Normal"/>
    <tableColumn id="19" name="Column15" dataDxfId="53" dataCellStyle="Normal"/>
    <tableColumn id="20" name="Column16" dataDxfId="52" dataCellStyle="Normal"/>
    <tableColumn id="21" name="Column17" dataDxfId="51" dataCellStyle="Normal"/>
    <tableColumn id="22" name="Column18" dataDxfId="50" dataCellStyle="Normal"/>
    <tableColumn id="23" name="Column19" dataDxfId="49" dataCellStyle="Normal"/>
    <tableColumn id="24" name="Column20" dataDxfId="48" dataCellStyle="Normal"/>
    <tableColumn id="25" name="Column21" dataDxfId="47" dataCellStyle="Normal"/>
    <tableColumn id="26" name="Column22" dataDxfId="46" dataCellStyle="Normal"/>
    <tableColumn id="27" name="Column23" dataDxfId="45" dataCellStyle="Normal"/>
  </tableColumns>
  <tableStyleInfo name="TableStyleLight8" showFirstColumn="0" showLastColumn="0" showRowStripes="1" showColumnStripes="0"/>
</table>
</file>

<file path=xl/tables/table3.xml><?xml version="1.0" encoding="utf-8"?>
<table xmlns="http://schemas.openxmlformats.org/spreadsheetml/2006/main" id="4" name="Table25" displayName="Table25" ref="A1:AB136" totalsRowShown="0" headerRowDxfId="43" dataDxfId="42" headerRowCellStyle="Check Cell" dataCellStyle="Normal">
  <autoFilter ref="A1:AB136"/>
  <sortState ref="A2:AB136">
    <sortCondition ref="G1:G136"/>
  </sortState>
  <tableColumns count="28">
    <tableColumn id="1" name="PSA Task Name" dataDxfId="41" dataCellStyle="Normal"/>
    <tableColumn id="2" name="Customer  Name" dataDxfId="40" dataCellStyle="Normal">
      <calculatedColumnFormula xml:space="preserve"> MID(A2,SEARCH(":",A2)+2,SEARCH(":",A2,SEARCH(":",A2)+1)-SEARCH(":",A2)-3)</calculatedColumnFormula>
    </tableColumn>
    <tableColumn id="3" name="Partner Name" dataDxfId="39" dataCellStyle="Normal">
      <calculatedColumnFormula>"partner:"&amp;MID(A2,SEARCH(":",A2)+1,SEARCH(":",A2,SEARCH(":",A2)+1)-SEARCH(":",A2)-1)</calculatedColumnFormula>
    </tableColumn>
    <tableColumn id="29" name="Notes" dataDxfId="38"/>
    <tableColumn id="4" name="Latest Note" dataDxfId="37" dataCellStyle="Normal"/>
    <tableColumn id="5" name="4/30/21" dataDxfId="36" dataCellStyle="Normal">
      <calculatedColumnFormula>DATEVALUE(SUBSTITUTE(LEFT(E2,SEARCH(" ",E2)-1),".","/"))</calculatedColumnFormula>
    </tableColumn>
    <tableColumn id="6" name="Date" dataDxfId="35" dataCellStyle="Normal"/>
    <tableColumn id="7" name="Contact" dataDxfId="34" dataCellStyle="Normal"/>
    <tableColumn id="8" name="Email" dataDxfId="33" dataCellStyle="Normal"/>
    <tableColumn id="9" name="Column1" dataDxfId="32" dataCellStyle="Normal"/>
    <tableColumn id="10" name="directions" dataDxfId="31" dataCellStyle="Normal"/>
    <tableColumn id="11" name="Specs" dataDxfId="30" dataCellStyle="Normal"/>
    <tableColumn id="12" name="EDI ID" dataDxfId="29" dataCellStyle="Normal"/>
    <tableColumn id="13" name="Van/AS2/FTP" dataDxfId="28" dataCellStyle="Normal"/>
    <tableColumn id="14" name="Column10" dataDxfId="27" dataCellStyle="Normal"/>
    <tableColumn id="15" name="Column11" dataDxfId="26" dataCellStyle="Normal"/>
    <tableColumn id="16" name="Column12" dataDxfId="25" dataCellStyle="Normal"/>
    <tableColumn id="17" name="Column13" dataDxfId="24" dataCellStyle="Normal"/>
    <tableColumn id="18" name="Column14" dataDxfId="23" dataCellStyle="Normal"/>
    <tableColumn id="19" name="Column15" dataDxfId="22" dataCellStyle="Normal"/>
    <tableColumn id="20" name="Column16" dataDxfId="21" dataCellStyle="Normal"/>
    <tableColumn id="21" name="Column17" dataDxfId="20" dataCellStyle="Normal"/>
    <tableColumn id="22" name="Column18" dataDxfId="19" dataCellStyle="Normal"/>
    <tableColumn id="23" name="Column19" dataDxfId="18" dataCellStyle="Normal"/>
    <tableColumn id="24" name="Column20" dataDxfId="17" dataCellStyle="Normal"/>
    <tableColumn id="25" name="Column21" dataDxfId="16" dataCellStyle="Normal"/>
    <tableColumn id="26" name="Column22" dataDxfId="15" dataCellStyle="Normal"/>
    <tableColumn id="27" name="Column23" dataDxfId="14" dataCellStyle="Normal"/>
  </tableColumns>
  <tableStyleInfo name="TableStyleLight8" showFirstColumn="0" showLastColumn="0" showRowStripes="1" showColumnStripes="0"/>
</table>
</file>

<file path=xl/tables/table4.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mailto:rebeccab@purecountry.com"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mailto:rebeccab@purecountry.com"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89"/>
  <sheetViews>
    <sheetView zoomScale="70" zoomScaleNormal="70" workbookViewId="0">
      <selection activeCell="B3" sqref="B3"/>
    </sheetView>
  </sheetViews>
  <sheetFormatPr defaultRowHeight="15" x14ac:dyDescent="0.25"/>
  <cols>
    <col min="1" max="1" width="62.85546875" style="15" customWidth="1"/>
    <col min="2" max="2" width="55.140625" style="15" customWidth="1"/>
    <col min="3" max="3" width="38.140625" customWidth="1"/>
    <col min="4" max="4" width="82.42578125" style="3" customWidth="1"/>
    <col min="5" max="5" width="84.7109375" style="38" customWidth="1"/>
    <col min="6" max="6" width="67.7109375" hidden="1" customWidth="1"/>
    <col min="7" max="7" width="14.85546875" style="40"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128</v>
      </c>
      <c r="C1" s="1" t="s">
        <v>124</v>
      </c>
      <c r="D1" s="1" t="s">
        <v>49</v>
      </c>
      <c r="E1" s="1" t="s">
        <v>45</v>
      </c>
      <c r="F1" s="1" t="s">
        <v>12</v>
      </c>
      <c r="G1" s="39" t="s">
        <v>14</v>
      </c>
      <c r="H1" s="1" t="s">
        <v>125</v>
      </c>
      <c r="I1" s="1" t="s">
        <v>126</v>
      </c>
      <c r="J1" s="10" t="s">
        <v>127</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60.75" thickTop="1" x14ac:dyDescent="0.25">
      <c r="A2" t="s">
        <v>50</v>
      </c>
      <c r="B2"/>
      <c r="C2" t="str">
        <f xml:space="preserve"> MID(A2,SEARCH(":",A2)+2,SEARCH(":",A2,SEARCH(":",A2)+1)-SEARCH(":",A2)-3)</f>
        <v>Bioplus Specialty Pharmacy</v>
      </c>
      <c r="D2" t="str">
        <f>"partner:"&amp;MID(A2,SEARCH(":",A2)+1,SEARCH(":",A2,SEARCH(":",A2)+1)-SEARCH(":",A2)-1)</f>
        <v xml:space="preserve">partner: Bioplus Specialty Pharmacy </v>
      </c>
      <c r="E2" s="38" t="s">
        <v>130</v>
      </c>
      <c r="F2" t="str">
        <f>IF(Table2[[#This Row],[Notes]]="","",LEFT(Table2[[#This Row],[Notes]],FIND(CHAR(10),Table2[[#This Row],[Notes]]&amp;CHAR(10))-1))</f>
        <v>11.9.21 Reach out to Brad for a contact</v>
      </c>
      <c r="G2" s="40">
        <f>DATEVALUE(SUBSTITUTE(LEFT(F2,SEARCH(" ",F2)-1),".","/"))</f>
        <v>44509</v>
      </c>
      <c r="I2"/>
      <c r="J2"/>
      <c r="K2"/>
    </row>
    <row r="3" spans="1:28" ht="90" x14ac:dyDescent="0.25">
      <c r="A3" t="s">
        <v>58</v>
      </c>
      <c r="B3"/>
      <c r="C3" t="str">
        <f xml:space="preserve"> MID(A3,SEARCH(":",A3)+2,SEARCH(":",A3,SEARCH(":",A3)+1)-SEARCH(":",A3)-3)</f>
        <v>C2wireless SPS Vendor</v>
      </c>
      <c r="D3" t="str">
        <f>"partner:"&amp;MID(A3,SEARCH(":",A3)+1,SEARCH(":",A3,SEARCH(":",A3)+1)-SEARCH(":",A3)-1)</f>
        <v xml:space="preserve">partner: C2wireless SPS Vendor </v>
      </c>
      <c r="E3" s="38" t="s">
        <v>131</v>
      </c>
      <c r="F3" t="str">
        <f>IF(Table2[[#This Row],[Notes]]="","",LEFT(Table2[[#This Row],[Notes]],FIND(CHAR(10),Table2[[#This Row],[Notes]]&amp;CHAR(10))-1))</f>
        <v>11.9.21 Assign a mapping case: 13994045</v>
      </c>
      <c r="G3" s="40">
        <f>DATEVALUE(SUBSTITUTE(LEFT(F3,SEARCH(" ",F3)-1),".","/"))</f>
        <v>44509</v>
      </c>
      <c r="H3" t="s">
        <v>59</v>
      </c>
      <c r="I3"/>
      <c r="J3"/>
      <c r="K3"/>
    </row>
    <row r="4" spans="1:28" ht="45" x14ac:dyDescent="0.25">
      <c r="A4" t="s">
        <v>88</v>
      </c>
      <c r="B4"/>
      <c r="C4" t="str">
        <f xml:space="preserve"> MID(A4,SEARCH(":",A4)+2,SEARCH(":",A4,SEARCH(":",A4)+1)-SEARCH(":",A4)-3)</f>
        <v>Cameron Ashley Building Products, Inc.</v>
      </c>
      <c r="D4" t="str">
        <f>"partner:"&amp;MID(A4,SEARCH(":",A4)+1,SEARCH(":",A4,SEARCH(":",A4)+1)-SEARCH(":",A4)-1)</f>
        <v xml:space="preserve">partner: Cameron Ashley Building Products, Inc. </v>
      </c>
      <c r="E4" s="38" t="s">
        <v>132</v>
      </c>
      <c r="F4" t="str">
        <f>IF(Table2[[#This Row],[Notes]]="","",LEFT(Table2[[#This Row],[Notes]],FIND(CHAR(10),Table2[[#This Row],[Notes]]&amp;CHAR(10))-1))</f>
        <v>11.10.21  Reach out to  new contact:2</v>
      </c>
      <c r="G4" s="40">
        <f>DATEVALUE(SUBSTITUTE(LEFT(F4,SEARCH(" ",F4)-1),".","/"))</f>
        <v>44510</v>
      </c>
      <c r="H4" t="s">
        <v>53</v>
      </c>
      <c r="I4"/>
      <c r="J4"/>
      <c r="K4"/>
    </row>
    <row r="5" spans="1:28" s="1" customFormat="1" x14ac:dyDescent="0.25">
      <c r="A5" t="s">
        <v>86</v>
      </c>
      <c r="B5"/>
      <c r="C5" t="str">
        <f xml:space="preserve"> MID(A5,SEARCH(":",A5)+2,SEARCH(":",A5,SEARCH(":",A5)+1)-SEARCH(":",A5)-3)</f>
        <v>CJ Pony Parts - File Partner</v>
      </c>
      <c r="D5" t="str">
        <f>"partner:"&amp;MID(A5,SEARCH(":",A5)+1,SEARCH(":",A5,SEARCH(":",A5)+1)-SEARCH(":",A5)-1)</f>
        <v xml:space="preserve">partner: CJ Pony Parts - File Partner </v>
      </c>
      <c r="E5" s="38" t="s">
        <v>111</v>
      </c>
      <c r="F5" t="str">
        <f>IF(Table2[[#This Row],[Notes]]="","",LEFT(Table2[[#This Row],[Notes]],FIND(CHAR(10),Table2[[#This Row],[Notes]]&amp;CHAR(10))-1))</f>
        <v>11.4.21 Reach out to trading partner</v>
      </c>
      <c r="G5" s="40">
        <f>DATEVALUE(SUBSTITUTE(LEFT(F5,SEARCH(" ",F5)-1),".","/"))</f>
        <v>44504</v>
      </c>
      <c r="H5" t="s">
        <v>96</v>
      </c>
      <c r="I5"/>
      <c r="J5"/>
      <c r="K5"/>
      <c r="L5"/>
      <c r="M5"/>
      <c r="N5"/>
      <c r="O5"/>
      <c r="P5"/>
      <c r="Q5"/>
      <c r="R5"/>
      <c r="S5"/>
      <c r="T5"/>
      <c r="U5"/>
      <c r="V5"/>
      <c r="W5"/>
      <c r="X5"/>
      <c r="Y5"/>
      <c r="Z5"/>
      <c r="AA5"/>
      <c r="AB5"/>
    </row>
    <row r="6" spans="1:28" ht="30" x14ac:dyDescent="0.25">
      <c r="A6" t="s">
        <v>79</v>
      </c>
      <c r="B6"/>
      <c r="C6" t="str">
        <f xml:space="preserve"> MID(A6,SEARCH(":",A6)+2,SEARCH(":",A6,SEARCH(":",A6)+1)-SEARCH(":",A6)-3)</f>
        <v>Coborn's Central Support Pharmacy</v>
      </c>
      <c r="D6" t="str">
        <f>"partner:"&amp;MID(A6,SEARCH(":",A6)+1,SEARCH(":",A6,SEARCH(":",A6)+1)-SEARCH(":",A6)-1)</f>
        <v xml:space="preserve">partner: Coborn's Central Support Pharmacy </v>
      </c>
      <c r="E6" s="38" t="s">
        <v>112</v>
      </c>
      <c r="F6" t="str">
        <f>IF(Table2[[#This Row],[Notes]]="","",LEFT(Table2[[#This Row],[Notes]],FIND(CHAR(10),Table2[[#This Row],[Notes]]&amp;CHAR(10))-1))</f>
        <v>11.4.21 Reach out to Charlie for a new contact</v>
      </c>
      <c r="G6" s="40">
        <f>DATEVALUE(SUBSTITUTE(LEFT(F6,SEARCH(" ",F6)-1),".","/"))</f>
        <v>44504</v>
      </c>
      <c r="H6" t="s">
        <v>53</v>
      </c>
      <c r="I6"/>
      <c r="J6"/>
      <c r="K6"/>
    </row>
    <row r="7" spans="1:28" s="13" customFormat="1" ht="150" x14ac:dyDescent="0.25">
      <c r="A7" t="s">
        <v>51</v>
      </c>
      <c r="B7"/>
      <c r="C7" t="str">
        <f xml:space="preserve"> MID(A7,SEARCH(":",A7)+2,SEARCH(":",A7,SEARCH(":",A7)+1)-SEARCH(":",A7)-3)</f>
        <v>Cosma - Bowling Green Metalforming</v>
      </c>
      <c r="D7" t="str">
        <f>"partner:"&amp;MID(A7,SEARCH(":",A7)+1,SEARCH(":",A7,SEARCH(":",A7)+1)-SEARCH(":",A7)-1)</f>
        <v xml:space="preserve">partner: Cosma - Bowling Green Metalforming </v>
      </c>
      <c r="E7" s="38" t="s">
        <v>104</v>
      </c>
      <c r="F7" t="str">
        <f>IF(Table2[[#This Row],[Notes]]="","",LEFT(Table2[[#This Row],[Notes]],FIND(CHAR(10),Table2[[#This Row],[Notes]]&amp;CHAR(10))-1))</f>
        <v>11.4.21 Waiting for new contact from Brandon</v>
      </c>
      <c r="G7" s="40">
        <f>DATEVALUE(SUBSTITUTE(LEFT(F7,SEARCH(" ",F7)-1),".","/"))</f>
        <v>44504</v>
      </c>
      <c r="H7" t="s">
        <v>52</v>
      </c>
      <c r="I7"/>
      <c r="J7"/>
      <c r="K7"/>
      <c r="L7"/>
      <c r="M7"/>
      <c r="N7"/>
      <c r="O7"/>
      <c r="P7"/>
      <c r="Q7"/>
      <c r="R7"/>
      <c r="S7"/>
      <c r="T7"/>
      <c r="U7"/>
      <c r="V7"/>
      <c r="W7"/>
      <c r="X7"/>
      <c r="Y7"/>
      <c r="Z7"/>
      <c r="AA7"/>
      <c r="AB7"/>
    </row>
    <row r="8" spans="1:28" s="5" customFormat="1" x14ac:dyDescent="0.25">
      <c r="A8" t="s">
        <v>113</v>
      </c>
      <c r="B8"/>
      <c r="C8" t="str">
        <f xml:space="preserve"> MID(A8,SEARCH(":",A8)+2,SEARCH(":",A8,SEARCH(":",A8)+1)-SEARCH(":",A8)-3)</f>
        <v>Cymbio</v>
      </c>
      <c r="D8" t="str">
        <f>"partner:"&amp;MID(A8,SEARCH(":",A8)+1,SEARCH(":",A8,SEARCH(":",A8)+1)-SEARCH(":",A8)-1)</f>
        <v xml:space="preserve">partner: Cymbio </v>
      </c>
      <c r="E8" s="38" t="s">
        <v>111</v>
      </c>
      <c r="F8" t="str">
        <f>IF(Table2[[#This Row],[Notes]]="","",LEFT(Table2[[#This Row],[Notes]],FIND(CHAR(10),Table2[[#This Row],[Notes]]&amp;CHAR(10))-1))</f>
        <v>11.4.21 Reach out to trading partner</v>
      </c>
      <c r="G8" s="40">
        <f>DATEVALUE(SUBSTITUTE(LEFT(F8,SEARCH(" ",F8)-1),".","/"))</f>
        <v>44504</v>
      </c>
      <c r="H8"/>
      <c r="I8"/>
      <c r="J8"/>
      <c r="K8"/>
      <c r="L8"/>
      <c r="M8"/>
      <c r="N8"/>
      <c r="O8"/>
      <c r="P8"/>
      <c r="Q8"/>
      <c r="R8"/>
      <c r="S8"/>
      <c r="T8"/>
      <c r="U8"/>
      <c r="V8"/>
      <c r="W8"/>
      <c r="X8"/>
      <c r="Y8"/>
      <c r="Z8"/>
      <c r="AA8"/>
      <c r="AB8"/>
    </row>
    <row r="9" spans="1:28" ht="60" x14ac:dyDescent="0.25">
      <c r="A9" t="s">
        <v>67</v>
      </c>
      <c r="B9"/>
      <c r="C9" t="str">
        <f xml:space="preserve"> MID(A9,SEARCH(":",A9)+2,SEARCH(":",A9,SEARCH(":",A9)+1)-SEARCH(":",A9)-3)</f>
        <v>Del Mar Fans</v>
      </c>
      <c r="D9" t="str">
        <f>"partner:"&amp;MID(A9,SEARCH(":",A9)+1,SEARCH(":",A9,SEARCH(":",A9)+1)-SEARCH(":",A9)-1)</f>
        <v xml:space="preserve">partner: Del Mar Fans </v>
      </c>
      <c r="E9" s="38" t="s">
        <v>120</v>
      </c>
      <c r="F9" t="str">
        <f>IF(Table2[[#This Row],[Notes]]="","",LEFT(Table2[[#This Row],[Notes]],FIND(CHAR(10),Table2[[#This Row],[Notes]]&amp;CHAR(10))-1))</f>
        <v>11.8.21 Assign a mapping case:  13987765</v>
      </c>
      <c r="G9" s="40">
        <f>DATEVALUE(SUBSTITUTE(LEFT(F9,SEARCH(" ",F9)-1),".","/"))</f>
        <v>44508</v>
      </c>
      <c r="H9" t="s">
        <v>75</v>
      </c>
      <c r="I9"/>
      <c r="J9"/>
      <c r="K9"/>
    </row>
    <row r="10" spans="1:28" s="18" customFormat="1" x14ac:dyDescent="0.25">
      <c r="A10" t="s">
        <v>89</v>
      </c>
      <c r="B10"/>
      <c r="C10" t="str">
        <f xml:space="preserve"> MID(A10,SEARCH(":",A10)+2,SEARCH(":",A10,SEARCH(":",A10)+1)-SEARCH(":",A10)-3)</f>
        <v>Full Compass</v>
      </c>
      <c r="D10" t="str">
        <f>"partner:"&amp;MID(A10,SEARCH(":",A10)+1,SEARCH(":",A10,SEARCH(":",A10)+1)-SEARCH(":",A10)-1)</f>
        <v xml:space="preserve">partner: Full Compass </v>
      </c>
      <c r="E10" s="38" t="s">
        <v>111</v>
      </c>
      <c r="F10" t="str">
        <f>IF(Table2[[#This Row],[Notes]]="","",LEFT(Table2[[#This Row],[Notes]],FIND(CHAR(10),Table2[[#This Row],[Notes]]&amp;CHAR(10))-1))</f>
        <v>11.4.21 Reach out to trading partner</v>
      </c>
      <c r="G10" s="40">
        <f>DATEVALUE(SUBSTITUTE(LEFT(F10,SEARCH(" ",F10)-1),".","/"))</f>
        <v>44504</v>
      </c>
      <c r="H10" t="s">
        <v>98</v>
      </c>
      <c r="I10"/>
      <c r="J10"/>
      <c r="K10"/>
      <c r="L10"/>
      <c r="M10"/>
      <c r="N10"/>
      <c r="O10"/>
      <c r="P10"/>
      <c r="Q10"/>
      <c r="R10"/>
      <c r="S10"/>
      <c r="T10"/>
      <c r="U10"/>
      <c r="V10"/>
      <c r="W10"/>
      <c r="X10"/>
      <c r="Y10"/>
      <c r="Z10"/>
      <c r="AA10"/>
      <c r="AB10"/>
    </row>
    <row r="11" spans="1:28" ht="60" x14ac:dyDescent="0.25">
      <c r="A11" t="s">
        <v>65</v>
      </c>
      <c r="B11"/>
      <c r="C11" t="str">
        <f xml:space="preserve"> MID(A11,SEARCH(":",A11)+2,SEARCH(":",A11,SEARCH(":",A11)+1)-SEARCH(":",A11)-3)</f>
        <v>Georges Music XML</v>
      </c>
      <c r="D11" t="str">
        <f>"partner:"&amp;MID(A11,SEARCH(":",A11)+1,SEARCH(":",A11,SEARCH(":",A11)+1)-SEARCH(":",A11)-1)</f>
        <v xml:space="preserve">partner: Georges Music XML </v>
      </c>
      <c r="E11" s="38" t="s">
        <v>118</v>
      </c>
      <c r="F11" t="str">
        <f>IF(Table2[[#This Row],[Notes]]="","",LEFT(Table2[[#This Row],[Notes]],FIND(CHAR(10),Table2[[#This Row],[Notes]]&amp;CHAR(10))-1))</f>
        <v>11.5.21 Reach out to Aaron for help</v>
      </c>
      <c r="G11" s="40">
        <f>DATEVALUE(SUBSTITUTE(LEFT(F11,SEARCH(" ",F11)-1),".","/"))</f>
        <v>44505</v>
      </c>
      <c r="H11" t="s">
        <v>53</v>
      </c>
      <c r="I11"/>
      <c r="J11"/>
      <c r="K11"/>
    </row>
    <row r="12" spans="1:28" s="1" customFormat="1" ht="60" x14ac:dyDescent="0.25">
      <c r="A12" t="s">
        <v>64</v>
      </c>
      <c r="B12"/>
      <c r="C12" t="str">
        <f xml:space="preserve"> MID(A12,SEARCH(":",A12)+2,SEARCH(":",A12,SEARCH(":",A12)+1)-SEARCH(":",A12)-3)</f>
        <v>Guitar Center - XML Trading Partner</v>
      </c>
      <c r="D12" t="str">
        <f>"partner:"&amp;MID(A12,SEARCH(":",A12)+1,SEARCH(":",A12,SEARCH(":",A12)+1)-SEARCH(":",A12)-1)</f>
        <v xml:space="preserve">partner: Guitar Center - XML Trading Partner </v>
      </c>
      <c r="E12" s="38" t="s">
        <v>121</v>
      </c>
      <c r="F12" t="str">
        <f>IF(Table2[[#This Row],[Notes]]="","",LEFT(Table2[[#This Row],[Notes]],FIND(CHAR(10),Table2[[#This Row],[Notes]]&amp;CHAR(10))-1))</f>
        <v>11.8.21 Reach out to Aaron for help</v>
      </c>
      <c r="G12" s="40">
        <f>DATEVALUE(SUBSTITUTE(LEFT(F12,SEARCH(" ",F12)-1),".","/"))</f>
        <v>44508</v>
      </c>
      <c r="H12" t="s">
        <v>73</v>
      </c>
      <c r="I12"/>
      <c r="J12"/>
      <c r="K12"/>
      <c r="L12"/>
      <c r="M12"/>
      <c r="N12"/>
      <c r="O12"/>
      <c r="P12"/>
      <c r="Q12"/>
      <c r="R12"/>
      <c r="S12"/>
      <c r="T12"/>
      <c r="U12"/>
      <c r="V12"/>
      <c r="W12"/>
      <c r="X12"/>
      <c r="Y12"/>
      <c r="Z12"/>
      <c r="AA12"/>
      <c r="AB12"/>
    </row>
    <row r="13" spans="1:28" ht="60" x14ac:dyDescent="0.25">
      <c r="A13" t="s">
        <v>60</v>
      </c>
      <c r="B13"/>
      <c r="C13" t="str">
        <f xml:space="preserve"> MID(A13,SEARCH(":",A13)+2,SEARCH(":",A13,SEARCH(":",A13)+1)-SEARCH(":",A13)-3)</f>
        <v>Herregan Distributors Inc.</v>
      </c>
      <c r="D13" t="str">
        <f>"partner:"&amp;MID(A13,SEARCH(":",A13)+1,SEARCH(":",A13,SEARCH(":",A13)+1)-SEARCH(":",A13)-1)</f>
        <v xml:space="preserve">partner: Herregan Distributors Inc. </v>
      </c>
      <c r="E13" s="38" t="s">
        <v>105</v>
      </c>
      <c r="F13" t="str">
        <f>IF(Table2[[#This Row],[Notes]]="","",LEFT(Table2[[#This Row],[Notes]],FIND(CHAR(10),Table2[[#This Row],[Notes]]&amp;CHAR(10))-1))</f>
        <v xml:space="preserve">11.4.21 Waiting for the updates for connection methods </v>
      </c>
      <c r="G13" s="40">
        <f>DATEVALUE(SUBSTITUTE(LEFT(F13,SEARCH(" ",F13)-1),".","/"))</f>
        <v>44504</v>
      </c>
      <c r="H13" t="s">
        <v>69</v>
      </c>
      <c r="I13"/>
      <c r="J13"/>
      <c r="K13"/>
    </row>
    <row r="14" spans="1:28" ht="30" x14ac:dyDescent="0.25">
      <c r="A14" t="s">
        <v>77</v>
      </c>
      <c r="B14"/>
      <c r="C14" t="str">
        <f xml:space="preserve"> MID(A14,SEARCH(":",A14)+2,SEARCH(":",A14,SEARCH(":",A14)+1)-SEARCH(":",A14)-3)</f>
        <v>Home Depot Pro</v>
      </c>
      <c r="D14" t="str">
        <f>"partner:"&amp;MID(A14,SEARCH(":",A14)+1,SEARCH(":",A14,SEARCH(":",A14)+1)-SEARCH(":",A14)-1)</f>
        <v xml:space="preserve">partner: Home Depot Pro </v>
      </c>
      <c r="E14" s="38" t="s">
        <v>106</v>
      </c>
      <c r="F14" t="str">
        <f>IF(Table2[[#This Row],[Notes]]="","",LEFT(Table2[[#This Row],[Notes]],FIND(CHAR(10),Table2[[#This Row],[Notes]]&amp;CHAR(10))-1))</f>
        <v>11.4.21 Reach out to new contact:1</v>
      </c>
      <c r="G14" s="40">
        <f>DATEVALUE(SUBSTITUTE(LEFT(F14,SEARCH(" ",F14)-1),".","/"))</f>
        <v>44504</v>
      </c>
      <c r="I14"/>
      <c r="J14"/>
      <c r="K14"/>
    </row>
    <row r="15" spans="1:28" ht="30" x14ac:dyDescent="0.25">
      <c r="A15" t="s">
        <v>83</v>
      </c>
      <c r="B15"/>
      <c r="C15" t="str">
        <f xml:space="preserve"> MID(A15,SEARCH(":",A15)+2,SEARCH(":",A15,SEARCH(":",A15)+1)-SEARCH(":",A15)-3)</f>
        <v>Lear Montgomery AL</v>
      </c>
      <c r="D15" t="str">
        <f>"partner:"&amp;MID(A15,SEARCH(":",A15)+1,SEARCH(":",A15,SEARCH(":",A15)+1)-SEARCH(":",A15)-1)</f>
        <v xml:space="preserve">partner: Lear Montgomery AL </v>
      </c>
      <c r="E15" s="38" t="s">
        <v>114</v>
      </c>
      <c r="F15" t="str">
        <f>IF(Table2[[#This Row],[Notes]]="","",LEFT(Table2[[#This Row],[Notes]],FIND(CHAR(10),Table2[[#This Row],[Notes]]&amp;CHAR(10))-1))</f>
        <v>11.5.21 Reach out to Lori for a new contact</v>
      </c>
      <c r="G15" s="40">
        <f>DATEVALUE(SUBSTITUTE(LEFT(F15,SEARCH(" ",F15)-1),".","/"))</f>
        <v>44505</v>
      </c>
      <c r="H15" t="s">
        <v>53</v>
      </c>
      <c r="I15"/>
      <c r="J15"/>
      <c r="K15"/>
    </row>
    <row r="16" spans="1:28" s="19" customFormat="1" x14ac:dyDescent="0.25">
      <c r="A16" t="s">
        <v>81</v>
      </c>
      <c r="B16"/>
      <c r="C16" t="str">
        <f xml:space="preserve"> MID(A16,SEARCH(":",A16)+2,SEARCH(":",A16,SEARCH(":",A16)+1)-SEARCH(":",A16)-3)</f>
        <v>Magna Closures</v>
      </c>
      <c r="D16" t="str">
        <f>"partner:"&amp;MID(A16,SEARCH(":",A16)+1,SEARCH(":",A16,SEARCH(":",A16)+1)-SEARCH(":",A16)-1)</f>
        <v xml:space="preserve">partner: Magna Closures </v>
      </c>
      <c r="E16" s="38" t="s">
        <v>111</v>
      </c>
      <c r="F16" t="str">
        <f>IF(Table2[[#This Row],[Notes]]="","",LEFT(Table2[[#This Row],[Notes]],FIND(CHAR(10),Table2[[#This Row],[Notes]]&amp;CHAR(10))-1))</f>
        <v>11.4.21 Reach out to trading partner</v>
      </c>
      <c r="G16" s="40">
        <f>DATEVALUE(SUBSTITUTE(LEFT(F16,SEARCH(" ",F16)-1),".","/"))</f>
        <v>44504</v>
      </c>
      <c r="H16" t="s">
        <v>94</v>
      </c>
      <c r="I16"/>
      <c r="J16"/>
      <c r="K16"/>
      <c r="L16"/>
      <c r="M16"/>
      <c r="N16"/>
      <c r="O16"/>
      <c r="P16"/>
      <c r="Q16"/>
      <c r="R16"/>
      <c r="S16"/>
      <c r="T16"/>
      <c r="U16"/>
      <c r="V16"/>
      <c r="W16"/>
      <c r="X16"/>
      <c r="Y16"/>
      <c r="Z16"/>
      <c r="AA16"/>
      <c r="AB16"/>
    </row>
    <row r="17" spans="1:28" x14ac:dyDescent="0.25">
      <c r="A17" t="s">
        <v>82</v>
      </c>
      <c r="B17"/>
      <c r="C17" t="str">
        <f xml:space="preserve"> MID(A17,SEARCH(":",A17)+2,SEARCH(":",A17,SEARCH(":",A17)+1)-SEARCH(":",A17)-3)</f>
        <v>Magna Seating Vendor</v>
      </c>
      <c r="D17" t="str">
        <f>"partner:"&amp;MID(A17,SEARCH(":",A17)+1,SEARCH(":",A17,SEARCH(":",A17)+1)-SEARCH(":",A17)-1)</f>
        <v xml:space="preserve">partner: Magna Seating Vendor </v>
      </c>
      <c r="E17" s="38" t="s">
        <v>115</v>
      </c>
      <c r="F17" t="str">
        <f>IF(Table2[[#This Row],[Notes]]="","",LEFT(Table2[[#This Row],[Notes]],FIND(CHAR(10),Table2[[#This Row],[Notes]]&amp;CHAR(10))-1))</f>
        <v>11.5.21 Reach out to trading partner</v>
      </c>
      <c r="G17" s="40">
        <f>DATEVALUE(SUBSTITUTE(LEFT(F17,SEARCH(" ",F17)-1),".","/"))</f>
        <v>44505</v>
      </c>
      <c r="H17" t="s">
        <v>92</v>
      </c>
      <c r="I17"/>
      <c r="J17"/>
      <c r="K17"/>
    </row>
    <row r="18" spans="1:28" s="4" customFormat="1" ht="30" x14ac:dyDescent="0.25">
      <c r="A18" t="s">
        <v>78</v>
      </c>
      <c r="B18"/>
      <c r="C18" t="str">
        <f xml:space="preserve"> MID(A18,SEARCH(":",A18)+2,SEARCH(":",A18,SEARCH(":",A18)+1)-SEARCH(":",A18)-3)</f>
        <v>Malouf</v>
      </c>
      <c r="D18" t="str">
        <f>"partner:"&amp;MID(A18,SEARCH(":",A18)+1,SEARCH(":",A18,SEARCH(":",A18)+1)-SEARCH(":",A18)-1)</f>
        <v xml:space="preserve">partner: Malouf </v>
      </c>
      <c r="E18" s="38" t="s">
        <v>116</v>
      </c>
      <c r="F18" t="str">
        <f>IF(Table2[[#This Row],[Notes]]="","",LEFT(Table2[[#This Row],[Notes]],FIND(CHAR(10),Table2[[#This Row],[Notes]]&amp;CHAR(10))-1))</f>
        <v>11.5.21 Reach out to  Lee for a new contact</v>
      </c>
      <c r="G18" s="40">
        <f>DATEVALUE(SUBSTITUTE(LEFT(F18,SEARCH(" ",F18)-1),".","/"))</f>
        <v>44505</v>
      </c>
      <c r="H18" t="s">
        <v>53</v>
      </c>
      <c r="I18"/>
      <c r="J18"/>
      <c r="K18"/>
      <c r="L18"/>
      <c r="M18"/>
      <c r="N18"/>
      <c r="O18"/>
      <c r="P18"/>
      <c r="Q18"/>
      <c r="R18"/>
      <c r="S18"/>
      <c r="T18"/>
      <c r="U18"/>
      <c r="V18"/>
      <c r="W18"/>
      <c r="X18"/>
      <c r="Y18"/>
      <c r="Z18"/>
      <c r="AA18"/>
      <c r="AB18"/>
    </row>
    <row r="19" spans="1:28" s="4" customFormat="1" x14ac:dyDescent="0.25">
      <c r="A19" t="s">
        <v>91</v>
      </c>
      <c r="B19"/>
      <c r="C19" t="str">
        <f xml:space="preserve"> MID(A19,SEARCH(":",A19)+2,SEARCH(":",A19,SEARCH(":",A19)+1)-SEARCH(":",A19)-3)</f>
        <v>Peg Perego</v>
      </c>
      <c r="D19" t="str">
        <f>"partner:"&amp;MID(A19,SEARCH(":",A19)+1,SEARCH(":",A19,SEARCH(":",A19)+1)-SEARCH(":",A19)-1)</f>
        <v xml:space="preserve">partner: Peg Perego </v>
      </c>
      <c r="E19" s="38" t="s">
        <v>111</v>
      </c>
      <c r="F19" t="str">
        <f>IF(Table2[[#This Row],[Notes]]="","",LEFT(Table2[[#This Row],[Notes]],FIND(CHAR(10),Table2[[#This Row],[Notes]]&amp;CHAR(10))-1))</f>
        <v>11.4.21 Reach out to trading partner</v>
      </c>
      <c r="G19" s="40">
        <f>DATEVALUE(SUBSTITUTE(LEFT(F19,SEARCH(" ",F19)-1),".","/"))</f>
        <v>44504</v>
      </c>
      <c r="H19" t="s">
        <v>100</v>
      </c>
      <c r="I19"/>
      <c r="J19"/>
      <c r="K19"/>
      <c r="L19"/>
      <c r="M19"/>
      <c r="N19"/>
      <c r="O19"/>
      <c r="P19"/>
      <c r="Q19"/>
      <c r="R19"/>
      <c r="S19"/>
      <c r="T19"/>
      <c r="U19"/>
      <c r="V19"/>
      <c r="W19"/>
      <c r="X19"/>
      <c r="Y19"/>
      <c r="Z19"/>
      <c r="AA19"/>
      <c r="AB19"/>
    </row>
    <row r="20" spans="1:28" s="4" customFormat="1" ht="120" x14ac:dyDescent="0.25">
      <c r="A20" t="s">
        <v>54</v>
      </c>
      <c r="B20"/>
      <c r="C20" t="str">
        <f xml:space="preserve"> MID(A20,SEARCH(":",A20)+2,SEARCH(":",A20,SEARCH(":",A20)+1)-SEARCH(":",A20)-3)</f>
        <v>Pure Country West</v>
      </c>
      <c r="D20" t="str">
        <f>"partner:"&amp;MID(A20,SEARCH(":",A20)+1,SEARCH(":",A20,SEARCH(":",A20)+1)-SEARCH(":",A20)-1)</f>
        <v xml:space="preserve">partner: Pure Country West </v>
      </c>
      <c r="E20" s="38" t="s">
        <v>117</v>
      </c>
      <c r="F20" t="str">
        <f>IF(Table2[[#This Row],[Notes]]="","",LEFT(Table2[[#This Row],[Notes]],FIND(CHAR(10),Table2[[#This Row],[Notes]]&amp;CHAR(10))-1))</f>
        <v>11.5.21 Reach out to Miguel for updates</v>
      </c>
      <c r="G20" s="40">
        <f>DATEVALUE(SUBSTITUTE(LEFT(F20,SEARCH(" ",F20)-1),".","/"))</f>
        <v>44505</v>
      </c>
      <c r="H20" t="s">
        <v>55</v>
      </c>
      <c r="I20"/>
      <c r="J20"/>
      <c r="K20"/>
      <c r="L20"/>
      <c r="M20"/>
      <c r="N20"/>
      <c r="O20"/>
      <c r="P20"/>
      <c r="Q20"/>
      <c r="R20"/>
      <c r="S20"/>
      <c r="T20"/>
      <c r="U20"/>
      <c r="V20"/>
      <c r="W20"/>
      <c r="X20"/>
      <c r="Y20"/>
      <c r="Z20"/>
      <c r="AA20"/>
      <c r="AB20"/>
    </row>
    <row r="21" spans="1:28" s="24" customFormat="1" x14ac:dyDescent="0.25">
      <c r="A21" t="s">
        <v>87</v>
      </c>
      <c r="B21"/>
      <c r="C21" t="str">
        <f xml:space="preserve"> MID(A21,SEARCH(":",A21)+2,SEARCH(":",A21,SEARCH(":",A21)+1)-SEARCH(":",A21)-3)</f>
        <v>Quadratec Vendor</v>
      </c>
      <c r="D21" t="str">
        <f>"partner:"&amp;MID(A21,SEARCH(":",A21)+1,SEARCH(":",A21,SEARCH(":",A21)+1)-SEARCH(":",A21)-1)</f>
        <v xml:space="preserve">partner: Quadratec Vendor </v>
      </c>
      <c r="E21" s="38" t="s">
        <v>111</v>
      </c>
      <c r="F21" t="str">
        <f>IF(Table2[[#This Row],[Notes]]="","",LEFT(Table2[[#This Row],[Notes]],FIND(CHAR(10),Table2[[#This Row],[Notes]]&amp;CHAR(10))-1))</f>
        <v>11.4.21 Reach out to trading partner</v>
      </c>
      <c r="G21" s="40">
        <f>DATEVALUE(SUBSTITUTE(LEFT(F21,SEARCH(" ",F21)-1),".","/"))</f>
        <v>44504</v>
      </c>
      <c r="H21" t="s">
        <v>97</v>
      </c>
      <c r="I21"/>
      <c r="J21"/>
      <c r="K21"/>
      <c r="L21"/>
      <c r="M21"/>
      <c r="N21"/>
      <c r="O21"/>
      <c r="P21"/>
      <c r="Q21"/>
      <c r="R21"/>
      <c r="S21"/>
      <c r="T21"/>
      <c r="U21"/>
      <c r="V21"/>
      <c r="W21"/>
      <c r="X21"/>
      <c r="Y21"/>
      <c r="Z21"/>
      <c r="AA21"/>
      <c r="AB21"/>
    </row>
    <row r="22" spans="1:28" s="23" customFormat="1" ht="105" x14ac:dyDescent="0.25">
      <c r="A22" t="s">
        <v>56</v>
      </c>
      <c r="B22"/>
      <c r="C22" t="str">
        <f xml:space="preserve"> MID(A22,SEARCH(":",A22)+2,SEARCH(":",A22,SEARCH(":",A22)+1)-SEARCH(":",A22)-3)</f>
        <v>Raynor Gaming</v>
      </c>
      <c r="D22" t="str">
        <f>"partner:"&amp;MID(A22,SEARCH(":",A22)+1,SEARCH(":",A22,SEARCH(":",A22)+1)-SEARCH(":",A22)-1)</f>
        <v xml:space="preserve">partner: Raynor Gaming </v>
      </c>
      <c r="E22" s="38" t="s">
        <v>129</v>
      </c>
      <c r="F22" t="str">
        <f>IF(Table2[[#This Row],[Notes]]="","",LEFT(Table2[[#This Row],[Notes]],FIND(CHAR(10),Table2[[#This Row],[Notes]]&amp;CHAR(10))-1))</f>
        <v>11.9.21 Reach out to new contact:3</v>
      </c>
      <c r="G22" s="40">
        <f>DATEVALUE(SUBSTITUTE(LEFT(F22,SEARCH(" ",F22)-1),".","/"))</f>
        <v>44509</v>
      </c>
      <c r="H22" t="s">
        <v>57</v>
      </c>
      <c r="I22"/>
      <c r="J22"/>
      <c r="K22"/>
      <c r="L22"/>
      <c r="M22"/>
      <c r="N22"/>
      <c r="O22"/>
      <c r="P22"/>
      <c r="Q22"/>
      <c r="R22"/>
      <c r="S22"/>
      <c r="T22"/>
      <c r="U22"/>
      <c r="V22"/>
      <c r="W22"/>
      <c r="X22"/>
      <c r="Y22"/>
      <c r="Z22"/>
      <c r="AA22"/>
      <c r="AB22"/>
    </row>
    <row r="23" spans="1:28" ht="60" x14ac:dyDescent="0.25">
      <c r="A23" t="s">
        <v>63</v>
      </c>
      <c r="B23"/>
      <c r="C23" t="str">
        <f xml:space="preserve"> MID(A23,SEARCH(":",A23)+2,SEARCH(":",A23,SEARCH(":",A23)+1)-SEARCH(":",A23)-3)</f>
        <v>Rhenus Contract Logistics - VSC</v>
      </c>
      <c r="D23" t="str">
        <f>"partner:"&amp;MID(A23,SEARCH(":",A23)+1,SEARCH(":",A23,SEARCH(":",A23)+1)-SEARCH(":",A23)-1)</f>
        <v xml:space="preserve">partner: Rhenus Contract Logistics - VSC </v>
      </c>
      <c r="E23" s="38" t="s">
        <v>122</v>
      </c>
      <c r="F23" t="str">
        <f>IF(Table2[[#This Row],[Notes]]="","",LEFT(Table2[[#This Row],[Notes]],FIND(CHAR(10),Table2[[#This Row],[Notes]]&amp;CHAR(10))-1))</f>
        <v>11.8.21 Waiting for contacts from Brad</v>
      </c>
      <c r="G23" s="40">
        <f>DATEVALUE(SUBSTITUTE(LEFT(F23,SEARCH(" ",F23)-1),".","/"))</f>
        <v>44508</v>
      </c>
      <c r="H23" t="s">
        <v>53</v>
      </c>
      <c r="I23"/>
      <c r="J23"/>
      <c r="K23"/>
    </row>
    <row r="24" spans="1:28" s="14" customFormat="1" ht="15.75" customHeight="1" x14ac:dyDescent="0.25">
      <c r="A24" t="s">
        <v>84</v>
      </c>
      <c r="B24"/>
      <c r="C24" t="str">
        <f xml:space="preserve"> MID(A24,SEARCH(":",A24)+2,SEARCH(":",A24,SEARCH(":",A24)+1)-SEARCH(":",A24)-3)</f>
        <v>Robertson</v>
      </c>
      <c r="D24" t="str">
        <f>"partner:"&amp;MID(A24,SEARCH(":",A24)+1,SEARCH(":",A24,SEARCH(":",A24)+1)-SEARCH(":",A24)-1)</f>
        <v xml:space="preserve">partner: Robertson </v>
      </c>
      <c r="E24" s="38" t="s">
        <v>115</v>
      </c>
      <c r="F24" t="str">
        <f>IF(Table2[[#This Row],[Notes]]="","",LEFT(Table2[[#This Row],[Notes]],FIND(CHAR(10),Table2[[#This Row],[Notes]]&amp;CHAR(10))-1))</f>
        <v>11.5.21 Reach out to trading partner</v>
      </c>
      <c r="G24" s="40">
        <f>DATEVALUE(SUBSTITUTE(LEFT(F24,SEARCH(" ",F24)-1),".","/"))</f>
        <v>44505</v>
      </c>
      <c r="H24" t="s">
        <v>92</v>
      </c>
      <c r="I24"/>
      <c r="J24"/>
      <c r="K24"/>
      <c r="L24"/>
      <c r="M24"/>
      <c r="N24"/>
      <c r="O24"/>
      <c r="P24"/>
      <c r="Q24"/>
      <c r="R24"/>
      <c r="S24"/>
      <c r="T24"/>
      <c r="U24"/>
      <c r="V24"/>
      <c r="W24"/>
      <c r="X24"/>
      <c r="Y24"/>
      <c r="Z24"/>
      <c r="AA24"/>
      <c r="AB24"/>
    </row>
    <row r="25" spans="1:28" ht="60" x14ac:dyDescent="0.25">
      <c r="A25" t="s">
        <v>68</v>
      </c>
      <c r="B25"/>
      <c r="C25" t="str">
        <f xml:space="preserve"> MID(A25,SEARCH(":",A25)+2,SEARCH(":",A25,SEARCH(":",A25)+1)-SEARCH(":",A25)-3)</f>
        <v>Stego Germany</v>
      </c>
      <c r="D25" t="str">
        <f>"partner:"&amp;MID(A25,SEARCH(":",A25)+1,SEARCH(":",A25,SEARCH(":",A25)+1)-SEARCH(":",A25)-1)</f>
        <v xml:space="preserve">partner: Stego Germany </v>
      </c>
      <c r="E25" s="38" t="s">
        <v>119</v>
      </c>
      <c r="F25" t="str">
        <f>IF(Table2[[#This Row],[Notes]]="","",LEFT(Table2[[#This Row],[Notes]],FIND(CHAR(10),Table2[[#This Row],[Notes]]&amp;CHAR(10))-1))</f>
        <v>11.8.21 Assign a mapping case: 13987661</v>
      </c>
      <c r="G25" s="40">
        <f>DATEVALUE(SUBSTITUTE(LEFT(F25,SEARCH(" ",F25)-1),".","/"))</f>
        <v>44508</v>
      </c>
      <c r="H25" t="s">
        <v>76</v>
      </c>
      <c r="I25"/>
      <c r="J25"/>
      <c r="K25"/>
    </row>
    <row r="26" spans="1:28" x14ac:dyDescent="0.25">
      <c r="A26" t="s">
        <v>85</v>
      </c>
      <c r="B26"/>
      <c r="C26" t="str">
        <f xml:space="preserve"> MID(A26,SEARCH(":",A26)+2,SEARCH(":",A26,SEARCH(":",A26)+1)-SEARCH(":",A26)-3)</f>
        <v>Thoroughbred Diesel</v>
      </c>
      <c r="D26" t="str">
        <f>"partner:"&amp;MID(A26,SEARCH(":",A26)+1,SEARCH(":",A26,SEARCH(":",A26)+1)-SEARCH(":",A26)-1)</f>
        <v xml:space="preserve">partner: Thoroughbred Diesel </v>
      </c>
      <c r="E26" s="38" t="s">
        <v>111</v>
      </c>
      <c r="F26" t="str">
        <f>IF(Table2[[#This Row],[Notes]]="","",LEFT(Table2[[#This Row],[Notes]],FIND(CHAR(10),Table2[[#This Row],[Notes]]&amp;CHAR(10))-1))</f>
        <v>11.4.21 Reach out to trading partner</v>
      </c>
      <c r="G26" s="40">
        <f>DATEVALUE(SUBSTITUTE(LEFT(F26,SEARCH(" ",F26)-1),".","/"))</f>
        <v>44504</v>
      </c>
      <c r="H26" t="s">
        <v>95</v>
      </c>
      <c r="I26"/>
      <c r="J26"/>
      <c r="K26"/>
    </row>
    <row r="27" spans="1:28" ht="45" x14ac:dyDescent="0.25">
      <c r="A27" t="s">
        <v>62</v>
      </c>
      <c r="B27"/>
      <c r="C27" t="str">
        <f xml:space="preserve"> MID(A27,SEARCH(":",A27)+2,SEARCH(":",A27,SEARCH(":",A27)+1)-SEARCH(":",A27)-3)</f>
        <v>Tower Automotive - Bellevue</v>
      </c>
      <c r="D27" t="str">
        <f>"partner:"&amp;MID(A27,SEARCH(":",A27)+1,SEARCH(":",A27,SEARCH(":",A27)+1)-SEARCH(":",A27)-1)</f>
        <v xml:space="preserve">partner: Tower Automotive - Bellevue </v>
      </c>
      <c r="E27" s="38" t="s">
        <v>107</v>
      </c>
      <c r="F27" t="str">
        <f>IF(Table2[[#This Row],[Notes]]="","",LEFT(Table2[[#This Row],[Notes]],FIND(CHAR(10),Table2[[#This Row],[Notes]]&amp;CHAR(10))-1))</f>
        <v>11.4.21 Reach out to trading partner: 3</v>
      </c>
      <c r="G27" s="40">
        <f>DATEVALUE(SUBSTITUTE(LEFT(F27,SEARCH(" ",F27)-1),".","/"))</f>
        <v>44504</v>
      </c>
      <c r="H27" t="s">
        <v>72</v>
      </c>
      <c r="I27"/>
      <c r="J27"/>
      <c r="K27"/>
    </row>
    <row r="28" spans="1:28" ht="150" x14ac:dyDescent="0.25">
      <c r="A28" t="s">
        <v>48</v>
      </c>
      <c r="B28"/>
      <c r="C28" t="str">
        <f xml:space="preserve"> MID(A28,SEARCH(":",A28)+2,SEARCH(":",A28,SEARCH(":",A28)+1)-SEARCH(":",A28)-3)</f>
        <v>Trenton Cold Storage</v>
      </c>
      <c r="D28" t="str">
        <f>"partner:"&amp;MID(A28,SEARCH(":",A28)+1,SEARCH(":",A28,SEARCH(":",A28)+1)-SEARCH(":",A28)-1)</f>
        <v xml:space="preserve">partner: Trenton Cold Storage </v>
      </c>
      <c r="E28" s="38" t="s">
        <v>109</v>
      </c>
      <c r="F28" t="str">
        <f>IF(Table2[[#This Row],[Notes]]="","",LEFT(Table2[[#This Row],[Notes]],FIND(CHAR(10),Table2[[#This Row],[Notes]]&amp;CHAR(10))-1))</f>
        <v>11.4.21 Reach out to Lori for a new contact</v>
      </c>
      <c r="G28" s="40">
        <f>DATEVALUE(SUBSTITUTE(LEFT(F28,SEARCH(" ",F28)-1),".","/"))</f>
        <v>44504</v>
      </c>
      <c r="I28"/>
      <c r="J28"/>
      <c r="K28"/>
    </row>
    <row r="29" spans="1:28" ht="15.75" thickBot="1" x14ac:dyDescent="0.3">
      <c r="A29" t="s">
        <v>90</v>
      </c>
      <c r="B29"/>
      <c r="C29" t="str">
        <f xml:space="preserve"> MID(A29,SEARCH(":",A29)+2,SEARCH(":",A29,SEARCH(":",A29)+1)-SEARCH(":",A29)-3)</f>
        <v>Uppa Baby</v>
      </c>
      <c r="D29" t="str">
        <f>"partner:"&amp;MID(A29,SEARCH(":",A29)+1,SEARCH(":",A29,SEARCH(":",A29)+1)-SEARCH(":",A29)-1)</f>
        <v xml:space="preserve">partner: Uppa Baby </v>
      </c>
      <c r="E29" s="38" t="s">
        <v>111</v>
      </c>
      <c r="F29" t="str">
        <f>IF(Table2[[#This Row],[Notes]]="","",LEFT(Table2[[#This Row],[Notes]],FIND(CHAR(10),Table2[[#This Row],[Notes]]&amp;CHAR(10))-1))</f>
        <v>11.4.21 Reach out to trading partner</v>
      </c>
      <c r="G29" s="40">
        <f>DATEVALUE(SUBSTITUTE(LEFT(F29,SEARCH(" ",F29)-1),".","/"))</f>
        <v>44504</v>
      </c>
      <c r="H29" t="s">
        <v>99</v>
      </c>
      <c r="I29"/>
      <c r="J29"/>
      <c r="K29"/>
    </row>
    <row r="30" spans="1:28" s="7" customFormat="1" ht="45" x14ac:dyDescent="0.25">
      <c r="A30" t="s">
        <v>66</v>
      </c>
      <c r="B30"/>
      <c r="C30" t="str">
        <f xml:space="preserve"> MID(A30,SEARCH(":",A30)+2,SEARCH(":",A30,SEARCH(":",A30)+1)-SEARCH(":",A30)-3)</f>
        <v>Valley Bakers</v>
      </c>
      <c r="D30" t="str">
        <f>"partner:"&amp;MID(A30,SEARCH(":",A30)+1,SEARCH(":",A30,SEARCH(":",A30)+1)-SEARCH(":",A30)-1)</f>
        <v xml:space="preserve">partner: Valley Bakers </v>
      </c>
      <c r="E30" s="38" t="s">
        <v>108</v>
      </c>
      <c r="F30" t="str">
        <f>IF(Table2[[#This Row],[Notes]]="","",LEFT(Table2[[#This Row],[Notes]],FIND(CHAR(10),Table2[[#This Row],[Notes]]&amp;CHAR(10))-1))</f>
        <v>11.4.21 Reach out to Hirono for the details from customer</v>
      </c>
      <c r="G30" s="40">
        <f>DATEVALUE(SUBSTITUTE(LEFT(F30,SEARCH(" ",F30)-1),".","/"))</f>
        <v>44504</v>
      </c>
      <c r="H30" t="s">
        <v>74</v>
      </c>
      <c r="I30"/>
      <c r="J30"/>
      <c r="K30"/>
      <c r="L30"/>
      <c r="M30"/>
      <c r="N30"/>
      <c r="O30"/>
      <c r="P30"/>
      <c r="Q30"/>
      <c r="R30"/>
      <c r="S30"/>
      <c r="T30"/>
      <c r="U30"/>
      <c r="V30"/>
      <c r="W30"/>
      <c r="X30"/>
      <c r="Y30"/>
      <c r="Z30"/>
      <c r="AA30"/>
      <c r="AB30"/>
    </row>
    <row r="31" spans="1:28" x14ac:dyDescent="0.25">
      <c r="A31" t="s">
        <v>80</v>
      </c>
      <c r="B31"/>
      <c r="C31" t="str">
        <f xml:space="preserve"> MID(A31,SEARCH(":",A31)+2,SEARCH(":",A31,SEARCH(":",A31)+1)-SEARCH(":",A31)-3)</f>
        <v>Windsor Modules</v>
      </c>
      <c r="D31" t="str">
        <f>"partner:"&amp;MID(A31,SEARCH(":",A31)+1,SEARCH(":",A31,SEARCH(":",A31)+1)-SEARCH(":",A31)-1)</f>
        <v xml:space="preserve">partner: Windsor Modules </v>
      </c>
      <c r="E31" s="38" t="s">
        <v>111</v>
      </c>
      <c r="F31" t="str">
        <f>IF(Table2[[#This Row],[Notes]]="","",LEFT(Table2[[#This Row],[Notes]],FIND(CHAR(10),Table2[[#This Row],[Notes]]&amp;CHAR(10))-1))</f>
        <v>11.4.21 Reach out to trading partner</v>
      </c>
      <c r="G31" s="40">
        <f>DATEVALUE(SUBSTITUTE(LEFT(F31,SEARCH(" ",F31)-1),".","/"))</f>
        <v>44504</v>
      </c>
      <c r="H31" t="s">
        <v>93</v>
      </c>
      <c r="I31"/>
      <c r="J31"/>
      <c r="K31"/>
    </row>
    <row r="32" spans="1:28" x14ac:dyDescent="0.25">
      <c r="A32"/>
      <c r="B32"/>
      <c r="C32" t="e">
        <f xml:space="preserve"> MID(A32,SEARCH(":",A32)+2,SEARCH(":",A32,SEARCH(":",A32)+1)-SEARCH(":",A32)-3)</f>
        <v>#VALUE!</v>
      </c>
      <c r="D32" t="e">
        <f>"partner:"&amp;MID(A32,SEARCH(":",A32)+1,SEARCH(":",A32,SEARCH(":",A32)+1)-SEARCH(":",A32)-1)</f>
        <v>#VALUE!</v>
      </c>
      <c r="F32" t="str">
        <f>IF(Table2[[#This Row],[Notes]]="","",LEFT(Table2[[#This Row],[Notes]],FIND(CHAR(10),Table2[[#This Row],[Notes]]&amp;CHAR(10))-1))</f>
        <v/>
      </c>
      <c r="G32" s="40" t="e">
        <f>DATEVALUE(SUBSTITUTE(LEFT(F32,SEARCH(" ",F32)-1),".","/"))</f>
        <v>#VALUE!</v>
      </c>
      <c r="I32"/>
      <c r="J32"/>
      <c r="K32"/>
    </row>
    <row r="33" spans="1:11" x14ac:dyDescent="0.25">
      <c r="A33"/>
      <c r="B33"/>
      <c r="C33" t="e">
        <f xml:space="preserve"> MID(A33,SEARCH(":",A33)+2,SEARCH(":",A33,SEARCH(":",A33)+1)-SEARCH(":",A33)-3)</f>
        <v>#VALUE!</v>
      </c>
      <c r="D33" t="e">
        <f>"partner:"&amp;MID(A33,SEARCH(":",A33)+1,SEARCH(":",A33,SEARCH(":",A33)+1)-SEARCH(":",A33)-1)</f>
        <v>#VALUE!</v>
      </c>
      <c r="F33" t="str">
        <f>IF(Table2[[#This Row],[Notes]]="","",LEFT(Table2[[#This Row],[Notes]],FIND(CHAR(10),Table2[[#This Row],[Notes]]&amp;CHAR(10))-1))</f>
        <v/>
      </c>
      <c r="G33" s="40" t="e">
        <f>DATEVALUE(SUBSTITUTE(LEFT(F33,SEARCH(" ",F33)-1),".","/"))</f>
        <v>#VALUE!</v>
      </c>
      <c r="I33"/>
      <c r="J33"/>
      <c r="K33"/>
    </row>
    <row r="34" spans="1:11" x14ac:dyDescent="0.25">
      <c r="A34"/>
      <c r="B34"/>
      <c r="C34" t="e">
        <f xml:space="preserve"> MID(A34,SEARCH(":",A34)+2,SEARCH(":",A34,SEARCH(":",A34)+1)-SEARCH(":",A34)-3)</f>
        <v>#VALUE!</v>
      </c>
      <c r="D34" t="e">
        <f>"partner:"&amp;MID(A34,SEARCH(":",A34)+1,SEARCH(":",A34,SEARCH(":",A34)+1)-SEARCH(":",A34)-1)</f>
        <v>#VALUE!</v>
      </c>
      <c r="F34" t="str">
        <f>IF(Table2[[#This Row],[Notes]]="","",LEFT(Table2[[#This Row],[Notes]],FIND(CHAR(10),Table2[[#This Row],[Notes]]&amp;CHAR(10))-1))</f>
        <v/>
      </c>
      <c r="G34" s="40" t="e">
        <f>DATEVALUE(SUBSTITUTE(LEFT(F34,SEARCH(" ",F34)-1),".","/"))</f>
        <v>#VALUE!</v>
      </c>
      <c r="I34"/>
      <c r="J34"/>
      <c r="K34"/>
    </row>
    <row r="35" spans="1:11" x14ac:dyDescent="0.25">
      <c r="A35"/>
      <c r="B35"/>
      <c r="C35" t="e">
        <f xml:space="preserve"> MID(A35,SEARCH(":",A35)+2,SEARCH(":",A35,SEARCH(":",A35)+1)-SEARCH(":",A35)-3)</f>
        <v>#VALUE!</v>
      </c>
      <c r="D35" t="e">
        <f>"partner:"&amp;MID(A35,SEARCH(":",A35)+1,SEARCH(":",A35,SEARCH(":",A35)+1)-SEARCH(":",A35)-1)</f>
        <v>#VALUE!</v>
      </c>
      <c r="F35" t="str">
        <f>IF(Table2[[#This Row],[Notes]]="","",LEFT(Table2[[#This Row],[Notes]],FIND(CHAR(10),Table2[[#This Row],[Notes]]&amp;CHAR(10))-1))</f>
        <v/>
      </c>
      <c r="G35" s="40" t="e">
        <f>DATEVALUE(SUBSTITUTE(LEFT(F35,SEARCH(" ",F35)-1),".","/"))</f>
        <v>#VALUE!</v>
      </c>
      <c r="I35"/>
      <c r="J35"/>
      <c r="K35"/>
    </row>
    <row r="36" spans="1:11" x14ac:dyDescent="0.25">
      <c r="A36"/>
      <c r="B36"/>
      <c r="C36" t="e">
        <f xml:space="preserve"> MID(A36,SEARCH(":",A36)+2,SEARCH(":",A36,SEARCH(":",A36)+1)-SEARCH(":",A36)-3)</f>
        <v>#VALUE!</v>
      </c>
      <c r="D36" t="e">
        <f>"partner:"&amp;MID(A36,SEARCH(":",A36)+1,SEARCH(":",A36,SEARCH(":",A36)+1)-SEARCH(":",A36)-1)</f>
        <v>#VALUE!</v>
      </c>
      <c r="F36" t="str">
        <f>IF(Table2[[#This Row],[Notes]]="","",LEFT(Table2[[#This Row],[Notes]],FIND(CHAR(10),Table2[[#This Row],[Notes]]&amp;CHAR(10))-1))</f>
        <v/>
      </c>
      <c r="G36" s="40" t="e">
        <f>DATEVALUE(SUBSTITUTE(LEFT(F36,SEARCH(" ",F36)-1),".","/"))</f>
        <v>#VALUE!</v>
      </c>
      <c r="I36"/>
      <c r="J36"/>
      <c r="K36"/>
    </row>
    <row r="37" spans="1:11" x14ac:dyDescent="0.25">
      <c r="A37"/>
      <c r="B37"/>
      <c r="C37" t="e">
        <f xml:space="preserve"> MID(A37,SEARCH(":",A37)+2,SEARCH(":",A37,SEARCH(":",A37)+1)-SEARCH(":",A37)-3)</f>
        <v>#VALUE!</v>
      </c>
      <c r="D37" t="e">
        <f>"partner:"&amp;MID(A37,SEARCH(":",A37)+1,SEARCH(":",A37,SEARCH(":",A37)+1)-SEARCH(":",A37)-1)</f>
        <v>#VALUE!</v>
      </c>
      <c r="F37" t="str">
        <f>IF(Table2[[#This Row],[Notes]]="","",LEFT(Table2[[#This Row],[Notes]],FIND(CHAR(10),Table2[[#This Row],[Notes]]&amp;CHAR(10))-1))</f>
        <v/>
      </c>
      <c r="G37" s="40" t="e">
        <f>DATEVALUE(SUBSTITUTE(LEFT(F37,SEARCH(" ",F37)-1),".","/"))</f>
        <v>#VALUE!</v>
      </c>
      <c r="I37"/>
      <c r="J37"/>
      <c r="K37"/>
    </row>
    <row r="38" spans="1:11" x14ac:dyDescent="0.25">
      <c r="A38"/>
      <c r="B38"/>
      <c r="C38" t="e">
        <f xml:space="preserve"> MID(A38,SEARCH(":",A38)+2,SEARCH(":",A38,SEARCH(":",A38)+1)-SEARCH(":",A38)-3)</f>
        <v>#VALUE!</v>
      </c>
      <c r="D38" t="e">
        <f>"partner:"&amp;MID(A38,SEARCH(":",A38)+1,SEARCH(":",A38,SEARCH(":",A38)+1)-SEARCH(":",A38)-1)</f>
        <v>#VALUE!</v>
      </c>
      <c r="F38" t="str">
        <f>IF(Table2[[#This Row],[Notes]]="","",LEFT(Table2[[#This Row],[Notes]],FIND(CHAR(10),Table2[[#This Row],[Notes]]&amp;CHAR(10))-1))</f>
        <v/>
      </c>
      <c r="G38" s="40" t="e">
        <f>DATEVALUE(SUBSTITUTE(LEFT(F38,SEARCH(" ",F38)-1),".","/"))</f>
        <v>#VALUE!</v>
      </c>
      <c r="I38"/>
      <c r="J38"/>
      <c r="K38"/>
    </row>
    <row r="39" spans="1:11" x14ac:dyDescent="0.25">
      <c r="A39"/>
      <c r="B39"/>
      <c r="C39" t="e">
        <f xml:space="preserve"> MID(A39,SEARCH(":",A39)+2,SEARCH(":",A39,SEARCH(":",A39)+1)-SEARCH(":",A39)-3)</f>
        <v>#VALUE!</v>
      </c>
      <c r="D39" t="e">
        <f>"partner:"&amp;MID(A39,SEARCH(":",A39)+1,SEARCH(":",A39,SEARCH(":",A39)+1)-SEARCH(":",A39)-1)</f>
        <v>#VALUE!</v>
      </c>
      <c r="F39" t="str">
        <f>IF(Table2[[#This Row],[Notes]]="","",LEFT(Table2[[#This Row],[Notes]],FIND(CHAR(10),Table2[[#This Row],[Notes]]&amp;CHAR(10))-1))</f>
        <v/>
      </c>
      <c r="G39" s="40" t="e">
        <f>DATEVALUE(SUBSTITUTE(LEFT(F39,SEARCH(" ",F39)-1),".","/"))</f>
        <v>#VALUE!</v>
      </c>
      <c r="I39"/>
      <c r="J39"/>
      <c r="K39"/>
    </row>
    <row r="40" spans="1:11" x14ac:dyDescent="0.25">
      <c r="A40"/>
      <c r="B40"/>
      <c r="C40" t="e">
        <f xml:space="preserve"> MID(A40,SEARCH(":",A40)+2,SEARCH(":",A40,SEARCH(":",A40)+1)-SEARCH(":",A40)-3)</f>
        <v>#VALUE!</v>
      </c>
      <c r="D40" t="e">
        <f>"partner:"&amp;MID(A40,SEARCH(":",A40)+1,SEARCH(":",A40,SEARCH(":",A40)+1)-SEARCH(":",A40)-1)</f>
        <v>#VALUE!</v>
      </c>
      <c r="F40" t="str">
        <f>IF(Table2[[#This Row],[Notes]]="","",LEFT(Table2[[#This Row],[Notes]],FIND(CHAR(10),Table2[[#This Row],[Notes]]&amp;CHAR(10))-1))</f>
        <v/>
      </c>
      <c r="G40" s="40" t="e">
        <f>DATEVALUE(SUBSTITUTE(LEFT(F40,SEARCH(" ",F40)-1),".","/"))</f>
        <v>#VALUE!</v>
      </c>
      <c r="I40"/>
      <c r="J40"/>
      <c r="K40"/>
    </row>
    <row r="41" spans="1:11" x14ac:dyDescent="0.25">
      <c r="A41"/>
      <c r="B41"/>
      <c r="C41" t="e">
        <f xml:space="preserve"> MID(A41,SEARCH(":",A41)+2,SEARCH(":",A41,SEARCH(":",A41)+1)-SEARCH(":",A41)-3)</f>
        <v>#VALUE!</v>
      </c>
      <c r="D41" t="e">
        <f>"partner:"&amp;MID(A41,SEARCH(":",A41)+1,SEARCH(":",A41,SEARCH(":",A41)+1)-SEARCH(":",A41)-1)</f>
        <v>#VALUE!</v>
      </c>
      <c r="F41" t="str">
        <f>IF(Table2[[#This Row],[Notes]]="","",LEFT(Table2[[#This Row],[Notes]],FIND(CHAR(10),Table2[[#This Row],[Notes]]&amp;CHAR(10))-1))</f>
        <v/>
      </c>
      <c r="G41" s="40" t="e">
        <f>DATEVALUE(SUBSTITUTE(LEFT(F41,SEARCH(" ",F41)-1),".","/"))</f>
        <v>#VALUE!</v>
      </c>
      <c r="I41"/>
      <c r="J41"/>
      <c r="K41"/>
    </row>
    <row r="42" spans="1:11" x14ac:dyDescent="0.25">
      <c r="A42"/>
      <c r="B42"/>
      <c r="C42" t="e">
        <f xml:space="preserve"> MID(A42,SEARCH(":",A42)+2,SEARCH(":",A42,SEARCH(":",A42)+1)-SEARCH(":",A42)-3)</f>
        <v>#VALUE!</v>
      </c>
      <c r="D42" t="e">
        <f>"partner:"&amp;MID(A42,SEARCH(":",A42)+1,SEARCH(":",A42,SEARCH(":",A42)+1)-SEARCH(":",A42)-1)</f>
        <v>#VALUE!</v>
      </c>
      <c r="F42" t="str">
        <f>IF(Table2[[#This Row],[Notes]]="","",LEFT(Table2[[#This Row],[Notes]],FIND(CHAR(10),Table2[[#This Row],[Notes]]&amp;CHAR(10))-1))</f>
        <v/>
      </c>
      <c r="G42" s="40" t="e">
        <f>DATEVALUE(SUBSTITUTE(LEFT(F42,SEARCH(" ",F42)-1),".","/"))</f>
        <v>#VALUE!</v>
      </c>
      <c r="I42"/>
      <c r="J42"/>
      <c r="K42"/>
    </row>
    <row r="43" spans="1:11" x14ac:dyDescent="0.25">
      <c r="A43"/>
      <c r="B43"/>
      <c r="C43" t="e">
        <f xml:space="preserve"> MID(A43,SEARCH(":",A43)+2,SEARCH(":",A43,SEARCH(":",A43)+1)-SEARCH(":",A43)-3)</f>
        <v>#VALUE!</v>
      </c>
      <c r="D43" t="e">
        <f>"partner:"&amp;MID(A43,SEARCH(":",A43)+1,SEARCH(":",A43,SEARCH(":",A43)+1)-SEARCH(":",A43)-1)</f>
        <v>#VALUE!</v>
      </c>
      <c r="F43" t="str">
        <f>IF(Table2[[#This Row],[Notes]]="","",LEFT(Table2[[#This Row],[Notes]],FIND(CHAR(10),Table2[[#This Row],[Notes]]&amp;CHAR(10))-1))</f>
        <v/>
      </c>
      <c r="G43" s="40" t="e">
        <f>DATEVALUE(SUBSTITUTE(LEFT(F43,SEARCH(" ",F43)-1),".","/"))</f>
        <v>#VALUE!</v>
      </c>
      <c r="I43"/>
      <c r="J43"/>
      <c r="K43"/>
    </row>
    <row r="44" spans="1:11" x14ac:dyDescent="0.25">
      <c r="A44"/>
      <c r="B44"/>
      <c r="C44" t="e">
        <f xml:space="preserve"> MID(A44,SEARCH(":",A44)+2,SEARCH(":",A44,SEARCH(":",A44)+1)-SEARCH(":",A44)-3)</f>
        <v>#VALUE!</v>
      </c>
      <c r="D44" t="e">
        <f>"partner:"&amp;MID(A44,SEARCH(":",A44)+1,SEARCH(":",A44,SEARCH(":",A44)+1)-SEARCH(":",A44)-1)</f>
        <v>#VALUE!</v>
      </c>
      <c r="F44" t="str">
        <f>IF(Table2[[#This Row],[Notes]]="","",LEFT(Table2[[#This Row],[Notes]],FIND(CHAR(10),Table2[[#This Row],[Notes]]&amp;CHAR(10))-1))</f>
        <v/>
      </c>
      <c r="G44" s="40" t="e">
        <f>DATEVALUE(SUBSTITUTE(LEFT(F44,SEARCH(" ",F44)-1),".","/"))</f>
        <v>#VALUE!</v>
      </c>
      <c r="I44"/>
      <c r="J44"/>
      <c r="K44"/>
    </row>
    <row r="45" spans="1:11" x14ac:dyDescent="0.25">
      <c r="A45"/>
      <c r="B45"/>
      <c r="C45" t="e">
        <f xml:space="preserve"> MID(A45,SEARCH(":",A45)+2,SEARCH(":",A45,SEARCH(":",A45)+1)-SEARCH(":",A45)-3)</f>
        <v>#VALUE!</v>
      </c>
      <c r="D45" t="e">
        <f>"partner:"&amp;MID(A45,SEARCH(":",A45)+1,SEARCH(":",A45,SEARCH(":",A45)+1)-SEARCH(":",A45)-1)</f>
        <v>#VALUE!</v>
      </c>
      <c r="F45" t="str">
        <f>IF(Table2[[#This Row],[Notes]]="","",LEFT(Table2[[#This Row],[Notes]],FIND(CHAR(10),Table2[[#This Row],[Notes]]&amp;CHAR(10))-1))</f>
        <v/>
      </c>
      <c r="G45" s="40" t="e">
        <f>DATEVALUE(SUBSTITUTE(LEFT(F45,SEARCH(" ",F45)-1),".","/"))</f>
        <v>#VALUE!</v>
      </c>
      <c r="I45"/>
      <c r="J45"/>
      <c r="K45"/>
    </row>
    <row r="46" spans="1:11" x14ac:dyDescent="0.25">
      <c r="A46"/>
      <c r="B46"/>
      <c r="C46" t="e">
        <f xml:space="preserve"> MID(A46,SEARCH(":",A46)+2,SEARCH(":",A46,SEARCH(":",A46)+1)-SEARCH(":",A46)-3)</f>
        <v>#VALUE!</v>
      </c>
      <c r="D46" t="e">
        <f>"partner:"&amp;MID(A46,SEARCH(":",A46)+1,SEARCH(":",A46,SEARCH(":",A46)+1)-SEARCH(":",A46)-1)</f>
        <v>#VALUE!</v>
      </c>
      <c r="F46" t="str">
        <f>IF(Table2[[#This Row],[Notes]]="","",LEFT(Table2[[#This Row],[Notes]],FIND(CHAR(10),Table2[[#This Row],[Notes]]&amp;CHAR(10))-1))</f>
        <v/>
      </c>
      <c r="G46" s="40" t="e">
        <f>DATEVALUE(SUBSTITUTE(LEFT(F46,SEARCH(" ",F46)-1),".","/"))</f>
        <v>#VALUE!</v>
      </c>
      <c r="I46"/>
      <c r="J46"/>
      <c r="K46"/>
    </row>
    <row r="47" spans="1:11" x14ac:dyDescent="0.25">
      <c r="A47"/>
      <c r="B47"/>
      <c r="C47" t="e">
        <f xml:space="preserve"> MID(A47,SEARCH(":",A47)+2,SEARCH(":",A47,SEARCH(":",A47)+1)-SEARCH(":",A47)-3)</f>
        <v>#VALUE!</v>
      </c>
      <c r="D47" t="e">
        <f>"partner:"&amp;MID(A47,SEARCH(":",A47)+1,SEARCH(":",A47,SEARCH(":",A47)+1)-SEARCH(":",A47)-1)</f>
        <v>#VALUE!</v>
      </c>
      <c r="F47" t="str">
        <f>IF(Table2[[#This Row],[Notes]]="","",LEFT(Table2[[#This Row],[Notes]],FIND(CHAR(10),Table2[[#This Row],[Notes]]&amp;CHAR(10))-1))</f>
        <v/>
      </c>
      <c r="G47" s="40" t="e">
        <f>DATEVALUE(SUBSTITUTE(LEFT(F47,SEARCH(" ",F47)-1),".","/"))</f>
        <v>#VALUE!</v>
      </c>
      <c r="I47"/>
      <c r="J47"/>
      <c r="K47"/>
    </row>
    <row r="48" spans="1:11" x14ac:dyDescent="0.25">
      <c r="A48"/>
      <c r="B48"/>
      <c r="C48" t="e">
        <f xml:space="preserve"> MID(A48,SEARCH(":",A48)+2,SEARCH(":",A48,SEARCH(":",A48)+1)-SEARCH(":",A48)-3)</f>
        <v>#VALUE!</v>
      </c>
      <c r="D48" t="e">
        <f>"partner:"&amp;MID(A48,SEARCH(":",A48)+1,SEARCH(":",A48,SEARCH(":",A48)+1)-SEARCH(":",A48)-1)</f>
        <v>#VALUE!</v>
      </c>
      <c r="F48" t="str">
        <f>IF(Table2[[#This Row],[Notes]]="","",LEFT(Table2[[#This Row],[Notes]],FIND(CHAR(10),Table2[[#This Row],[Notes]]&amp;CHAR(10))-1))</f>
        <v/>
      </c>
      <c r="G48" s="40" t="e">
        <f>DATEVALUE(SUBSTITUTE(LEFT(F48,SEARCH(" ",F48)-1),".","/"))</f>
        <v>#VALUE!</v>
      </c>
      <c r="I48"/>
      <c r="J48"/>
      <c r="K48"/>
    </row>
    <row r="49" spans="1:11" x14ac:dyDescent="0.25">
      <c r="A49"/>
      <c r="B49"/>
      <c r="C49" t="e">
        <f xml:space="preserve"> MID(A49,SEARCH(":",A49)+2,SEARCH(":",A49,SEARCH(":",A49)+1)-SEARCH(":",A49)-3)</f>
        <v>#VALUE!</v>
      </c>
      <c r="D49" t="e">
        <f>"partner:"&amp;MID(A49,SEARCH(":",A49)+1,SEARCH(":",A49,SEARCH(":",A49)+1)-SEARCH(":",A49)-1)</f>
        <v>#VALUE!</v>
      </c>
      <c r="F49" t="str">
        <f>IF(Table2[[#This Row],[Notes]]="","",LEFT(Table2[[#This Row],[Notes]],FIND(CHAR(10),Table2[[#This Row],[Notes]]&amp;CHAR(10))-1))</f>
        <v/>
      </c>
      <c r="G49" s="40" t="e">
        <f>DATEVALUE(SUBSTITUTE(LEFT(F49,SEARCH(" ",F49)-1),".","/"))</f>
        <v>#VALUE!</v>
      </c>
      <c r="I49"/>
      <c r="J49"/>
      <c r="K49"/>
    </row>
    <row r="50" spans="1:11" x14ac:dyDescent="0.25">
      <c r="A50"/>
      <c r="B50"/>
      <c r="C50" t="e">
        <f xml:space="preserve"> MID(A50,SEARCH(":",A50)+2,SEARCH(":",A50,SEARCH(":",A50)+1)-SEARCH(":",A50)-3)</f>
        <v>#VALUE!</v>
      </c>
      <c r="D50" t="e">
        <f>"partner:"&amp;MID(A50,SEARCH(":",A50)+1,SEARCH(":",A50,SEARCH(":",A50)+1)-SEARCH(":",A50)-1)</f>
        <v>#VALUE!</v>
      </c>
      <c r="F50" t="str">
        <f>IF(Table2[[#This Row],[Notes]]="","",LEFT(Table2[[#This Row],[Notes]],FIND(CHAR(10),Table2[[#This Row],[Notes]]&amp;CHAR(10))-1))</f>
        <v/>
      </c>
      <c r="G50" s="40" t="e">
        <f>DATEVALUE(SUBSTITUTE(LEFT(F50,SEARCH(" ",F50)-1),".","/"))</f>
        <v>#VALUE!</v>
      </c>
      <c r="I50"/>
      <c r="J50"/>
      <c r="K50"/>
    </row>
    <row r="51" spans="1:11" x14ac:dyDescent="0.25">
      <c r="A51"/>
      <c r="B51"/>
      <c r="C51" t="e">
        <f xml:space="preserve"> MID(A51,SEARCH(":",A51)+2,SEARCH(":",A51,SEARCH(":",A51)+1)-SEARCH(":",A51)-3)</f>
        <v>#VALUE!</v>
      </c>
      <c r="D51" t="e">
        <f>"partner:"&amp;MID(A51,SEARCH(":",A51)+1,SEARCH(":",A51,SEARCH(":",A51)+1)-SEARCH(":",A51)-1)</f>
        <v>#VALUE!</v>
      </c>
      <c r="F51" t="str">
        <f>IF(Table2[[#This Row],[Notes]]="","",LEFT(Table2[[#This Row],[Notes]],FIND(CHAR(10),Table2[[#This Row],[Notes]]&amp;CHAR(10))-1))</f>
        <v/>
      </c>
      <c r="G51" s="40" t="e">
        <f>DATEVALUE(SUBSTITUTE(LEFT(F51,SEARCH(" ",F51)-1),".","/"))</f>
        <v>#VALUE!</v>
      </c>
      <c r="I51"/>
      <c r="J51"/>
      <c r="K51"/>
    </row>
    <row r="52" spans="1:11" x14ac:dyDescent="0.25">
      <c r="A52"/>
      <c r="B52"/>
      <c r="C52" t="e">
        <f xml:space="preserve"> MID(A52,SEARCH(":",A52)+2,SEARCH(":",A52,SEARCH(":",A52)+1)-SEARCH(":",A52)-3)</f>
        <v>#VALUE!</v>
      </c>
      <c r="D52" t="e">
        <f>"partner:"&amp;MID(A52,SEARCH(":",A52)+1,SEARCH(":",A52,SEARCH(":",A52)+1)-SEARCH(":",A52)-1)</f>
        <v>#VALUE!</v>
      </c>
      <c r="F52" t="str">
        <f>IF(Table2[[#This Row],[Notes]]="","",LEFT(Table2[[#This Row],[Notes]],FIND(CHAR(10),Table2[[#This Row],[Notes]]&amp;CHAR(10))-1))</f>
        <v/>
      </c>
      <c r="G52" s="40" t="e">
        <f>DATEVALUE(SUBSTITUTE(LEFT(F52,SEARCH(" ",F52)-1),".","/"))</f>
        <v>#VALUE!</v>
      </c>
      <c r="I52"/>
      <c r="J52"/>
      <c r="K52"/>
    </row>
    <row r="53" spans="1:11" x14ac:dyDescent="0.25">
      <c r="A53"/>
      <c r="B53"/>
      <c r="C53" t="e">
        <f xml:space="preserve"> MID(A53,SEARCH(":",A53)+2,SEARCH(":",A53,SEARCH(":",A53)+1)-SEARCH(":",A53)-3)</f>
        <v>#VALUE!</v>
      </c>
      <c r="D53" t="e">
        <f>"partner:"&amp;MID(A53,SEARCH(":",A53)+1,SEARCH(":",A53,SEARCH(":",A53)+1)-SEARCH(":",A53)-1)</f>
        <v>#VALUE!</v>
      </c>
      <c r="F53" t="str">
        <f>IF(Table2[[#This Row],[Notes]]="","",LEFT(Table2[[#This Row],[Notes]],FIND(CHAR(10),Table2[[#This Row],[Notes]]&amp;CHAR(10))-1))</f>
        <v/>
      </c>
      <c r="G53" s="40" t="e">
        <f>DATEVALUE(SUBSTITUTE(LEFT(F53,SEARCH(" ",F53)-1),".","/"))</f>
        <v>#VALUE!</v>
      </c>
      <c r="I53"/>
      <c r="J53"/>
      <c r="K53"/>
    </row>
    <row r="54" spans="1:11" x14ac:dyDescent="0.25">
      <c r="A54"/>
      <c r="B54"/>
      <c r="C54" t="e">
        <f xml:space="preserve"> MID(A54,SEARCH(":",A54)+2,SEARCH(":",A54,SEARCH(":",A54)+1)-SEARCH(":",A54)-3)</f>
        <v>#VALUE!</v>
      </c>
      <c r="D54" t="e">
        <f>"partner:"&amp;MID(A54,SEARCH(":",A54)+1,SEARCH(":",A54,SEARCH(":",A54)+1)-SEARCH(":",A54)-1)</f>
        <v>#VALUE!</v>
      </c>
      <c r="F54" t="str">
        <f>IF(Table2[[#This Row],[Notes]]="","",LEFT(Table2[[#This Row],[Notes]],FIND(CHAR(10),Table2[[#This Row],[Notes]]&amp;CHAR(10))-1))</f>
        <v/>
      </c>
      <c r="G54" s="40" t="e">
        <f>DATEVALUE(SUBSTITUTE(LEFT(F54,SEARCH(" ",F54)-1),".","/"))</f>
        <v>#VALUE!</v>
      </c>
      <c r="I54"/>
      <c r="J54"/>
      <c r="K54"/>
    </row>
    <row r="55" spans="1:11" x14ac:dyDescent="0.25">
      <c r="A55"/>
      <c r="B55"/>
      <c r="C55" t="e">
        <f xml:space="preserve"> MID(A55,SEARCH(":",A55)+2,SEARCH(":",A55,SEARCH(":",A55)+1)-SEARCH(":",A55)-3)</f>
        <v>#VALUE!</v>
      </c>
      <c r="D55" t="e">
        <f>"partner:"&amp;MID(A55,SEARCH(":",A55)+1,SEARCH(":",A55,SEARCH(":",A55)+1)-SEARCH(":",A55)-1)</f>
        <v>#VALUE!</v>
      </c>
      <c r="F55" t="str">
        <f>IF(Table2[[#This Row],[Notes]]="","",LEFT(Table2[[#This Row],[Notes]],FIND(CHAR(10),Table2[[#This Row],[Notes]]&amp;CHAR(10))-1))</f>
        <v/>
      </c>
      <c r="G55" s="40" t="e">
        <f>DATEVALUE(SUBSTITUTE(LEFT(F55,SEARCH(" ",F55)-1),".","/"))</f>
        <v>#VALUE!</v>
      </c>
      <c r="I55"/>
      <c r="J55"/>
      <c r="K55"/>
    </row>
    <row r="56" spans="1:11" x14ac:dyDescent="0.25">
      <c r="A56"/>
      <c r="B56"/>
      <c r="C56" t="e">
        <f xml:space="preserve"> MID(A56,SEARCH(":",A56)+2,SEARCH(":",A56,SEARCH(":",A56)+1)-SEARCH(":",A56)-3)</f>
        <v>#VALUE!</v>
      </c>
      <c r="D56" t="e">
        <f>"partner:"&amp;MID(A56,SEARCH(":",A56)+1,SEARCH(":",A56,SEARCH(":",A56)+1)-SEARCH(":",A56)-1)</f>
        <v>#VALUE!</v>
      </c>
      <c r="F56" t="str">
        <f>IF(Table2[[#This Row],[Notes]]="","",LEFT(Table2[[#This Row],[Notes]],FIND(CHAR(10),Table2[[#This Row],[Notes]]&amp;CHAR(10))-1))</f>
        <v/>
      </c>
      <c r="G56" s="40" t="e">
        <f>DATEVALUE(SUBSTITUTE(LEFT(F56,SEARCH(" ",F56)-1),".","/"))</f>
        <v>#VALUE!</v>
      </c>
      <c r="I56"/>
      <c r="J56"/>
      <c r="K56"/>
    </row>
    <row r="57" spans="1:11" x14ac:dyDescent="0.25">
      <c r="A57"/>
      <c r="B57"/>
      <c r="C57" t="e">
        <f xml:space="preserve"> MID(A57,SEARCH(":",A57)+2,SEARCH(":",A57,SEARCH(":",A57)+1)-SEARCH(":",A57)-3)</f>
        <v>#VALUE!</v>
      </c>
      <c r="D57" t="e">
        <f>"partner:"&amp;MID(A57,SEARCH(":",A57)+1,SEARCH(":",A57,SEARCH(":",A57)+1)-SEARCH(":",A57)-1)</f>
        <v>#VALUE!</v>
      </c>
      <c r="F57" t="str">
        <f>IF(Table2[[#This Row],[Notes]]="","",LEFT(Table2[[#This Row],[Notes]],FIND(CHAR(10),Table2[[#This Row],[Notes]]&amp;CHAR(10))-1))</f>
        <v/>
      </c>
      <c r="G57" s="40" t="e">
        <f>DATEVALUE(SUBSTITUTE(LEFT(F57,SEARCH(" ",F57)-1),".","/"))</f>
        <v>#VALUE!</v>
      </c>
      <c r="I57"/>
      <c r="J57"/>
      <c r="K57"/>
    </row>
    <row r="58" spans="1:11" x14ac:dyDescent="0.25">
      <c r="A58"/>
      <c r="B58"/>
      <c r="C58" t="e">
        <f xml:space="preserve"> MID(A58,SEARCH(":",A58)+2,SEARCH(":",A58,SEARCH(":",A58)+1)-SEARCH(":",A58)-3)</f>
        <v>#VALUE!</v>
      </c>
      <c r="D58" t="e">
        <f>"partner:"&amp;MID(A58,SEARCH(":",A58)+1,SEARCH(":",A58,SEARCH(":",A58)+1)-SEARCH(":",A58)-1)</f>
        <v>#VALUE!</v>
      </c>
      <c r="F58" t="str">
        <f>IF(Table2[[#This Row],[Notes]]="","",LEFT(Table2[[#This Row],[Notes]],FIND(CHAR(10),Table2[[#This Row],[Notes]]&amp;CHAR(10))-1))</f>
        <v/>
      </c>
      <c r="G58" s="40" t="e">
        <f>DATEVALUE(SUBSTITUTE(LEFT(F58,SEARCH(" ",F58)-1),".","/"))</f>
        <v>#VALUE!</v>
      </c>
      <c r="I58"/>
      <c r="J58"/>
      <c r="K58"/>
    </row>
    <row r="59" spans="1:11" x14ac:dyDescent="0.25">
      <c r="A59"/>
      <c r="B59"/>
      <c r="C59" t="e">
        <f xml:space="preserve"> MID(A59,SEARCH(":",A59)+2,SEARCH(":",A59,SEARCH(":",A59)+1)-SEARCH(":",A59)-3)</f>
        <v>#VALUE!</v>
      </c>
      <c r="D59" t="e">
        <f>"partner:"&amp;MID(A59,SEARCH(":",A59)+1,SEARCH(":",A59,SEARCH(":",A59)+1)-SEARCH(":",A59)-1)</f>
        <v>#VALUE!</v>
      </c>
      <c r="F59" t="str">
        <f>IF(Table2[[#This Row],[Notes]]="","",LEFT(Table2[[#This Row],[Notes]],FIND(CHAR(10),Table2[[#This Row],[Notes]]&amp;CHAR(10))-1))</f>
        <v/>
      </c>
      <c r="G59" s="40" t="e">
        <f>DATEVALUE(SUBSTITUTE(LEFT(F59,SEARCH(" ",F59)-1),".","/"))</f>
        <v>#VALUE!</v>
      </c>
      <c r="I59"/>
      <c r="J59"/>
      <c r="K59"/>
    </row>
    <row r="60" spans="1:11" x14ac:dyDescent="0.25">
      <c r="A60"/>
      <c r="B60"/>
      <c r="C60" t="e">
        <f xml:space="preserve"> MID(A60,SEARCH(":",A60)+2,SEARCH(":",A60,SEARCH(":",A60)+1)-SEARCH(":",A60)-3)</f>
        <v>#VALUE!</v>
      </c>
      <c r="D60" t="e">
        <f>"partner:"&amp;MID(A60,SEARCH(":",A60)+1,SEARCH(":",A60,SEARCH(":",A60)+1)-SEARCH(":",A60)-1)</f>
        <v>#VALUE!</v>
      </c>
      <c r="F60" t="str">
        <f>IF(Table2[[#This Row],[Notes]]="","",LEFT(Table2[[#This Row],[Notes]],FIND(CHAR(10),Table2[[#This Row],[Notes]]&amp;CHAR(10))-1))</f>
        <v/>
      </c>
      <c r="G60" s="40" t="e">
        <f>DATEVALUE(SUBSTITUTE(LEFT(F60,SEARCH(" ",F60)-1),".","/"))</f>
        <v>#VALUE!</v>
      </c>
      <c r="I60"/>
      <c r="J60"/>
      <c r="K60"/>
    </row>
    <row r="61" spans="1:11" x14ac:dyDescent="0.25">
      <c r="A61"/>
      <c r="B61"/>
      <c r="C61" t="e">
        <f xml:space="preserve"> MID(A61,SEARCH(":",A61)+2,SEARCH(":",A61,SEARCH(":",A61)+1)-SEARCH(":",A61)-3)</f>
        <v>#VALUE!</v>
      </c>
      <c r="D61" t="e">
        <f>"partner:"&amp;MID(A61,SEARCH(":",A61)+1,SEARCH(":",A61,SEARCH(":",A61)+1)-SEARCH(":",A61)-1)</f>
        <v>#VALUE!</v>
      </c>
      <c r="F61" t="str">
        <f>IF(Table2[[#This Row],[Notes]]="","",LEFT(Table2[[#This Row],[Notes]],FIND(CHAR(10),Table2[[#This Row],[Notes]]&amp;CHAR(10))-1))</f>
        <v/>
      </c>
      <c r="G61" s="40" t="e">
        <f>DATEVALUE(SUBSTITUTE(LEFT(F61,SEARCH(" ",F61)-1),".","/"))</f>
        <v>#VALUE!</v>
      </c>
      <c r="I61"/>
      <c r="J61"/>
      <c r="K61"/>
    </row>
    <row r="62" spans="1:11" x14ac:dyDescent="0.25">
      <c r="A62"/>
      <c r="B62"/>
      <c r="C62" t="e">
        <f xml:space="preserve"> MID(A62,SEARCH(":",A62)+2,SEARCH(":",A62,SEARCH(":",A62)+1)-SEARCH(":",A62)-3)</f>
        <v>#VALUE!</v>
      </c>
      <c r="D62" t="e">
        <f>"partner:"&amp;MID(A62,SEARCH(":",A62)+1,SEARCH(":",A62,SEARCH(":",A62)+1)-SEARCH(":",A62)-1)</f>
        <v>#VALUE!</v>
      </c>
      <c r="F62" t="str">
        <f>IF(Table2[[#This Row],[Notes]]="","",LEFT(Table2[[#This Row],[Notes]],FIND(CHAR(10),Table2[[#This Row],[Notes]]&amp;CHAR(10))-1))</f>
        <v/>
      </c>
      <c r="G62" s="40" t="e">
        <f>DATEVALUE(SUBSTITUTE(LEFT(F62,SEARCH(" ",F62)-1),".","/"))</f>
        <v>#VALUE!</v>
      </c>
      <c r="I62"/>
      <c r="J62"/>
      <c r="K62"/>
    </row>
    <row r="63" spans="1:11" x14ac:dyDescent="0.25">
      <c r="A63"/>
      <c r="B63"/>
      <c r="C63" t="e">
        <f xml:space="preserve"> MID(A63,SEARCH(":",A63)+2,SEARCH(":",A63,SEARCH(":",A63)+1)-SEARCH(":",A63)-3)</f>
        <v>#VALUE!</v>
      </c>
      <c r="D63" t="e">
        <f>"partner:"&amp;MID(A63,SEARCH(":",A63)+1,SEARCH(":",A63,SEARCH(":",A63)+1)-SEARCH(":",A63)-1)</f>
        <v>#VALUE!</v>
      </c>
      <c r="F63" t="str">
        <f>IF(Table2[[#This Row],[Notes]]="","",LEFT(Table2[[#This Row],[Notes]],FIND(CHAR(10),Table2[[#This Row],[Notes]]&amp;CHAR(10))-1))</f>
        <v/>
      </c>
      <c r="G63" s="40" t="e">
        <f>DATEVALUE(SUBSTITUTE(LEFT(F63,SEARCH(" ",F63)-1),".","/"))</f>
        <v>#VALUE!</v>
      </c>
      <c r="I63"/>
      <c r="J63"/>
      <c r="K63"/>
    </row>
    <row r="64" spans="1:11" x14ac:dyDescent="0.25">
      <c r="A64"/>
      <c r="B64"/>
      <c r="C64" t="e">
        <f xml:space="preserve"> MID(A64,SEARCH(":",A64)+2,SEARCH(":",A64,SEARCH(":",A64)+1)-SEARCH(":",A64)-3)</f>
        <v>#VALUE!</v>
      </c>
      <c r="D64" t="e">
        <f>"partner:"&amp;MID(A64,SEARCH(":",A64)+1,SEARCH(":",A64,SEARCH(":",A64)+1)-SEARCH(":",A64)-1)</f>
        <v>#VALUE!</v>
      </c>
      <c r="F64" t="str">
        <f>IF(Table2[[#This Row],[Notes]]="","",LEFT(Table2[[#This Row],[Notes]],FIND(CHAR(10),Table2[[#This Row],[Notes]]&amp;CHAR(10))-1))</f>
        <v/>
      </c>
      <c r="G64" s="40" t="e">
        <f>DATEVALUE(SUBSTITUTE(LEFT(F64,SEARCH(" ",F64)-1),".","/"))</f>
        <v>#VALUE!</v>
      </c>
      <c r="I64"/>
      <c r="J64"/>
      <c r="K64"/>
    </row>
    <row r="65" spans="1:11" x14ac:dyDescent="0.25">
      <c r="A65"/>
      <c r="B65"/>
      <c r="C65" t="e">
        <f xml:space="preserve"> MID(A65,SEARCH(":",A65)+2,SEARCH(":",A65,SEARCH(":",A65)+1)-SEARCH(":",A65)-3)</f>
        <v>#VALUE!</v>
      </c>
      <c r="D65" t="e">
        <f>"partner:"&amp;MID(A65,SEARCH(":",A65)+1,SEARCH(":",A65,SEARCH(":",A65)+1)-SEARCH(":",A65)-1)</f>
        <v>#VALUE!</v>
      </c>
      <c r="F65" t="str">
        <f>IF(Table2[[#This Row],[Notes]]="","",LEFT(Table2[[#This Row],[Notes]],FIND(CHAR(10),Table2[[#This Row],[Notes]]&amp;CHAR(10))-1))</f>
        <v/>
      </c>
      <c r="G65" s="40" t="e">
        <f>DATEVALUE(SUBSTITUTE(LEFT(F65,SEARCH(" ",F65)-1),".","/"))</f>
        <v>#VALUE!</v>
      </c>
      <c r="I65"/>
      <c r="J65"/>
      <c r="K65"/>
    </row>
    <row r="66" spans="1:11" x14ac:dyDescent="0.25">
      <c r="A66"/>
      <c r="B66"/>
      <c r="C66" t="e">
        <f xml:space="preserve"> MID(A66,SEARCH(":",A66)+2,SEARCH(":",A66,SEARCH(":",A66)+1)-SEARCH(":",A66)-3)</f>
        <v>#VALUE!</v>
      </c>
      <c r="D66" t="e">
        <f>"partner:"&amp;MID(A66,SEARCH(":",A66)+1,SEARCH(":",A66,SEARCH(":",A66)+1)-SEARCH(":",A66)-1)</f>
        <v>#VALUE!</v>
      </c>
      <c r="F66" t="str">
        <f>IF(Table2[[#This Row],[Notes]]="","",LEFT(Table2[[#This Row],[Notes]],FIND(CHAR(10),Table2[[#This Row],[Notes]]&amp;CHAR(10))-1))</f>
        <v/>
      </c>
      <c r="G66" s="40" t="e">
        <f>DATEVALUE(SUBSTITUTE(LEFT(F66,SEARCH(" ",F66)-1),".","/"))</f>
        <v>#VALUE!</v>
      </c>
      <c r="I66"/>
      <c r="J66"/>
      <c r="K66"/>
    </row>
    <row r="67" spans="1:11" x14ac:dyDescent="0.25">
      <c r="A67"/>
      <c r="B67"/>
      <c r="C67" t="e">
        <f xml:space="preserve"> MID(A67,SEARCH(":",A67)+2,SEARCH(":",A67,SEARCH(":",A67)+1)-SEARCH(":",A67)-3)</f>
        <v>#VALUE!</v>
      </c>
      <c r="D67" t="e">
        <f>"partner:"&amp;MID(A67,SEARCH(":",A67)+1,SEARCH(":",A67,SEARCH(":",A67)+1)-SEARCH(":",A67)-1)</f>
        <v>#VALUE!</v>
      </c>
      <c r="F67" t="str">
        <f>IF(Table2[[#This Row],[Notes]]="","",LEFT(Table2[[#This Row],[Notes]],FIND(CHAR(10),Table2[[#This Row],[Notes]]&amp;CHAR(10))-1))</f>
        <v/>
      </c>
      <c r="G67" s="40" t="e">
        <f>DATEVALUE(SUBSTITUTE(LEFT(F67,SEARCH(" ",F67)-1),".","/"))</f>
        <v>#VALUE!</v>
      </c>
      <c r="I67"/>
      <c r="J67"/>
      <c r="K67"/>
    </row>
    <row r="68" spans="1:11" x14ac:dyDescent="0.25">
      <c r="A68"/>
      <c r="B68"/>
      <c r="C68" t="e">
        <f xml:space="preserve"> MID(A68,SEARCH(":",A68)+2,SEARCH(":",A68,SEARCH(":",A68)+1)-SEARCH(":",A68)-3)</f>
        <v>#VALUE!</v>
      </c>
      <c r="D68" t="e">
        <f>"partner:"&amp;MID(A68,SEARCH(":",A68)+1,SEARCH(":",A68,SEARCH(":",A68)+1)-SEARCH(":",A68)-1)</f>
        <v>#VALUE!</v>
      </c>
      <c r="F68" t="str">
        <f>IF(Table2[[#This Row],[Notes]]="","",LEFT(Table2[[#This Row],[Notes]],FIND(CHAR(10),Table2[[#This Row],[Notes]]&amp;CHAR(10))-1))</f>
        <v/>
      </c>
      <c r="G68" s="40" t="e">
        <f>DATEVALUE(SUBSTITUTE(LEFT(F68,SEARCH(" ",F68)-1),".","/"))</f>
        <v>#VALUE!</v>
      </c>
      <c r="I68"/>
      <c r="J68"/>
      <c r="K68"/>
    </row>
    <row r="69" spans="1:11" x14ac:dyDescent="0.25">
      <c r="A69"/>
      <c r="B69"/>
      <c r="C69" t="e">
        <f xml:space="preserve"> MID(A69,SEARCH(":",A69)+2,SEARCH(":",A69,SEARCH(":",A69)+1)-SEARCH(":",A69)-3)</f>
        <v>#VALUE!</v>
      </c>
      <c r="D69" t="e">
        <f>"partner:"&amp;MID(A69,SEARCH(":",A69)+1,SEARCH(":",A69,SEARCH(":",A69)+1)-SEARCH(":",A69)-1)</f>
        <v>#VALUE!</v>
      </c>
      <c r="F69" t="str">
        <f>IF(Table2[[#This Row],[Notes]]="","",LEFT(Table2[[#This Row],[Notes]],FIND(CHAR(10),Table2[[#This Row],[Notes]]&amp;CHAR(10))-1))</f>
        <v/>
      </c>
      <c r="G69" s="40" t="e">
        <f>DATEVALUE(SUBSTITUTE(LEFT(F69,SEARCH(" ",F69)-1),".","/"))</f>
        <v>#VALUE!</v>
      </c>
      <c r="I69"/>
      <c r="J69"/>
      <c r="K69"/>
    </row>
    <row r="70" spans="1:11" x14ac:dyDescent="0.25">
      <c r="A70"/>
      <c r="B70"/>
      <c r="C70" t="e">
        <f xml:space="preserve"> MID(A70,SEARCH(":",A70)+2,SEARCH(":",A70,SEARCH(":",A70)+1)-SEARCH(":",A70)-3)</f>
        <v>#VALUE!</v>
      </c>
      <c r="D70" t="e">
        <f>"partner:"&amp;MID(A70,SEARCH(":",A70)+1,SEARCH(":",A70,SEARCH(":",A70)+1)-SEARCH(":",A70)-1)</f>
        <v>#VALUE!</v>
      </c>
      <c r="F70" t="str">
        <f>IF(Table2[[#This Row],[Notes]]="","",LEFT(Table2[[#This Row],[Notes]],FIND(CHAR(10),Table2[[#This Row],[Notes]]&amp;CHAR(10))-1))</f>
        <v/>
      </c>
      <c r="G70" s="40" t="e">
        <f>DATEVALUE(SUBSTITUTE(LEFT(F70,SEARCH(" ",F70)-1),".","/"))</f>
        <v>#VALUE!</v>
      </c>
      <c r="I70"/>
      <c r="J70"/>
      <c r="K70"/>
    </row>
    <row r="71" spans="1:11" x14ac:dyDescent="0.25">
      <c r="A71"/>
      <c r="B71"/>
      <c r="C71" t="e">
        <f xml:space="preserve"> MID(A71,SEARCH(":",A71)+2,SEARCH(":",A71,SEARCH(":",A71)+1)-SEARCH(":",A71)-3)</f>
        <v>#VALUE!</v>
      </c>
      <c r="D71" t="e">
        <f>"partner:"&amp;MID(A71,SEARCH(":",A71)+1,SEARCH(":",A71,SEARCH(":",A71)+1)-SEARCH(":",A71)-1)</f>
        <v>#VALUE!</v>
      </c>
      <c r="F71" t="str">
        <f>IF(Table2[[#This Row],[Notes]]="","",LEFT(Table2[[#This Row],[Notes]],FIND(CHAR(10),Table2[[#This Row],[Notes]]&amp;CHAR(10))-1))</f>
        <v/>
      </c>
      <c r="G71" s="40" t="e">
        <f>DATEVALUE(SUBSTITUTE(LEFT(F71,SEARCH(" ",F71)-1),".","/"))</f>
        <v>#VALUE!</v>
      </c>
      <c r="I71"/>
      <c r="J71"/>
      <c r="K71"/>
    </row>
    <row r="72" spans="1:11" x14ac:dyDescent="0.25">
      <c r="A72"/>
      <c r="B72"/>
      <c r="C72" t="e">
        <f xml:space="preserve"> MID(A72,SEARCH(":",A72)+2,SEARCH(":",A72,SEARCH(":",A72)+1)-SEARCH(":",A72)-3)</f>
        <v>#VALUE!</v>
      </c>
      <c r="D72" t="e">
        <f>"partner:"&amp;MID(A72,SEARCH(":",A72)+1,SEARCH(":",A72,SEARCH(":",A72)+1)-SEARCH(":",A72)-1)</f>
        <v>#VALUE!</v>
      </c>
      <c r="F72" t="str">
        <f>IF(Table2[[#This Row],[Notes]]="","",LEFT(Table2[[#This Row],[Notes]],FIND(CHAR(10),Table2[[#This Row],[Notes]]&amp;CHAR(10))-1))</f>
        <v/>
      </c>
      <c r="G72" s="40" t="e">
        <f>DATEVALUE(SUBSTITUTE(LEFT(F72,SEARCH(" ",F72)-1),".","/"))</f>
        <v>#VALUE!</v>
      </c>
      <c r="I72"/>
      <c r="J72"/>
      <c r="K72"/>
    </row>
    <row r="73" spans="1:11" x14ac:dyDescent="0.25">
      <c r="A73"/>
      <c r="B73"/>
      <c r="C73" t="e">
        <f xml:space="preserve"> MID(A73,SEARCH(":",A73)+2,SEARCH(":",A73,SEARCH(":",A73)+1)-SEARCH(":",A73)-3)</f>
        <v>#VALUE!</v>
      </c>
      <c r="D73" t="e">
        <f>"partner:"&amp;MID(A73,SEARCH(":",A73)+1,SEARCH(":",A73,SEARCH(":",A73)+1)-SEARCH(":",A73)-1)</f>
        <v>#VALUE!</v>
      </c>
      <c r="F73" t="str">
        <f>IF(Table2[[#This Row],[Notes]]="","",LEFT(Table2[[#This Row],[Notes]],FIND(CHAR(10),Table2[[#This Row],[Notes]]&amp;CHAR(10))-1))</f>
        <v/>
      </c>
      <c r="G73" s="40" t="e">
        <f>DATEVALUE(SUBSTITUTE(LEFT(F73,SEARCH(" ",F73)-1),".","/"))</f>
        <v>#VALUE!</v>
      </c>
      <c r="I73"/>
      <c r="J73"/>
      <c r="K73"/>
    </row>
    <row r="74" spans="1:11" x14ac:dyDescent="0.25">
      <c r="A74"/>
      <c r="B74"/>
      <c r="C74" t="e">
        <f xml:space="preserve"> MID(A74,SEARCH(":",A74)+2,SEARCH(":",A74,SEARCH(":",A74)+1)-SEARCH(":",A74)-3)</f>
        <v>#VALUE!</v>
      </c>
      <c r="D74" t="e">
        <f>"partner:"&amp;MID(A74,SEARCH(":",A74)+1,SEARCH(":",A74,SEARCH(":",A74)+1)-SEARCH(":",A74)-1)</f>
        <v>#VALUE!</v>
      </c>
      <c r="F74" t="str">
        <f>IF(Table2[[#This Row],[Notes]]="","",LEFT(Table2[[#This Row],[Notes]],FIND(CHAR(10),Table2[[#This Row],[Notes]]&amp;CHAR(10))-1))</f>
        <v/>
      </c>
      <c r="G74" s="40" t="e">
        <f>DATEVALUE(SUBSTITUTE(LEFT(F74,SEARCH(" ",F74)-1),".","/"))</f>
        <v>#VALUE!</v>
      </c>
      <c r="I74"/>
      <c r="J74"/>
      <c r="K74"/>
    </row>
    <row r="75" spans="1:11" x14ac:dyDescent="0.25">
      <c r="A75"/>
      <c r="B75"/>
      <c r="C75" t="e">
        <f xml:space="preserve"> MID(A75,SEARCH(":",A75)+2,SEARCH(":",A75,SEARCH(":",A75)+1)-SEARCH(":",A75)-3)</f>
        <v>#VALUE!</v>
      </c>
      <c r="D75" t="e">
        <f>"partner:"&amp;MID(A75,SEARCH(":",A75)+1,SEARCH(":",A75,SEARCH(":",A75)+1)-SEARCH(":",A75)-1)</f>
        <v>#VALUE!</v>
      </c>
      <c r="F75" t="str">
        <f>IF(Table2[[#This Row],[Notes]]="","",LEFT(Table2[[#This Row],[Notes]],FIND(CHAR(10),Table2[[#This Row],[Notes]]&amp;CHAR(10))-1))</f>
        <v/>
      </c>
      <c r="G75" s="40" t="e">
        <f>DATEVALUE(SUBSTITUTE(LEFT(F75,SEARCH(" ",F75)-1),".","/"))</f>
        <v>#VALUE!</v>
      </c>
      <c r="I75"/>
      <c r="J75"/>
      <c r="K75"/>
    </row>
    <row r="76" spans="1:11" x14ac:dyDescent="0.25">
      <c r="A76"/>
      <c r="B76"/>
      <c r="C76" t="e">
        <f xml:space="preserve"> MID(A76,SEARCH(":",A76)+2,SEARCH(":",A76,SEARCH(":",A76)+1)-SEARCH(":",A76)-3)</f>
        <v>#VALUE!</v>
      </c>
      <c r="D76" t="e">
        <f>"partner:"&amp;MID(A76,SEARCH(":",A76)+1,SEARCH(":",A76,SEARCH(":",A76)+1)-SEARCH(":",A76)-1)</f>
        <v>#VALUE!</v>
      </c>
      <c r="F76" t="str">
        <f>IF(Table2[[#This Row],[Notes]]="","",LEFT(Table2[[#This Row],[Notes]],FIND(CHAR(10),Table2[[#This Row],[Notes]]&amp;CHAR(10))-1))</f>
        <v/>
      </c>
      <c r="G76" s="40" t="e">
        <f>DATEVALUE(SUBSTITUTE(LEFT(F76,SEARCH(" ",F76)-1),".","/"))</f>
        <v>#VALUE!</v>
      </c>
      <c r="I76"/>
      <c r="J76"/>
      <c r="K76"/>
    </row>
    <row r="77" spans="1:11" x14ac:dyDescent="0.25">
      <c r="A77"/>
      <c r="B77"/>
      <c r="C77" t="e">
        <f xml:space="preserve"> MID(A77,SEARCH(":",A77)+2,SEARCH(":",A77,SEARCH(":",A77)+1)-SEARCH(":",A77)-3)</f>
        <v>#VALUE!</v>
      </c>
      <c r="D77" t="e">
        <f>"partner:"&amp;MID(A77,SEARCH(":",A77)+1,SEARCH(":",A77,SEARCH(":",A77)+1)-SEARCH(":",A77)-1)</f>
        <v>#VALUE!</v>
      </c>
      <c r="F77" t="str">
        <f>IF(Table2[[#This Row],[Notes]]="","",LEFT(Table2[[#This Row],[Notes]],FIND(CHAR(10),Table2[[#This Row],[Notes]]&amp;CHAR(10))-1))</f>
        <v/>
      </c>
      <c r="G77" s="40" t="e">
        <f>DATEVALUE(SUBSTITUTE(LEFT(F77,SEARCH(" ",F77)-1),".","/"))</f>
        <v>#VALUE!</v>
      </c>
      <c r="I77"/>
      <c r="J77"/>
      <c r="K77"/>
    </row>
    <row r="78" spans="1:11" x14ac:dyDescent="0.25">
      <c r="A78"/>
      <c r="B78"/>
      <c r="C78" t="e">
        <f xml:space="preserve"> MID(A78,SEARCH(":",A78)+2,SEARCH(":",A78,SEARCH(":",A78)+1)-SEARCH(":",A78)-3)</f>
        <v>#VALUE!</v>
      </c>
      <c r="D78" t="e">
        <f>"partner:"&amp;MID(A78,SEARCH(":",A78)+1,SEARCH(":",A78,SEARCH(":",A78)+1)-SEARCH(":",A78)-1)</f>
        <v>#VALUE!</v>
      </c>
      <c r="F78" t="str">
        <f>IF(Table2[[#This Row],[Notes]]="","",LEFT(Table2[[#This Row],[Notes]],FIND(CHAR(10),Table2[[#This Row],[Notes]]&amp;CHAR(10))-1))</f>
        <v/>
      </c>
      <c r="G78" s="40" t="e">
        <f>DATEVALUE(SUBSTITUTE(LEFT(F78,SEARCH(" ",F78)-1),".","/"))</f>
        <v>#VALUE!</v>
      </c>
      <c r="I78"/>
      <c r="J78"/>
      <c r="K78"/>
    </row>
    <row r="79" spans="1:11" x14ac:dyDescent="0.25">
      <c r="A79"/>
      <c r="B79"/>
      <c r="C79" t="e">
        <f xml:space="preserve"> MID(A79,SEARCH(":",A79)+2,SEARCH(":",A79,SEARCH(":",A79)+1)-SEARCH(":",A79)-3)</f>
        <v>#VALUE!</v>
      </c>
      <c r="D79" t="e">
        <f>"partner:"&amp;MID(A79,SEARCH(":",A79)+1,SEARCH(":",A79,SEARCH(":",A79)+1)-SEARCH(":",A79)-1)</f>
        <v>#VALUE!</v>
      </c>
      <c r="F79" t="str">
        <f>IF(Table2[[#This Row],[Notes]]="","",LEFT(Table2[[#This Row],[Notes]],FIND(CHAR(10),Table2[[#This Row],[Notes]]&amp;CHAR(10))-1))</f>
        <v/>
      </c>
      <c r="G79" s="40" t="e">
        <f>DATEVALUE(SUBSTITUTE(LEFT(F79,SEARCH(" ",F79)-1),".","/"))</f>
        <v>#VALUE!</v>
      </c>
      <c r="I79"/>
      <c r="J79"/>
      <c r="K79"/>
    </row>
    <row r="80" spans="1:11" x14ac:dyDescent="0.25">
      <c r="A80"/>
      <c r="B80"/>
      <c r="C80" t="e">
        <f xml:space="preserve"> MID(A80,SEARCH(":",A80)+2,SEARCH(":",A80,SEARCH(":",A80)+1)-SEARCH(":",A80)-3)</f>
        <v>#VALUE!</v>
      </c>
      <c r="D80" t="e">
        <f>"partner:"&amp;MID(A80,SEARCH(":",A80)+1,SEARCH(":",A80,SEARCH(":",A80)+1)-SEARCH(":",A80)-1)</f>
        <v>#VALUE!</v>
      </c>
      <c r="F80" t="str">
        <f>IF(Table2[[#This Row],[Notes]]="","",LEFT(Table2[[#This Row],[Notes]],FIND(CHAR(10),Table2[[#This Row],[Notes]]&amp;CHAR(10))-1))</f>
        <v/>
      </c>
      <c r="G80" s="40" t="e">
        <f>DATEVALUE(SUBSTITUTE(LEFT(F80,SEARCH(" ",F80)-1),".","/"))</f>
        <v>#VALUE!</v>
      </c>
      <c r="I80"/>
      <c r="J80"/>
      <c r="K80"/>
    </row>
    <row r="81" spans="1:11" x14ac:dyDescent="0.25">
      <c r="A81"/>
      <c r="B81"/>
      <c r="C81" t="e">
        <f xml:space="preserve"> MID(A81,SEARCH(":",A81)+2,SEARCH(":",A81,SEARCH(":",A81)+1)-SEARCH(":",A81)-3)</f>
        <v>#VALUE!</v>
      </c>
      <c r="D81" t="e">
        <f>"partner:"&amp;MID(A81,SEARCH(":",A81)+1,SEARCH(":",A81,SEARCH(":",A81)+1)-SEARCH(":",A81)-1)</f>
        <v>#VALUE!</v>
      </c>
      <c r="F81" t="str">
        <f>IF(Table2[[#This Row],[Notes]]="","",LEFT(Table2[[#This Row],[Notes]],FIND(CHAR(10),Table2[[#This Row],[Notes]]&amp;CHAR(10))-1))</f>
        <v/>
      </c>
      <c r="G81" s="40" t="e">
        <f>DATEVALUE(SUBSTITUTE(LEFT(F81,SEARCH(" ",F81)-1),".","/"))</f>
        <v>#VALUE!</v>
      </c>
      <c r="I81"/>
      <c r="J81"/>
      <c r="K81"/>
    </row>
    <row r="82" spans="1:11" x14ac:dyDescent="0.25">
      <c r="A82"/>
      <c r="B82"/>
      <c r="C82" t="e">
        <f xml:space="preserve"> MID(A82,SEARCH(":",A82)+2,SEARCH(":",A82,SEARCH(":",A82)+1)-SEARCH(":",A82)-3)</f>
        <v>#VALUE!</v>
      </c>
      <c r="D82" t="e">
        <f>"partner:"&amp;MID(A82,SEARCH(":",A82)+1,SEARCH(":",A82,SEARCH(":",A82)+1)-SEARCH(":",A82)-1)</f>
        <v>#VALUE!</v>
      </c>
      <c r="F82" t="str">
        <f>IF(Table2[[#This Row],[Notes]]="","",LEFT(Table2[[#This Row],[Notes]],FIND(CHAR(10),Table2[[#This Row],[Notes]]&amp;CHAR(10))-1))</f>
        <v/>
      </c>
      <c r="G82" s="40" t="e">
        <f>DATEVALUE(SUBSTITUTE(LEFT(F82,SEARCH(" ",F82)-1),".","/"))</f>
        <v>#VALUE!</v>
      </c>
      <c r="I82"/>
      <c r="J82"/>
      <c r="K82"/>
    </row>
    <row r="83" spans="1:11" x14ac:dyDescent="0.25">
      <c r="A83"/>
      <c r="B83"/>
      <c r="C83" t="e">
        <f xml:space="preserve"> MID(A83,SEARCH(":",A83)+2,SEARCH(":",A83,SEARCH(":",A83)+1)-SEARCH(":",A83)-3)</f>
        <v>#VALUE!</v>
      </c>
      <c r="D83" t="e">
        <f>"partner:"&amp;MID(A83,SEARCH(":",A83)+1,SEARCH(":",A83,SEARCH(":",A83)+1)-SEARCH(":",A83)-1)</f>
        <v>#VALUE!</v>
      </c>
      <c r="F83" t="str">
        <f>IF(Table2[[#This Row],[Notes]]="","",LEFT(Table2[[#This Row],[Notes]],FIND(CHAR(10),Table2[[#This Row],[Notes]]&amp;CHAR(10))-1))</f>
        <v/>
      </c>
      <c r="G83" s="40" t="e">
        <f>DATEVALUE(SUBSTITUTE(LEFT(F83,SEARCH(" ",F83)-1),".","/"))</f>
        <v>#VALUE!</v>
      </c>
      <c r="I83"/>
      <c r="J83"/>
      <c r="K83"/>
    </row>
    <row r="84" spans="1:11" x14ac:dyDescent="0.25">
      <c r="A84"/>
      <c r="B84"/>
      <c r="C84" t="e">
        <f xml:space="preserve"> MID(A84,SEARCH(":",A84)+2,SEARCH(":",A84,SEARCH(":",A84)+1)-SEARCH(":",A84)-3)</f>
        <v>#VALUE!</v>
      </c>
      <c r="D84" t="e">
        <f>"partner:"&amp;MID(A84,SEARCH(":",A84)+1,SEARCH(":",A84,SEARCH(":",A84)+1)-SEARCH(":",A84)-1)</f>
        <v>#VALUE!</v>
      </c>
      <c r="F84" t="str">
        <f>IF(Table2[[#This Row],[Notes]]="","",LEFT(Table2[[#This Row],[Notes]],FIND(CHAR(10),Table2[[#This Row],[Notes]]&amp;CHAR(10))-1))</f>
        <v/>
      </c>
      <c r="G84" s="40" t="e">
        <f>DATEVALUE(SUBSTITUTE(LEFT(F84,SEARCH(" ",F84)-1),".","/"))</f>
        <v>#VALUE!</v>
      </c>
      <c r="I84"/>
      <c r="J84"/>
      <c r="K84"/>
    </row>
    <row r="85" spans="1:11" x14ac:dyDescent="0.25">
      <c r="A85"/>
      <c r="B85"/>
      <c r="C85" t="e">
        <f xml:space="preserve"> MID(A85,SEARCH(":",A85)+2,SEARCH(":",A85,SEARCH(":",A85)+1)-SEARCH(":",A85)-3)</f>
        <v>#VALUE!</v>
      </c>
      <c r="D85" t="e">
        <f>"partner:"&amp;MID(A85,SEARCH(":",A85)+1,SEARCH(":",A85,SEARCH(":",A85)+1)-SEARCH(":",A85)-1)</f>
        <v>#VALUE!</v>
      </c>
      <c r="F85" t="str">
        <f>IF(Table2[[#This Row],[Notes]]="","",LEFT(Table2[[#This Row],[Notes]],FIND(CHAR(10),Table2[[#This Row],[Notes]]&amp;CHAR(10))-1))</f>
        <v/>
      </c>
      <c r="G85" s="40" t="e">
        <f>DATEVALUE(SUBSTITUTE(LEFT(F85,SEARCH(" ",F85)-1),".","/"))</f>
        <v>#VALUE!</v>
      </c>
      <c r="I85"/>
      <c r="J85"/>
      <c r="K85"/>
    </row>
    <row r="86" spans="1:11" x14ac:dyDescent="0.25">
      <c r="A86"/>
      <c r="B86"/>
      <c r="C86" t="e">
        <f xml:space="preserve"> MID(A86,SEARCH(":",A86)+2,SEARCH(":",A86,SEARCH(":",A86)+1)-SEARCH(":",A86)-3)</f>
        <v>#VALUE!</v>
      </c>
      <c r="D86" t="e">
        <f>"partner:"&amp;MID(A86,SEARCH(":",A86)+1,SEARCH(":",A86,SEARCH(":",A86)+1)-SEARCH(":",A86)-1)</f>
        <v>#VALUE!</v>
      </c>
      <c r="F86" t="str">
        <f>IF(Table2[[#This Row],[Notes]]="","",LEFT(Table2[[#This Row],[Notes]],FIND(CHAR(10),Table2[[#This Row],[Notes]]&amp;CHAR(10))-1))</f>
        <v/>
      </c>
      <c r="G86" s="40" t="e">
        <f>DATEVALUE(SUBSTITUTE(LEFT(F86,SEARCH(" ",F86)-1),".","/"))</f>
        <v>#VALUE!</v>
      </c>
      <c r="I86"/>
      <c r="J86"/>
      <c r="K86"/>
    </row>
    <row r="87" spans="1:11" x14ac:dyDescent="0.25">
      <c r="A87"/>
      <c r="B87"/>
      <c r="C87" t="e">
        <f xml:space="preserve"> MID(A87,SEARCH(":",A87)+2,SEARCH(":",A87,SEARCH(":",A87)+1)-SEARCH(":",A87)-3)</f>
        <v>#VALUE!</v>
      </c>
      <c r="D87" t="e">
        <f>"partner:"&amp;MID(A87,SEARCH(":",A87)+1,SEARCH(":",A87,SEARCH(":",A87)+1)-SEARCH(":",A87)-1)</f>
        <v>#VALUE!</v>
      </c>
      <c r="F87" t="str">
        <f>IF(Table2[[#This Row],[Notes]]="","",LEFT(Table2[[#This Row],[Notes]],FIND(CHAR(10),Table2[[#This Row],[Notes]]&amp;CHAR(10))-1))</f>
        <v/>
      </c>
      <c r="G87" s="40" t="e">
        <f>DATEVALUE(SUBSTITUTE(LEFT(F87,SEARCH(" ",F87)-1),".","/"))</f>
        <v>#VALUE!</v>
      </c>
      <c r="I87"/>
      <c r="J87"/>
      <c r="K87"/>
    </row>
    <row r="88" spans="1:11" x14ac:dyDescent="0.25">
      <c r="A88"/>
      <c r="B88"/>
      <c r="C88" t="e">
        <f xml:space="preserve"> MID(A88,SEARCH(":",A88)+2,SEARCH(":",A88,SEARCH(":",A88)+1)-SEARCH(":",A88)-3)</f>
        <v>#VALUE!</v>
      </c>
      <c r="D88" t="e">
        <f>"partner:"&amp;MID(A88,SEARCH(":",A88)+1,SEARCH(":",A88,SEARCH(":",A88)+1)-SEARCH(":",A88)-1)</f>
        <v>#VALUE!</v>
      </c>
      <c r="F88" t="str">
        <f>IF(Table2[[#This Row],[Notes]]="","",LEFT(Table2[[#This Row],[Notes]],FIND(CHAR(10),Table2[[#This Row],[Notes]]&amp;CHAR(10))-1))</f>
        <v/>
      </c>
      <c r="G88" s="40" t="e">
        <f>DATEVALUE(SUBSTITUTE(LEFT(F88,SEARCH(" ",F88)-1),".","/"))</f>
        <v>#VALUE!</v>
      </c>
      <c r="I88"/>
      <c r="J88"/>
      <c r="K88"/>
    </row>
    <row r="89" spans="1:11" x14ac:dyDescent="0.25">
      <c r="A89"/>
      <c r="B89"/>
      <c r="C89" t="e">
        <f xml:space="preserve"> MID(A89,SEARCH(":",A89)+2,SEARCH(":",A89,SEARCH(":",A89)+1)-SEARCH(":",A89)-3)</f>
        <v>#VALUE!</v>
      </c>
      <c r="D89" t="e">
        <f>"partner:"&amp;MID(A89,SEARCH(":",A89)+1,SEARCH(":",A89,SEARCH(":",A89)+1)-SEARCH(":",A89)-1)</f>
        <v>#VALUE!</v>
      </c>
      <c r="F89" t="str">
        <f>IF(Table2[[#This Row],[Notes]]="","",LEFT(Table2[[#This Row],[Notes]],FIND(CHAR(10),Table2[[#This Row],[Notes]]&amp;CHAR(10))-1))</f>
        <v/>
      </c>
      <c r="G89" s="40" t="e">
        <f>DATEVALUE(SUBSTITUTE(LEFT(F89,SEARCH(" ",F89)-1),".","/"))</f>
        <v>#VALUE!</v>
      </c>
      <c r="I89"/>
      <c r="J89"/>
      <c r="K89"/>
    </row>
    <row r="90" spans="1:11" x14ac:dyDescent="0.25">
      <c r="A90"/>
      <c r="B90"/>
      <c r="C90" t="e">
        <f xml:space="preserve"> MID(A90,SEARCH(":",A90)+2,SEARCH(":",A90,SEARCH(":",A90)+1)-SEARCH(":",A90)-3)</f>
        <v>#VALUE!</v>
      </c>
      <c r="D90" t="e">
        <f>"partner:"&amp;MID(A90,SEARCH(":",A90)+1,SEARCH(":",A90,SEARCH(":",A90)+1)-SEARCH(":",A90)-1)</f>
        <v>#VALUE!</v>
      </c>
      <c r="F90" t="str">
        <f>IF(Table2[[#This Row],[Notes]]="","",LEFT(Table2[[#This Row],[Notes]],FIND(CHAR(10),Table2[[#This Row],[Notes]]&amp;CHAR(10))-1))</f>
        <v/>
      </c>
      <c r="G90" s="40" t="e">
        <f>DATEVALUE(SUBSTITUTE(LEFT(F90,SEARCH(" ",F90)-1),".","/"))</f>
        <v>#VALUE!</v>
      </c>
      <c r="I90"/>
      <c r="J90"/>
      <c r="K90"/>
    </row>
    <row r="91" spans="1:11" x14ac:dyDescent="0.25">
      <c r="A91"/>
      <c r="B91"/>
      <c r="C91" t="e">
        <f xml:space="preserve"> MID(A91,SEARCH(":",A91)+2,SEARCH(":",A91,SEARCH(":",A91)+1)-SEARCH(":",A91)-3)</f>
        <v>#VALUE!</v>
      </c>
      <c r="D91" t="e">
        <f>"partner:"&amp;MID(A91,SEARCH(":",A91)+1,SEARCH(":",A91,SEARCH(":",A91)+1)-SEARCH(":",A91)-1)</f>
        <v>#VALUE!</v>
      </c>
      <c r="F91" t="str">
        <f>IF(Table2[[#This Row],[Notes]]="","",LEFT(Table2[[#This Row],[Notes]],FIND(CHAR(10),Table2[[#This Row],[Notes]]&amp;CHAR(10))-1))</f>
        <v/>
      </c>
      <c r="G91" s="40" t="e">
        <f>DATEVALUE(SUBSTITUTE(LEFT(F91,SEARCH(" ",F91)-1),".","/"))</f>
        <v>#VALUE!</v>
      </c>
      <c r="I91"/>
      <c r="J91"/>
      <c r="K91"/>
    </row>
    <row r="92" spans="1:11" x14ac:dyDescent="0.25">
      <c r="A92"/>
      <c r="B92"/>
      <c r="C92" t="e">
        <f xml:space="preserve"> MID(A92,SEARCH(":",A92)+2,SEARCH(":",A92,SEARCH(":",A92)+1)-SEARCH(":",A92)-3)</f>
        <v>#VALUE!</v>
      </c>
      <c r="D92" t="e">
        <f>"partner:"&amp;MID(A92,SEARCH(":",A92)+1,SEARCH(":",A92,SEARCH(":",A92)+1)-SEARCH(":",A92)-1)</f>
        <v>#VALUE!</v>
      </c>
      <c r="F92" t="str">
        <f>IF(Table2[[#This Row],[Notes]]="","",LEFT(Table2[[#This Row],[Notes]],FIND(CHAR(10),Table2[[#This Row],[Notes]]&amp;CHAR(10))-1))</f>
        <v/>
      </c>
      <c r="G92" s="40" t="e">
        <f>DATEVALUE(SUBSTITUTE(LEFT(F92,SEARCH(" ",F92)-1),".","/"))</f>
        <v>#VALUE!</v>
      </c>
      <c r="I92"/>
      <c r="J92"/>
      <c r="K92"/>
    </row>
    <row r="93" spans="1:11" x14ac:dyDescent="0.25">
      <c r="A93"/>
      <c r="B93"/>
      <c r="C93" t="e">
        <f xml:space="preserve"> MID(A93,SEARCH(":",A93)+2,SEARCH(":",A93,SEARCH(":",A93)+1)-SEARCH(":",A93)-3)</f>
        <v>#VALUE!</v>
      </c>
      <c r="D93" t="e">
        <f>"partner:"&amp;MID(A93,SEARCH(":",A93)+1,SEARCH(":",A93,SEARCH(":",A93)+1)-SEARCH(":",A93)-1)</f>
        <v>#VALUE!</v>
      </c>
      <c r="F93" t="str">
        <f>IF(Table2[[#This Row],[Notes]]="","",LEFT(Table2[[#This Row],[Notes]],FIND(CHAR(10),Table2[[#This Row],[Notes]]&amp;CHAR(10))-1))</f>
        <v/>
      </c>
      <c r="G93" s="40" t="e">
        <f>DATEVALUE(SUBSTITUTE(LEFT(F93,SEARCH(" ",F93)-1),".","/"))</f>
        <v>#VALUE!</v>
      </c>
      <c r="I93"/>
      <c r="J93"/>
      <c r="K93"/>
    </row>
    <row r="94" spans="1:11" x14ac:dyDescent="0.25">
      <c r="A94"/>
      <c r="B94"/>
      <c r="C94" t="e">
        <f xml:space="preserve"> MID(A94,SEARCH(":",A94)+2,SEARCH(":",A94,SEARCH(":",A94)+1)-SEARCH(":",A94)-3)</f>
        <v>#VALUE!</v>
      </c>
      <c r="D94" t="e">
        <f>"partner:"&amp;MID(A94,SEARCH(":",A94)+1,SEARCH(":",A94,SEARCH(":",A94)+1)-SEARCH(":",A94)-1)</f>
        <v>#VALUE!</v>
      </c>
      <c r="F94" t="str">
        <f>IF(Table2[[#This Row],[Notes]]="","",LEFT(Table2[[#This Row],[Notes]],FIND(CHAR(10),Table2[[#This Row],[Notes]]&amp;CHAR(10))-1))</f>
        <v/>
      </c>
      <c r="G94" s="40" t="e">
        <f>DATEVALUE(SUBSTITUTE(LEFT(F94,SEARCH(" ",F94)-1),".","/"))</f>
        <v>#VALUE!</v>
      </c>
      <c r="I94"/>
      <c r="J94"/>
      <c r="K94"/>
    </row>
    <row r="95" spans="1:11" x14ac:dyDescent="0.25">
      <c r="A95"/>
      <c r="B95"/>
      <c r="C95" t="e">
        <f xml:space="preserve"> MID(A95,SEARCH(":",A95)+2,SEARCH(":",A95,SEARCH(":",A95)+1)-SEARCH(":",A95)-3)</f>
        <v>#VALUE!</v>
      </c>
      <c r="D95" t="e">
        <f>"partner:"&amp;MID(A95,SEARCH(":",A95)+1,SEARCH(":",A95,SEARCH(":",A95)+1)-SEARCH(":",A95)-1)</f>
        <v>#VALUE!</v>
      </c>
      <c r="F95" t="str">
        <f>IF(Table2[[#This Row],[Notes]]="","",LEFT(Table2[[#This Row],[Notes]],FIND(CHAR(10),Table2[[#This Row],[Notes]]&amp;CHAR(10))-1))</f>
        <v/>
      </c>
      <c r="G95" s="40" t="e">
        <f>DATEVALUE(SUBSTITUTE(LEFT(F95,SEARCH(" ",F95)-1),".","/"))</f>
        <v>#VALUE!</v>
      </c>
      <c r="I95"/>
      <c r="J95"/>
      <c r="K95"/>
    </row>
    <row r="96" spans="1:11" x14ac:dyDescent="0.25">
      <c r="A96"/>
      <c r="B96"/>
      <c r="C96" t="e">
        <f xml:space="preserve"> MID(A96,SEARCH(":",A96)+2,SEARCH(":",A96,SEARCH(":",A96)+1)-SEARCH(":",A96)-3)</f>
        <v>#VALUE!</v>
      </c>
      <c r="D96" t="e">
        <f>"partner:"&amp;MID(A96,SEARCH(":",A96)+1,SEARCH(":",A96,SEARCH(":",A96)+1)-SEARCH(":",A96)-1)</f>
        <v>#VALUE!</v>
      </c>
      <c r="F96" t="str">
        <f>IF(Table2[[#This Row],[Notes]]="","",LEFT(Table2[[#This Row],[Notes]],FIND(CHAR(10),Table2[[#This Row],[Notes]]&amp;CHAR(10))-1))</f>
        <v/>
      </c>
      <c r="G96" s="40" t="e">
        <f>DATEVALUE(SUBSTITUTE(LEFT(F96,SEARCH(" ",F96)-1),".","/"))</f>
        <v>#VALUE!</v>
      </c>
      <c r="I96"/>
      <c r="J96"/>
      <c r="K96"/>
    </row>
    <row r="97" spans="1:11" x14ac:dyDescent="0.25">
      <c r="A97"/>
      <c r="B97"/>
      <c r="C97" t="e">
        <f xml:space="preserve"> MID(A97,SEARCH(":",A97)+2,SEARCH(":",A97,SEARCH(":",A97)+1)-SEARCH(":",A97)-3)</f>
        <v>#VALUE!</v>
      </c>
      <c r="D97" t="e">
        <f>"partner:"&amp;MID(A97,SEARCH(":",A97)+1,SEARCH(":",A97,SEARCH(":",A97)+1)-SEARCH(":",A97)-1)</f>
        <v>#VALUE!</v>
      </c>
      <c r="F97" t="str">
        <f>IF(Table2[[#This Row],[Notes]]="","",LEFT(Table2[[#This Row],[Notes]],FIND(CHAR(10),Table2[[#This Row],[Notes]]&amp;CHAR(10))-1))</f>
        <v/>
      </c>
      <c r="G97" s="40" t="e">
        <f>DATEVALUE(SUBSTITUTE(LEFT(F97,SEARCH(" ",F97)-1),".","/"))</f>
        <v>#VALUE!</v>
      </c>
      <c r="I97"/>
      <c r="J97"/>
      <c r="K97"/>
    </row>
    <row r="98" spans="1:11" x14ac:dyDescent="0.25">
      <c r="A98"/>
      <c r="B98"/>
      <c r="C98" t="e">
        <f xml:space="preserve"> MID(A98,SEARCH(":",A98)+2,SEARCH(":",A98,SEARCH(":",A98)+1)-SEARCH(":",A98)-3)</f>
        <v>#VALUE!</v>
      </c>
      <c r="D98" t="e">
        <f>"partner:"&amp;MID(A98,SEARCH(":",A98)+1,SEARCH(":",A98,SEARCH(":",A98)+1)-SEARCH(":",A98)-1)</f>
        <v>#VALUE!</v>
      </c>
      <c r="F98" t="str">
        <f>IF(Table2[[#This Row],[Notes]]="","",LEFT(Table2[[#This Row],[Notes]],FIND(CHAR(10),Table2[[#This Row],[Notes]]&amp;CHAR(10))-1))</f>
        <v/>
      </c>
      <c r="G98" s="40" t="e">
        <f>DATEVALUE(SUBSTITUTE(LEFT(F98,SEARCH(" ",F98)-1),".","/"))</f>
        <v>#VALUE!</v>
      </c>
      <c r="I98"/>
      <c r="J98"/>
      <c r="K98"/>
    </row>
    <row r="99" spans="1:11" x14ac:dyDescent="0.25">
      <c r="A99"/>
      <c r="B99"/>
      <c r="C99" t="e">
        <f xml:space="preserve"> MID(A99,SEARCH(":",A99)+2,SEARCH(":",A99,SEARCH(":",A99)+1)-SEARCH(":",A99)-3)</f>
        <v>#VALUE!</v>
      </c>
      <c r="D99" t="e">
        <f>"partner:"&amp;MID(A99,SEARCH(":",A99)+1,SEARCH(":",A99,SEARCH(":",A99)+1)-SEARCH(":",A99)-1)</f>
        <v>#VALUE!</v>
      </c>
      <c r="F99" t="str">
        <f>IF(Table2[[#This Row],[Notes]]="","",LEFT(Table2[[#This Row],[Notes]],FIND(CHAR(10),Table2[[#This Row],[Notes]]&amp;CHAR(10))-1))</f>
        <v/>
      </c>
      <c r="G99" s="40" t="e">
        <f>DATEVALUE(SUBSTITUTE(LEFT(F99,SEARCH(" ",F99)-1),".","/"))</f>
        <v>#VALUE!</v>
      </c>
      <c r="I99"/>
      <c r="J99"/>
      <c r="K99"/>
    </row>
    <row r="100" spans="1:11" x14ac:dyDescent="0.25">
      <c r="A100"/>
      <c r="B100"/>
      <c r="C100" t="e">
        <f xml:space="preserve"> MID(A100,SEARCH(":",A100)+2,SEARCH(":",A100,SEARCH(":",A100)+1)-SEARCH(":",A100)-3)</f>
        <v>#VALUE!</v>
      </c>
      <c r="D100" t="e">
        <f>"partner:"&amp;MID(A100,SEARCH(":",A100)+1,SEARCH(":",A100,SEARCH(":",A100)+1)-SEARCH(":",A100)-1)</f>
        <v>#VALUE!</v>
      </c>
      <c r="G100" s="40" t="e">
        <f>DATEVALUE(SUBSTITUTE(LEFT(F100,SEARCH(" ",F100)-1),".","/"))</f>
        <v>#VALUE!</v>
      </c>
      <c r="I100"/>
      <c r="J100"/>
      <c r="K100"/>
    </row>
    <row r="101" spans="1:11" x14ac:dyDescent="0.25">
      <c r="A101"/>
      <c r="B101"/>
      <c r="C101" t="e">
        <f xml:space="preserve"> MID(A101,SEARCH(":",A101)+2,SEARCH(":",A101,SEARCH(":",A101)+1)-SEARCH(":",A101)-3)</f>
        <v>#VALUE!</v>
      </c>
      <c r="D101" t="e">
        <f>"partner:"&amp;MID(A101,SEARCH(":",A101)+1,SEARCH(":",A101,SEARCH(":",A101)+1)-SEARCH(":",A101)-1)</f>
        <v>#VALUE!</v>
      </c>
      <c r="G101" s="40" t="e">
        <f>DATEVALUE(SUBSTITUTE(LEFT(F101,SEARCH(" ",F101)-1),".","/"))</f>
        <v>#VALUE!</v>
      </c>
      <c r="I101"/>
      <c r="J101"/>
      <c r="K101"/>
    </row>
    <row r="102" spans="1:11" x14ac:dyDescent="0.25">
      <c r="A102"/>
      <c r="B102"/>
      <c r="C102" t="e">
        <f xml:space="preserve"> MID(A102,SEARCH(":",A102)+2,SEARCH(":",A102,SEARCH(":",A102)+1)-SEARCH(":",A102)-3)</f>
        <v>#VALUE!</v>
      </c>
      <c r="D102" t="e">
        <f>"partner:"&amp;MID(A102,SEARCH(":",A102)+1,SEARCH(":",A102,SEARCH(":",A102)+1)-SEARCH(":",A102)-1)</f>
        <v>#VALUE!</v>
      </c>
      <c r="G102" s="40" t="e">
        <f>DATEVALUE(SUBSTITUTE(LEFT(F102,SEARCH(" ",F102)-1),".","/"))</f>
        <v>#VALUE!</v>
      </c>
      <c r="I102"/>
      <c r="J102"/>
      <c r="K102"/>
    </row>
    <row r="103" spans="1:11" x14ac:dyDescent="0.25">
      <c r="A103"/>
      <c r="B103"/>
      <c r="C103" t="e">
        <f xml:space="preserve"> MID(A103,SEARCH(":",A103)+2,SEARCH(":",A103,SEARCH(":",A103)+1)-SEARCH(":",A103)-3)</f>
        <v>#VALUE!</v>
      </c>
      <c r="D103" t="e">
        <f>"partner:"&amp;MID(A103,SEARCH(":",A103)+1,SEARCH(":",A103,SEARCH(":",A103)+1)-SEARCH(":",A103)-1)</f>
        <v>#VALUE!</v>
      </c>
      <c r="G103" s="40" t="e">
        <f>DATEVALUE(SUBSTITUTE(LEFT(F103,SEARCH(" ",F103)-1),".","/"))</f>
        <v>#VALUE!</v>
      </c>
      <c r="I103"/>
      <c r="J103"/>
      <c r="K103"/>
    </row>
    <row r="104" spans="1:11" x14ac:dyDescent="0.25">
      <c r="A104"/>
      <c r="B104"/>
      <c r="C104" t="e">
        <f xml:space="preserve"> MID(A104,SEARCH(":",A104)+2,SEARCH(":",A104,SEARCH(":",A104)+1)-SEARCH(":",A104)-3)</f>
        <v>#VALUE!</v>
      </c>
      <c r="D104" t="e">
        <f>"partner:"&amp;MID(A104,SEARCH(":",A104)+1,SEARCH(":",A104,SEARCH(":",A104)+1)-SEARCH(":",A104)-1)</f>
        <v>#VALUE!</v>
      </c>
      <c r="G104" s="40" t="e">
        <f>DATEVALUE(SUBSTITUTE(LEFT(F104,SEARCH(" ",F104)-1),".","/"))</f>
        <v>#VALUE!</v>
      </c>
      <c r="I104"/>
      <c r="J104"/>
      <c r="K104"/>
    </row>
    <row r="105" spans="1:11" x14ac:dyDescent="0.25">
      <c r="A105"/>
      <c r="B105"/>
      <c r="C105" t="e">
        <f xml:space="preserve"> MID(A105,SEARCH(":",A105)+2,SEARCH(":",A105,SEARCH(":",A105)+1)-SEARCH(":",A105)-3)</f>
        <v>#VALUE!</v>
      </c>
      <c r="D105" t="e">
        <f>"partner:"&amp;MID(A105,SEARCH(":",A105)+1,SEARCH(":",A105,SEARCH(":",A105)+1)-SEARCH(":",A105)-1)</f>
        <v>#VALUE!</v>
      </c>
      <c r="G105" s="40" t="e">
        <f>DATEVALUE(SUBSTITUTE(LEFT(F105,SEARCH(" ",F105)-1),".","/"))</f>
        <v>#VALUE!</v>
      </c>
      <c r="I105"/>
      <c r="J105"/>
      <c r="K105"/>
    </row>
    <row r="106" spans="1:11" x14ac:dyDescent="0.25">
      <c r="A106"/>
      <c r="B106"/>
      <c r="C106" t="e">
        <f xml:space="preserve"> MID(A106,SEARCH(":",A106)+2,SEARCH(":",A106,SEARCH(":",A106)+1)-SEARCH(":",A106)-3)</f>
        <v>#VALUE!</v>
      </c>
      <c r="D106" t="e">
        <f>"partner:"&amp;MID(A106,SEARCH(":",A106)+1,SEARCH(":",A106,SEARCH(":",A106)+1)-SEARCH(":",A106)-1)</f>
        <v>#VALUE!</v>
      </c>
      <c r="G106" s="40" t="e">
        <f>DATEVALUE(SUBSTITUTE(LEFT(F106,SEARCH(" ",F106)-1),".","/"))</f>
        <v>#VALUE!</v>
      </c>
      <c r="I106"/>
      <c r="J106"/>
      <c r="K106"/>
    </row>
    <row r="107" spans="1:11" x14ac:dyDescent="0.25">
      <c r="A107"/>
      <c r="B107"/>
      <c r="C107" t="e">
        <f xml:space="preserve"> MID(A107,SEARCH(":",A107)+2,SEARCH(":",A107,SEARCH(":",A107)+1)-SEARCH(":",A107)-3)</f>
        <v>#VALUE!</v>
      </c>
      <c r="D107" t="e">
        <f>"partner:"&amp;MID(A107,SEARCH(":",A107)+1,SEARCH(":",A107,SEARCH(":",A107)+1)-SEARCH(":",A107)-1)</f>
        <v>#VALUE!</v>
      </c>
      <c r="G107" s="40" t="e">
        <f>DATEVALUE(SUBSTITUTE(LEFT(F107,SEARCH(" ",F107)-1),".","/"))</f>
        <v>#VALUE!</v>
      </c>
      <c r="I107"/>
      <c r="J107"/>
      <c r="K107"/>
    </row>
    <row r="108" spans="1:11" x14ac:dyDescent="0.25">
      <c r="A108"/>
      <c r="B108"/>
      <c r="C108" t="e">
        <f xml:space="preserve"> MID(A108,SEARCH(":",A108)+2,SEARCH(":",A108,SEARCH(":",A108)+1)-SEARCH(":",A108)-3)</f>
        <v>#VALUE!</v>
      </c>
      <c r="D108" t="e">
        <f>"partner:"&amp;MID(A108,SEARCH(":",A108)+1,SEARCH(":",A108,SEARCH(":",A108)+1)-SEARCH(":",A108)-1)</f>
        <v>#VALUE!</v>
      </c>
      <c r="G108" s="40" t="e">
        <f>DATEVALUE(SUBSTITUTE(LEFT(F108,SEARCH(" ",F108)-1),".","/"))</f>
        <v>#VALUE!</v>
      </c>
      <c r="I108"/>
      <c r="J108"/>
      <c r="K108"/>
    </row>
    <row r="109" spans="1:11" x14ac:dyDescent="0.25">
      <c r="A109"/>
      <c r="B109"/>
      <c r="C109" t="e">
        <f xml:space="preserve"> MID(A109,SEARCH(":",A109)+2,SEARCH(":",A109,SEARCH(":",A109)+1)-SEARCH(":",A109)-3)</f>
        <v>#VALUE!</v>
      </c>
      <c r="D109" t="e">
        <f>"partner:"&amp;MID(A109,SEARCH(":",A109)+1,SEARCH(":",A109,SEARCH(":",A109)+1)-SEARCH(":",A109)-1)</f>
        <v>#VALUE!</v>
      </c>
      <c r="G109" s="40" t="e">
        <f>DATEVALUE(SUBSTITUTE(LEFT(F109,SEARCH(" ",F109)-1),".","/"))</f>
        <v>#VALUE!</v>
      </c>
      <c r="I109"/>
      <c r="J109"/>
      <c r="K109"/>
    </row>
    <row r="110" spans="1:11" x14ac:dyDescent="0.25">
      <c r="A110"/>
      <c r="B110"/>
      <c r="C110" t="e">
        <f xml:space="preserve"> MID(A110,SEARCH(":",A110)+2,SEARCH(":",A110,SEARCH(":",A110)+1)-SEARCH(":",A110)-3)</f>
        <v>#VALUE!</v>
      </c>
      <c r="D110" t="e">
        <f>"partner:"&amp;MID(A110,SEARCH(":",A110)+1,SEARCH(":",A110,SEARCH(":",A110)+1)-SEARCH(":",A110)-1)</f>
        <v>#VALUE!</v>
      </c>
      <c r="G110" s="40" t="e">
        <f>DATEVALUE(SUBSTITUTE(LEFT(F110,SEARCH(" ",F110)-1),".","/"))</f>
        <v>#VALUE!</v>
      </c>
      <c r="I110"/>
      <c r="J110"/>
      <c r="K110"/>
    </row>
    <row r="111" spans="1:11" x14ac:dyDescent="0.25">
      <c r="A111"/>
      <c r="B111"/>
      <c r="C111" t="e">
        <f xml:space="preserve"> MID(A111,SEARCH(":",A111)+2,SEARCH(":",A111,SEARCH(":",A111)+1)-SEARCH(":",A111)-3)</f>
        <v>#VALUE!</v>
      </c>
      <c r="D111" t="e">
        <f>"partner:"&amp;MID(A111,SEARCH(":",A111)+1,SEARCH(":",A111,SEARCH(":",A111)+1)-SEARCH(":",A111)-1)</f>
        <v>#VALUE!</v>
      </c>
      <c r="G111" s="40" t="e">
        <f>DATEVALUE(SUBSTITUTE(LEFT(F111,SEARCH(" ",F111)-1),".","/"))</f>
        <v>#VALUE!</v>
      </c>
      <c r="I111"/>
      <c r="J111"/>
      <c r="K111"/>
    </row>
    <row r="112" spans="1:11" x14ac:dyDescent="0.25">
      <c r="A112"/>
      <c r="B112"/>
      <c r="C112" t="e">
        <f xml:space="preserve"> MID(A112,SEARCH(":",A112)+2,SEARCH(":",A112,SEARCH(":",A112)+1)-SEARCH(":",A112)-3)</f>
        <v>#VALUE!</v>
      </c>
      <c r="D112" t="e">
        <f>"partner:"&amp;MID(A112,SEARCH(":",A112)+1,SEARCH(":",A112,SEARCH(":",A112)+1)-SEARCH(":",A112)-1)</f>
        <v>#VALUE!</v>
      </c>
      <c r="G112" s="40" t="e">
        <f>DATEVALUE(SUBSTITUTE(LEFT(F112,SEARCH(" ",F112)-1),".","/"))</f>
        <v>#VALUE!</v>
      </c>
      <c r="I112"/>
      <c r="J112"/>
      <c r="K112"/>
    </row>
    <row r="113" spans="1:11" x14ac:dyDescent="0.25">
      <c r="A113"/>
      <c r="B113"/>
      <c r="C113" t="e">
        <f xml:space="preserve"> MID(A113,SEARCH(":",A113)+2,SEARCH(":",A113,SEARCH(":",A113)+1)-SEARCH(":",A113)-3)</f>
        <v>#VALUE!</v>
      </c>
      <c r="D113" t="e">
        <f>"partner:"&amp;MID(A113,SEARCH(":",A113)+1,SEARCH(":",A113,SEARCH(":",A113)+1)-SEARCH(":",A113)-1)</f>
        <v>#VALUE!</v>
      </c>
      <c r="G113" s="40" t="e">
        <f>DATEVALUE(SUBSTITUTE(LEFT(F113,SEARCH(" ",F113)-1),".","/"))</f>
        <v>#VALUE!</v>
      </c>
      <c r="I113"/>
      <c r="J113"/>
      <c r="K113"/>
    </row>
    <row r="114" spans="1:11" x14ac:dyDescent="0.25">
      <c r="A114"/>
      <c r="B114"/>
      <c r="C114" t="e">
        <f xml:space="preserve"> MID(A114,SEARCH(":",A114)+2,SEARCH(":",A114,SEARCH(":",A114)+1)-SEARCH(":",A114)-3)</f>
        <v>#VALUE!</v>
      </c>
      <c r="D114" t="e">
        <f>"partner:"&amp;MID(A114,SEARCH(":",A114)+1,SEARCH(":",A114,SEARCH(":",A114)+1)-SEARCH(":",A114)-1)</f>
        <v>#VALUE!</v>
      </c>
      <c r="G114" s="40" t="e">
        <f>DATEVALUE(SUBSTITUTE(LEFT(F114,SEARCH(" ",F114)-1),".","/"))</f>
        <v>#VALUE!</v>
      </c>
      <c r="I114"/>
      <c r="J114"/>
      <c r="K114"/>
    </row>
    <row r="115" spans="1:11" x14ac:dyDescent="0.25">
      <c r="A115"/>
      <c r="B115"/>
      <c r="C115" t="e">
        <f xml:space="preserve"> MID(A115,SEARCH(":",A115)+2,SEARCH(":",A115,SEARCH(":",A115)+1)-SEARCH(":",A115)-3)</f>
        <v>#VALUE!</v>
      </c>
      <c r="D115" t="e">
        <f>"partner:"&amp;MID(A115,SEARCH(":",A115)+1,SEARCH(":",A115,SEARCH(":",A115)+1)-SEARCH(":",A115)-1)</f>
        <v>#VALUE!</v>
      </c>
      <c r="G115" s="40" t="e">
        <f>DATEVALUE(SUBSTITUTE(LEFT(F115,SEARCH(" ",F115)-1),".","/"))</f>
        <v>#VALUE!</v>
      </c>
      <c r="I115"/>
      <c r="J115"/>
      <c r="K115"/>
    </row>
    <row r="116" spans="1:11" x14ac:dyDescent="0.25">
      <c r="A116"/>
      <c r="B116"/>
      <c r="C116" t="e">
        <f xml:space="preserve"> MID(A116,SEARCH(":",A116)+2,SEARCH(":",A116,SEARCH(":",A116)+1)-SEARCH(":",A116)-3)</f>
        <v>#VALUE!</v>
      </c>
      <c r="D116" t="e">
        <f>"partner:"&amp;MID(A116,SEARCH(":",A116)+1,SEARCH(":",A116,SEARCH(":",A116)+1)-SEARCH(":",A116)-1)</f>
        <v>#VALUE!</v>
      </c>
      <c r="G116" s="40" t="e">
        <f>DATEVALUE(SUBSTITUTE(LEFT(F116,SEARCH(" ",F116)-1),".","/"))</f>
        <v>#VALUE!</v>
      </c>
      <c r="I116"/>
      <c r="J116"/>
      <c r="K116"/>
    </row>
    <row r="117" spans="1:11" x14ac:dyDescent="0.25">
      <c r="A117"/>
      <c r="B117"/>
      <c r="C117" t="e">
        <f xml:space="preserve"> MID(A117,SEARCH(":",A117)+2,SEARCH(":",A117,SEARCH(":",A117)+1)-SEARCH(":",A117)-3)</f>
        <v>#VALUE!</v>
      </c>
      <c r="D117" t="e">
        <f>"partner:"&amp;MID(A117,SEARCH(":",A117)+1,SEARCH(":",A117,SEARCH(":",A117)+1)-SEARCH(":",A117)-1)</f>
        <v>#VALUE!</v>
      </c>
      <c r="G117" s="40" t="e">
        <f>DATEVALUE(SUBSTITUTE(LEFT(F117,SEARCH(" ",F117)-1),".","/"))</f>
        <v>#VALUE!</v>
      </c>
      <c r="I117"/>
      <c r="J117"/>
      <c r="K117"/>
    </row>
    <row r="118" spans="1:11" x14ac:dyDescent="0.25">
      <c r="A118"/>
      <c r="B118"/>
      <c r="C118" t="e">
        <f xml:space="preserve"> MID(A118,SEARCH(":",A118)+2,SEARCH(":",A118,SEARCH(":",A118)+1)-SEARCH(":",A118)-3)</f>
        <v>#VALUE!</v>
      </c>
      <c r="D118" t="e">
        <f>"partner:"&amp;MID(A118,SEARCH(":",A118)+1,SEARCH(":",A118,SEARCH(":",A118)+1)-SEARCH(":",A118)-1)</f>
        <v>#VALUE!</v>
      </c>
      <c r="G118" s="40" t="e">
        <f>DATEVALUE(SUBSTITUTE(LEFT(F118,SEARCH(" ",F118)-1),".","/"))</f>
        <v>#VALUE!</v>
      </c>
      <c r="I118"/>
      <c r="J118"/>
      <c r="K118"/>
    </row>
    <row r="119" spans="1:11" x14ac:dyDescent="0.25">
      <c r="A119"/>
      <c r="B119"/>
      <c r="C119" t="e">
        <f xml:space="preserve"> MID(A119,SEARCH(":",A119)+2,SEARCH(":",A119,SEARCH(":",A119)+1)-SEARCH(":",A119)-3)</f>
        <v>#VALUE!</v>
      </c>
      <c r="D119" t="e">
        <f>"partner:"&amp;MID(A119,SEARCH(":",A119)+1,SEARCH(":",A119,SEARCH(":",A119)+1)-SEARCH(":",A119)-1)</f>
        <v>#VALUE!</v>
      </c>
      <c r="G119" s="40" t="e">
        <f>DATEVALUE(SUBSTITUTE(LEFT(F119,SEARCH(" ",F119)-1),".","/"))</f>
        <v>#VALUE!</v>
      </c>
      <c r="I119"/>
      <c r="J119"/>
      <c r="K119"/>
    </row>
    <row r="120" spans="1:11" x14ac:dyDescent="0.25">
      <c r="A120"/>
      <c r="B120"/>
      <c r="C120" t="e">
        <f xml:space="preserve"> MID(A120,SEARCH(":",A120)+2,SEARCH(":",A120,SEARCH(":",A120)+1)-SEARCH(":",A120)-3)</f>
        <v>#VALUE!</v>
      </c>
      <c r="D120" t="e">
        <f>"partner:"&amp;MID(A120,SEARCH(":",A120)+1,SEARCH(":",A120,SEARCH(":",A120)+1)-SEARCH(":",A120)-1)</f>
        <v>#VALUE!</v>
      </c>
      <c r="G120" s="40" t="e">
        <f>DATEVALUE(SUBSTITUTE(LEFT(F120,SEARCH(" ",F120)-1),".","/"))</f>
        <v>#VALUE!</v>
      </c>
      <c r="I120"/>
      <c r="J120"/>
      <c r="K120"/>
    </row>
    <row r="121" spans="1:11" x14ac:dyDescent="0.25">
      <c r="A121"/>
      <c r="B121"/>
      <c r="C121" t="e">
        <f xml:space="preserve"> MID(A121,SEARCH(":",A121)+2,SEARCH(":",A121,SEARCH(":",A121)+1)-SEARCH(":",A121)-3)</f>
        <v>#VALUE!</v>
      </c>
      <c r="D121" t="e">
        <f>"partner:"&amp;MID(A121,SEARCH(":",A121)+1,SEARCH(":",A121,SEARCH(":",A121)+1)-SEARCH(":",A121)-1)</f>
        <v>#VALUE!</v>
      </c>
      <c r="G121" s="40" t="e">
        <f>DATEVALUE(SUBSTITUTE(LEFT(F121,SEARCH(" ",F121)-1),".","/"))</f>
        <v>#VALUE!</v>
      </c>
      <c r="I121"/>
      <c r="J121"/>
      <c r="K121"/>
    </row>
    <row r="122" spans="1:11" x14ac:dyDescent="0.25">
      <c r="A122"/>
      <c r="B122"/>
      <c r="C122" t="e">
        <f xml:space="preserve"> MID(A122,SEARCH(":",A122)+2,SEARCH(":",A122,SEARCH(":",A122)+1)-SEARCH(":",A122)-3)</f>
        <v>#VALUE!</v>
      </c>
      <c r="D122" t="e">
        <f>"partner:"&amp;MID(A122,SEARCH(":",A122)+1,SEARCH(":",A122,SEARCH(":",A122)+1)-SEARCH(":",A122)-1)</f>
        <v>#VALUE!</v>
      </c>
      <c r="G122" s="40" t="e">
        <f>DATEVALUE(SUBSTITUTE(LEFT(F122,SEARCH(" ",F122)-1),".","/"))</f>
        <v>#VALUE!</v>
      </c>
      <c r="I122"/>
      <c r="J122"/>
      <c r="K122"/>
    </row>
    <row r="123" spans="1:11" x14ac:dyDescent="0.25">
      <c r="A123"/>
      <c r="B123"/>
      <c r="C123" t="e">
        <f xml:space="preserve"> MID(A123,SEARCH(":",A123)+2,SEARCH(":",A123,SEARCH(":",A123)+1)-SEARCH(":",A123)-3)</f>
        <v>#VALUE!</v>
      </c>
      <c r="D123" t="e">
        <f>"partner:"&amp;MID(A123,SEARCH(":",A123)+1,SEARCH(":",A123,SEARCH(":",A123)+1)-SEARCH(":",A123)-1)</f>
        <v>#VALUE!</v>
      </c>
      <c r="G123" s="40" t="e">
        <f>DATEVALUE(SUBSTITUTE(LEFT(F123,SEARCH(" ",F123)-1),".","/"))</f>
        <v>#VALUE!</v>
      </c>
      <c r="I123"/>
      <c r="J123"/>
      <c r="K123"/>
    </row>
    <row r="124" spans="1:11" x14ac:dyDescent="0.25">
      <c r="A124"/>
      <c r="B124"/>
      <c r="C124" t="e">
        <f xml:space="preserve"> MID(A124,SEARCH(":",A124)+2,SEARCH(":",A124,SEARCH(":",A124)+1)-SEARCH(":",A124)-3)</f>
        <v>#VALUE!</v>
      </c>
      <c r="D124" t="e">
        <f>"partner:"&amp;MID(A124,SEARCH(":",A124)+1,SEARCH(":",A124,SEARCH(":",A124)+1)-SEARCH(":",A124)-1)</f>
        <v>#VALUE!</v>
      </c>
      <c r="G124" s="40" t="e">
        <f>DATEVALUE(SUBSTITUTE(LEFT(F124,SEARCH(" ",F124)-1),".","/"))</f>
        <v>#VALUE!</v>
      </c>
      <c r="I124"/>
      <c r="J124"/>
      <c r="K124"/>
    </row>
    <row r="125" spans="1:11" x14ac:dyDescent="0.25">
      <c r="A125"/>
      <c r="B125"/>
      <c r="C125" t="e">
        <f xml:space="preserve"> MID(A125,SEARCH(":",A125)+2,SEARCH(":",A125,SEARCH(":",A125)+1)-SEARCH(":",A125)-3)</f>
        <v>#VALUE!</v>
      </c>
      <c r="D125" t="e">
        <f>"partner:"&amp;MID(A125,SEARCH(":",A125)+1,SEARCH(":",A125,SEARCH(":",A125)+1)-SEARCH(":",A125)-1)</f>
        <v>#VALUE!</v>
      </c>
      <c r="G125" s="40" t="e">
        <f>DATEVALUE(SUBSTITUTE(LEFT(F125,SEARCH(" ",F125)-1),".","/"))</f>
        <v>#VALUE!</v>
      </c>
      <c r="I125"/>
      <c r="J125"/>
      <c r="K125"/>
    </row>
    <row r="126" spans="1:11" x14ac:dyDescent="0.25">
      <c r="A126"/>
      <c r="B126"/>
      <c r="C126" t="e">
        <f xml:space="preserve"> MID(A126,SEARCH(":",A126)+2,SEARCH(":",A126,SEARCH(":",A126)+1)-SEARCH(":",A126)-3)</f>
        <v>#VALUE!</v>
      </c>
      <c r="D126" t="e">
        <f>"partner:"&amp;MID(A126,SEARCH(":",A126)+1,SEARCH(":",A126,SEARCH(":",A126)+1)-SEARCH(":",A126)-1)</f>
        <v>#VALUE!</v>
      </c>
      <c r="G126" s="40" t="e">
        <f>DATEVALUE(SUBSTITUTE(LEFT(F126,SEARCH(" ",F126)-1),".","/"))</f>
        <v>#VALUE!</v>
      </c>
      <c r="I126"/>
      <c r="J126"/>
      <c r="K126"/>
    </row>
    <row r="127" spans="1:11" x14ac:dyDescent="0.25">
      <c r="A127"/>
      <c r="B127"/>
      <c r="C127" t="e">
        <f xml:space="preserve"> MID(A127,SEARCH(":",A127)+2,SEARCH(":",A127,SEARCH(":",A127)+1)-SEARCH(":",A127)-3)</f>
        <v>#VALUE!</v>
      </c>
      <c r="D127" t="e">
        <f>"partner:"&amp;MID(A127,SEARCH(":",A127)+1,SEARCH(":",A127,SEARCH(":",A127)+1)-SEARCH(":",A127)-1)</f>
        <v>#VALUE!</v>
      </c>
      <c r="G127" s="40" t="e">
        <f>DATEVALUE(SUBSTITUTE(LEFT(F127,SEARCH(" ",F127)-1),".","/"))</f>
        <v>#VALUE!</v>
      </c>
      <c r="I127"/>
      <c r="J127"/>
      <c r="K127"/>
    </row>
    <row r="128" spans="1:11" x14ac:dyDescent="0.25">
      <c r="A128"/>
      <c r="B128"/>
      <c r="C128" t="e">
        <f xml:space="preserve"> MID(A128,SEARCH(":",A128)+2,SEARCH(":",A128,SEARCH(":",A128)+1)-SEARCH(":",A128)-3)</f>
        <v>#VALUE!</v>
      </c>
      <c r="D128" t="e">
        <f>"partner:"&amp;MID(A128,SEARCH(":",A128)+1,SEARCH(":",A128,SEARCH(":",A128)+1)-SEARCH(":",A128)-1)</f>
        <v>#VALUE!</v>
      </c>
      <c r="G128" s="40" t="e">
        <f>DATEVALUE(SUBSTITUTE(LEFT(F128,SEARCH(" ",F128)-1),".","/"))</f>
        <v>#VALUE!</v>
      </c>
      <c r="I128"/>
      <c r="J128"/>
      <c r="K128"/>
    </row>
    <row r="129" spans="1:11" x14ac:dyDescent="0.25">
      <c r="A129"/>
      <c r="B129"/>
      <c r="C129" t="e">
        <f xml:space="preserve"> MID(A129,SEARCH(":",A129)+2,SEARCH(":",A129,SEARCH(":",A129)+1)-SEARCH(":",A129)-3)</f>
        <v>#VALUE!</v>
      </c>
      <c r="D129" t="e">
        <f>"partner:"&amp;MID(A129,SEARCH(":",A129)+1,SEARCH(":",A129,SEARCH(":",A129)+1)-SEARCH(":",A129)-1)</f>
        <v>#VALUE!</v>
      </c>
      <c r="G129" s="40" t="e">
        <f>DATEVALUE(SUBSTITUTE(LEFT(F129,SEARCH(" ",F129)-1),".","/"))</f>
        <v>#VALUE!</v>
      </c>
      <c r="I129"/>
      <c r="J129"/>
      <c r="K129"/>
    </row>
    <row r="130" spans="1:11" x14ac:dyDescent="0.25">
      <c r="A130"/>
      <c r="B130"/>
      <c r="C130" t="e">
        <f xml:space="preserve"> MID(A130,SEARCH(":",A130)+2,SEARCH(":",A130,SEARCH(":",A130)+1)-SEARCH(":",A130)-3)</f>
        <v>#VALUE!</v>
      </c>
      <c r="D130" t="e">
        <f>"partner:"&amp;MID(A130,SEARCH(":",A130)+1,SEARCH(":",A130,SEARCH(":",A130)+1)-SEARCH(":",A130)-1)</f>
        <v>#VALUE!</v>
      </c>
      <c r="G130" s="40" t="e">
        <f>DATEVALUE(SUBSTITUTE(LEFT(F130,SEARCH(" ",F130)-1),".","/"))</f>
        <v>#VALUE!</v>
      </c>
      <c r="I130"/>
      <c r="J130"/>
      <c r="K130"/>
    </row>
    <row r="131" spans="1:11" x14ac:dyDescent="0.25">
      <c r="A131"/>
      <c r="B131"/>
      <c r="C131" t="e">
        <f xml:space="preserve"> MID(A131,SEARCH(":",A131)+2,SEARCH(":",A131,SEARCH(":",A131)+1)-SEARCH(":",A131)-3)</f>
        <v>#VALUE!</v>
      </c>
      <c r="D131" t="e">
        <f>"partner:"&amp;MID(A131,SEARCH(":",A131)+1,SEARCH(":",A131,SEARCH(":",A131)+1)-SEARCH(":",A131)-1)</f>
        <v>#VALUE!</v>
      </c>
      <c r="G131" s="40" t="e">
        <f>DATEVALUE(SUBSTITUTE(LEFT(F131,SEARCH(" ",F131)-1),".","/"))</f>
        <v>#VALUE!</v>
      </c>
      <c r="I131"/>
      <c r="J131"/>
      <c r="K131"/>
    </row>
    <row r="132" spans="1:11" x14ac:dyDescent="0.25">
      <c r="A132"/>
      <c r="B132"/>
      <c r="C132" t="e">
        <f xml:space="preserve"> MID(A132,SEARCH(":",A132)+2,SEARCH(":",A132,SEARCH(":",A132)+1)-SEARCH(":",A132)-3)</f>
        <v>#VALUE!</v>
      </c>
      <c r="D132" t="e">
        <f>"partner:"&amp;MID(A132,SEARCH(":",A132)+1,SEARCH(":",A132,SEARCH(":",A132)+1)-SEARCH(":",A132)-1)</f>
        <v>#VALUE!</v>
      </c>
      <c r="G132" s="40" t="e">
        <f>DATEVALUE(SUBSTITUTE(LEFT(F132,SEARCH(" ",F132)-1),".","/"))</f>
        <v>#VALUE!</v>
      </c>
      <c r="I132"/>
      <c r="J132"/>
      <c r="K132"/>
    </row>
    <row r="133" spans="1:11" x14ac:dyDescent="0.25">
      <c r="A133"/>
      <c r="B133"/>
      <c r="C133" t="e">
        <f xml:space="preserve"> MID(A133,SEARCH(":",A133)+2,SEARCH(":",A133,SEARCH(":",A133)+1)-SEARCH(":",A133)-3)</f>
        <v>#VALUE!</v>
      </c>
      <c r="D133" t="e">
        <f>"partner:"&amp;MID(A133,SEARCH(":",A133)+1,SEARCH(":",A133,SEARCH(":",A133)+1)-SEARCH(":",A133)-1)</f>
        <v>#VALUE!</v>
      </c>
      <c r="G133" s="40" t="e">
        <f>DATEVALUE(SUBSTITUTE(LEFT(F133,SEARCH(" ",F133)-1),".","/"))</f>
        <v>#VALUE!</v>
      </c>
      <c r="I133"/>
      <c r="J133"/>
      <c r="K133"/>
    </row>
    <row r="134" spans="1:11" x14ac:dyDescent="0.25">
      <c r="A134"/>
      <c r="B134"/>
      <c r="C134" t="e">
        <f xml:space="preserve"> MID(A134,SEARCH(":",A134)+2,SEARCH(":",A134,SEARCH(":",A134)+1)-SEARCH(":",A134)-3)</f>
        <v>#VALUE!</v>
      </c>
      <c r="D134" t="e">
        <f>"partner:"&amp;MID(A134,SEARCH(":",A134)+1,SEARCH(":",A134,SEARCH(":",A134)+1)-SEARCH(":",A134)-1)</f>
        <v>#VALUE!</v>
      </c>
      <c r="G134" s="40" t="e">
        <f>DATEVALUE(SUBSTITUTE(LEFT(F134,SEARCH(" ",F134)-1),".","/"))</f>
        <v>#VALUE!</v>
      </c>
      <c r="I134"/>
      <c r="J134"/>
      <c r="K134"/>
    </row>
    <row r="135" spans="1:11" x14ac:dyDescent="0.25">
      <c r="A135"/>
      <c r="B135"/>
      <c r="C135" t="e">
        <f xml:space="preserve"> MID(A135,SEARCH(":",A135)+2,SEARCH(":",A135,SEARCH(":",A135)+1)-SEARCH(":",A135)-3)</f>
        <v>#VALUE!</v>
      </c>
      <c r="D135" t="e">
        <f>"partner:"&amp;MID(A135,SEARCH(":",A135)+1,SEARCH(":",A135,SEARCH(":",A135)+1)-SEARCH(":",A135)-1)</f>
        <v>#VALUE!</v>
      </c>
      <c r="G135" s="40" t="e">
        <f>DATEVALUE(SUBSTITUTE(LEFT(F135,SEARCH(" ",F135)-1),".","/"))</f>
        <v>#VALUE!</v>
      </c>
      <c r="I135"/>
      <c r="J135"/>
      <c r="K135"/>
    </row>
    <row r="136" spans="1:11" x14ac:dyDescent="0.25">
      <c r="A136"/>
      <c r="B136"/>
      <c r="C136" t="e">
        <f xml:space="preserve"> MID(A136,SEARCH(":",A136)+2,SEARCH(":",A136,SEARCH(":",A136)+1)-SEARCH(":",A136)-3)</f>
        <v>#VALUE!</v>
      </c>
      <c r="D136" t="e">
        <f>"partner:"&amp;MID(A136,SEARCH(":",A136)+1,SEARCH(":",A136,SEARCH(":",A136)+1)-SEARCH(":",A136)-1)</f>
        <v>#VALUE!</v>
      </c>
      <c r="G136" s="40" t="e">
        <f>DATEVALUE(SUBSTITUTE(LEFT(F136,SEARCH(" ",F136)-1),".","/"))</f>
        <v>#VALUE!</v>
      </c>
      <c r="I136"/>
      <c r="J136"/>
      <c r="K136"/>
    </row>
    <row r="137" spans="1:11" x14ac:dyDescent="0.25">
      <c r="A137"/>
      <c r="B137"/>
      <c r="C137" t="e">
        <f xml:space="preserve"> MID(A137,SEARCH(":",A137)+2,SEARCH(":",A137,SEARCH(":",A137)+1)-SEARCH(":",A137)-3)</f>
        <v>#VALUE!</v>
      </c>
      <c r="D137" t="e">
        <f>"partner:"&amp;MID(A137,SEARCH(":",A137)+1,SEARCH(":",A137,SEARCH(":",A137)+1)-SEARCH(":",A137)-1)</f>
        <v>#VALUE!</v>
      </c>
      <c r="G137" s="40" t="e">
        <f>DATEVALUE(SUBSTITUTE(LEFT(F137,SEARCH(" ",F137)-1),".","/"))</f>
        <v>#VALUE!</v>
      </c>
      <c r="I137"/>
      <c r="J137"/>
      <c r="K137"/>
    </row>
    <row r="138" spans="1:11" x14ac:dyDescent="0.25">
      <c r="A138"/>
      <c r="B138"/>
      <c r="C138" t="e">
        <f xml:space="preserve"> MID(A138,SEARCH(":",A138)+2,SEARCH(":",A138,SEARCH(":",A138)+1)-SEARCH(":",A138)-3)</f>
        <v>#VALUE!</v>
      </c>
      <c r="D138" t="e">
        <f>"partner:"&amp;MID(A138,SEARCH(":",A138)+1,SEARCH(":",A138,SEARCH(":",A138)+1)-SEARCH(":",A138)-1)</f>
        <v>#VALUE!</v>
      </c>
      <c r="G138" s="40" t="e">
        <f>DATEVALUE(SUBSTITUTE(LEFT(F138,SEARCH(" ",F138)-1),".","/"))</f>
        <v>#VALUE!</v>
      </c>
      <c r="I138"/>
      <c r="J138"/>
      <c r="K138"/>
    </row>
    <row r="139" spans="1:11" x14ac:dyDescent="0.25">
      <c r="A139"/>
      <c r="B139"/>
      <c r="C139" t="e">
        <f xml:space="preserve"> MID(A139,SEARCH(":",A139)+2,SEARCH(":",A139,SEARCH(":",A139)+1)-SEARCH(":",A139)-3)</f>
        <v>#VALUE!</v>
      </c>
      <c r="D139" t="e">
        <f>"partner:"&amp;MID(A139,SEARCH(":",A139)+1,SEARCH(":",A139,SEARCH(":",A139)+1)-SEARCH(":",A139)-1)</f>
        <v>#VALUE!</v>
      </c>
      <c r="G139" s="40" t="e">
        <f>DATEVALUE(SUBSTITUTE(LEFT(F139,SEARCH(" ",F139)-1),".","/"))</f>
        <v>#VALUE!</v>
      </c>
      <c r="I139"/>
      <c r="J139"/>
      <c r="K139"/>
    </row>
    <row r="140" spans="1:11" x14ac:dyDescent="0.25">
      <c r="A140"/>
      <c r="B140"/>
      <c r="C140" t="e">
        <f xml:space="preserve"> MID(A140,SEARCH(":",A140)+2,SEARCH(":",A140,SEARCH(":",A140)+1)-SEARCH(":",A140)-3)</f>
        <v>#VALUE!</v>
      </c>
      <c r="D140" t="e">
        <f>"partner:"&amp;MID(A140,SEARCH(":",A140)+1,SEARCH(":",A140,SEARCH(":",A140)+1)-SEARCH(":",A140)-1)</f>
        <v>#VALUE!</v>
      </c>
      <c r="G140" s="40" t="e">
        <f>DATEVALUE(SUBSTITUTE(LEFT(F140,SEARCH(" ",F140)-1),".","/"))</f>
        <v>#VALUE!</v>
      </c>
      <c r="I140"/>
      <c r="J140"/>
      <c r="K140"/>
    </row>
    <row r="141" spans="1:11" x14ac:dyDescent="0.25">
      <c r="A141"/>
      <c r="B141"/>
      <c r="C141" t="e">
        <f xml:space="preserve"> MID(A141,SEARCH(":",A141)+2,SEARCH(":",A141,SEARCH(":",A141)+1)-SEARCH(":",A141)-3)</f>
        <v>#VALUE!</v>
      </c>
      <c r="D141" t="e">
        <f>"partner:"&amp;MID(A141,SEARCH(":",A141)+1,SEARCH(":",A141,SEARCH(":",A141)+1)-SEARCH(":",A141)-1)</f>
        <v>#VALUE!</v>
      </c>
      <c r="G141" s="40" t="e">
        <f>DATEVALUE(SUBSTITUTE(LEFT(F141,SEARCH(" ",F141)-1),".","/"))</f>
        <v>#VALUE!</v>
      </c>
      <c r="I141"/>
      <c r="J141"/>
      <c r="K141"/>
    </row>
    <row r="142" spans="1:11" x14ac:dyDescent="0.25">
      <c r="A142"/>
      <c r="B142"/>
      <c r="C142" t="e">
        <f xml:space="preserve"> MID(A142,SEARCH(":",A142)+2,SEARCH(":",A142,SEARCH(":",A142)+1)-SEARCH(":",A142)-3)</f>
        <v>#VALUE!</v>
      </c>
      <c r="D142" t="e">
        <f>"partner:"&amp;MID(A142,SEARCH(":",A142)+1,SEARCH(":",A142,SEARCH(":",A142)+1)-SEARCH(":",A142)-1)</f>
        <v>#VALUE!</v>
      </c>
      <c r="G142" s="40" t="e">
        <f>DATEVALUE(SUBSTITUTE(LEFT(F142,SEARCH(" ",F142)-1),".","/"))</f>
        <v>#VALUE!</v>
      </c>
      <c r="I142"/>
      <c r="J142"/>
      <c r="K142"/>
    </row>
    <row r="143" spans="1:11" x14ac:dyDescent="0.25">
      <c r="A143"/>
      <c r="B143"/>
      <c r="C143" t="e">
        <f xml:space="preserve"> MID(A143,SEARCH(":",A143)+2,SEARCH(":",A143,SEARCH(":",A143)+1)-SEARCH(":",A143)-3)</f>
        <v>#VALUE!</v>
      </c>
      <c r="D143" t="e">
        <f>"partner:"&amp;MID(A143,SEARCH(":",A143)+1,SEARCH(":",A143,SEARCH(":",A143)+1)-SEARCH(":",A143)-1)</f>
        <v>#VALUE!</v>
      </c>
      <c r="G143" s="40" t="e">
        <f>DATEVALUE(SUBSTITUTE(LEFT(F143,SEARCH(" ",F143)-1),".","/"))</f>
        <v>#VALUE!</v>
      </c>
      <c r="I143"/>
      <c r="J143"/>
      <c r="K143"/>
    </row>
    <row r="144" spans="1:11" x14ac:dyDescent="0.25">
      <c r="A144"/>
      <c r="B144"/>
      <c r="C144" t="e">
        <f xml:space="preserve"> MID(A144,SEARCH(":",A144)+2,SEARCH(":",A144,SEARCH(":",A144)+1)-SEARCH(":",A144)-3)</f>
        <v>#VALUE!</v>
      </c>
      <c r="D144" t="e">
        <f>"partner:"&amp;MID(A144,SEARCH(":",A144)+1,SEARCH(":",A144,SEARCH(":",A144)+1)-SEARCH(":",A144)-1)</f>
        <v>#VALUE!</v>
      </c>
      <c r="G144" s="40" t="e">
        <f>DATEVALUE(SUBSTITUTE(LEFT(F144,SEARCH(" ",F144)-1),".","/"))</f>
        <v>#VALUE!</v>
      </c>
      <c r="I144"/>
      <c r="J144"/>
      <c r="K144"/>
    </row>
    <row r="145" spans="1:11" x14ac:dyDescent="0.25">
      <c r="A145"/>
      <c r="B145"/>
      <c r="C145" t="e">
        <f xml:space="preserve"> MID(A145,SEARCH(":",A145)+2,SEARCH(":",A145,SEARCH(":",A145)+1)-SEARCH(":",A145)-3)</f>
        <v>#VALUE!</v>
      </c>
      <c r="D145" t="e">
        <f>"partner:"&amp;MID(A145,SEARCH(":",A145)+1,SEARCH(":",A145,SEARCH(":",A145)+1)-SEARCH(":",A145)-1)</f>
        <v>#VALUE!</v>
      </c>
      <c r="G145" s="40" t="e">
        <f>DATEVALUE(SUBSTITUTE(LEFT(F145,SEARCH(" ",F145)-1),".","/"))</f>
        <v>#VALUE!</v>
      </c>
      <c r="I145"/>
      <c r="J145"/>
      <c r="K145"/>
    </row>
    <row r="146" spans="1:11" x14ac:dyDescent="0.25">
      <c r="A146"/>
      <c r="B146"/>
      <c r="C146" t="e">
        <f xml:space="preserve"> MID(A146,SEARCH(":",A146)+2,SEARCH(":",A146,SEARCH(":",A146)+1)-SEARCH(":",A146)-3)</f>
        <v>#VALUE!</v>
      </c>
      <c r="D146" t="e">
        <f>"partner:"&amp;MID(A146,SEARCH(":",A146)+1,SEARCH(":",A146,SEARCH(":",A146)+1)-SEARCH(":",A146)-1)</f>
        <v>#VALUE!</v>
      </c>
      <c r="G146" s="40" t="e">
        <f>DATEVALUE(SUBSTITUTE(LEFT(F146,SEARCH(" ",F146)-1),".","/"))</f>
        <v>#VALUE!</v>
      </c>
      <c r="I146"/>
      <c r="J146"/>
      <c r="K146"/>
    </row>
    <row r="147" spans="1:11" x14ac:dyDescent="0.25">
      <c r="A147"/>
      <c r="B147"/>
      <c r="C147" t="e">
        <f xml:space="preserve"> MID(A147,SEARCH(":",A147)+2,SEARCH(":",A147,SEARCH(":",A147)+1)-SEARCH(":",A147)-3)</f>
        <v>#VALUE!</v>
      </c>
      <c r="D147" t="e">
        <f>"partner:"&amp;MID(A147,SEARCH(":",A147)+1,SEARCH(":",A147,SEARCH(":",A147)+1)-SEARCH(":",A147)-1)</f>
        <v>#VALUE!</v>
      </c>
      <c r="G147" s="40" t="e">
        <f>DATEVALUE(SUBSTITUTE(LEFT(F147,SEARCH(" ",F147)-1),".","/"))</f>
        <v>#VALUE!</v>
      </c>
      <c r="I147"/>
      <c r="J147"/>
      <c r="K147"/>
    </row>
    <row r="148" spans="1:11" x14ac:dyDescent="0.25">
      <c r="A148"/>
      <c r="B148"/>
      <c r="C148" t="e">
        <f xml:space="preserve"> MID(A148,SEARCH(":",A148)+2,SEARCH(":",A148,SEARCH(":",A148)+1)-SEARCH(":",A148)-3)</f>
        <v>#VALUE!</v>
      </c>
      <c r="D148" t="e">
        <f>"partner:"&amp;MID(A148,SEARCH(":",A148)+1,SEARCH(":",A148,SEARCH(":",A148)+1)-SEARCH(":",A148)-1)</f>
        <v>#VALUE!</v>
      </c>
      <c r="G148" s="40" t="e">
        <f>DATEVALUE(SUBSTITUTE(LEFT(F148,SEARCH(" ",F148)-1),".","/"))</f>
        <v>#VALUE!</v>
      </c>
      <c r="I148"/>
      <c r="J148"/>
      <c r="K148"/>
    </row>
    <row r="149" spans="1:11" x14ac:dyDescent="0.25">
      <c r="A149"/>
      <c r="B149"/>
      <c r="C149" t="e">
        <f xml:space="preserve"> MID(A149,SEARCH(":",A149)+2,SEARCH(":",A149,SEARCH(":",A149)+1)-SEARCH(":",A149)-3)</f>
        <v>#VALUE!</v>
      </c>
      <c r="D149" t="e">
        <f>"partner:"&amp;MID(A149,SEARCH(":",A149)+1,SEARCH(":",A149,SEARCH(":",A149)+1)-SEARCH(":",A149)-1)</f>
        <v>#VALUE!</v>
      </c>
      <c r="G149" s="40" t="e">
        <f>DATEVALUE(SUBSTITUTE(LEFT(F149,SEARCH(" ",F149)-1),".","/"))</f>
        <v>#VALUE!</v>
      </c>
      <c r="I149"/>
      <c r="J149"/>
      <c r="K149"/>
    </row>
    <row r="150" spans="1:11" x14ac:dyDescent="0.25">
      <c r="A150"/>
      <c r="B150"/>
      <c r="C150" t="e">
        <f xml:space="preserve"> MID(A150,SEARCH(":",A150)+2,SEARCH(":",A150,SEARCH(":",A150)+1)-SEARCH(":",A150)-3)</f>
        <v>#VALUE!</v>
      </c>
      <c r="D150" t="e">
        <f>"partner:"&amp;MID(A150,SEARCH(":",A150)+1,SEARCH(":",A150,SEARCH(":",A150)+1)-SEARCH(":",A150)-1)</f>
        <v>#VALUE!</v>
      </c>
      <c r="G150" s="40" t="e">
        <f>DATEVALUE(SUBSTITUTE(LEFT(F150,SEARCH(" ",F150)-1),".","/"))</f>
        <v>#VALUE!</v>
      </c>
      <c r="I150"/>
      <c r="J150"/>
      <c r="K150"/>
    </row>
    <row r="151" spans="1:11" x14ac:dyDescent="0.25">
      <c r="A151"/>
      <c r="B151"/>
      <c r="C151" t="e">
        <f xml:space="preserve"> MID(A151,SEARCH(":",A151)+2,SEARCH(":",A151,SEARCH(":",A151)+1)-SEARCH(":",A151)-3)</f>
        <v>#VALUE!</v>
      </c>
      <c r="D151" t="e">
        <f>"partner:"&amp;MID(A151,SEARCH(":",A151)+1,SEARCH(":",A151,SEARCH(":",A151)+1)-SEARCH(":",A151)-1)</f>
        <v>#VALUE!</v>
      </c>
      <c r="G151" s="40" t="e">
        <f>DATEVALUE(SUBSTITUTE(LEFT(F151,SEARCH(" ",F151)-1),".","/"))</f>
        <v>#VALUE!</v>
      </c>
      <c r="I151"/>
      <c r="J151"/>
      <c r="K151"/>
    </row>
    <row r="152" spans="1:11" x14ac:dyDescent="0.25">
      <c r="A152"/>
      <c r="B152"/>
      <c r="C152" t="e">
        <f xml:space="preserve"> MID(A152,SEARCH(":",A152)+2,SEARCH(":",A152,SEARCH(":",A152)+1)-SEARCH(":",A152)-3)</f>
        <v>#VALUE!</v>
      </c>
      <c r="D152" t="e">
        <f>"partner:"&amp;MID(A152,SEARCH(":",A152)+1,SEARCH(":",A152,SEARCH(":",A152)+1)-SEARCH(":",A152)-1)</f>
        <v>#VALUE!</v>
      </c>
      <c r="G152" s="40" t="e">
        <f>DATEVALUE(SUBSTITUTE(LEFT(F152,SEARCH(" ",F152)-1),".","/"))</f>
        <v>#VALUE!</v>
      </c>
      <c r="I152"/>
      <c r="J152"/>
      <c r="K152"/>
    </row>
    <row r="153" spans="1:11" x14ac:dyDescent="0.25">
      <c r="A153"/>
      <c r="B153"/>
      <c r="C153" t="e">
        <f xml:space="preserve"> MID(A153,SEARCH(":",A153)+2,SEARCH(":",A153,SEARCH(":",A153)+1)-SEARCH(":",A153)-3)</f>
        <v>#VALUE!</v>
      </c>
      <c r="D153" t="e">
        <f>"partner:"&amp;MID(A153,SEARCH(":",A153)+1,SEARCH(":",A153,SEARCH(":",A153)+1)-SEARCH(":",A153)-1)</f>
        <v>#VALUE!</v>
      </c>
      <c r="G153" s="40" t="e">
        <f>DATEVALUE(SUBSTITUTE(LEFT(F153,SEARCH(" ",F153)-1),".","/"))</f>
        <v>#VALUE!</v>
      </c>
      <c r="I153"/>
      <c r="J153"/>
      <c r="K153"/>
    </row>
    <row r="154" spans="1:11" x14ac:dyDescent="0.25">
      <c r="A154"/>
      <c r="B154"/>
      <c r="C154" t="e">
        <f xml:space="preserve"> MID(A154,SEARCH(":",A154)+2,SEARCH(":",A154,SEARCH(":",A154)+1)-SEARCH(":",A154)-3)</f>
        <v>#VALUE!</v>
      </c>
      <c r="D154" t="e">
        <f>"partner:"&amp;MID(A154,SEARCH(":",A154)+1,SEARCH(":",A154,SEARCH(":",A154)+1)-SEARCH(":",A154)-1)</f>
        <v>#VALUE!</v>
      </c>
      <c r="G154" s="40" t="e">
        <f>DATEVALUE(SUBSTITUTE(LEFT(F154,SEARCH(" ",F154)-1),".","/"))</f>
        <v>#VALUE!</v>
      </c>
      <c r="I154"/>
      <c r="J154"/>
      <c r="K154"/>
    </row>
    <row r="155" spans="1:11" x14ac:dyDescent="0.25">
      <c r="A155"/>
      <c r="B155"/>
      <c r="C155" t="e">
        <f xml:space="preserve"> MID(A155,SEARCH(":",A155)+2,SEARCH(":",A155,SEARCH(":",A155)+1)-SEARCH(":",A155)-3)</f>
        <v>#VALUE!</v>
      </c>
      <c r="D155" t="e">
        <f>"partner:"&amp;MID(A155,SEARCH(":",A155)+1,SEARCH(":",A155,SEARCH(":",A155)+1)-SEARCH(":",A155)-1)</f>
        <v>#VALUE!</v>
      </c>
      <c r="G155" s="40" t="e">
        <f>DATEVALUE(SUBSTITUTE(LEFT(F155,SEARCH(" ",F155)-1),".","/"))</f>
        <v>#VALUE!</v>
      </c>
      <c r="I155"/>
      <c r="J155"/>
      <c r="K155"/>
    </row>
    <row r="156" spans="1:11" x14ac:dyDescent="0.25">
      <c r="A156"/>
      <c r="B156"/>
      <c r="C156" t="e">
        <f xml:space="preserve"> MID(A156,SEARCH(":",A156)+2,SEARCH(":",A156,SEARCH(":",A156)+1)-SEARCH(":",A156)-3)</f>
        <v>#VALUE!</v>
      </c>
      <c r="D156" t="e">
        <f>"partner:"&amp;MID(A156,SEARCH(":",A156)+1,SEARCH(":",A156,SEARCH(":",A156)+1)-SEARCH(":",A156)-1)</f>
        <v>#VALUE!</v>
      </c>
      <c r="G156" s="40" t="e">
        <f>DATEVALUE(SUBSTITUTE(LEFT(F156,SEARCH(" ",F156)-1),".","/"))</f>
        <v>#VALUE!</v>
      </c>
      <c r="I156"/>
      <c r="J156"/>
      <c r="K156"/>
    </row>
    <row r="157" spans="1:11" x14ac:dyDescent="0.25">
      <c r="A157"/>
      <c r="B157"/>
      <c r="C157" t="e">
        <f xml:space="preserve"> MID(A157,SEARCH(":",A157)+2,SEARCH(":",A157,SEARCH(":",A157)+1)-SEARCH(":",A157)-3)</f>
        <v>#VALUE!</v>
      </c>
      <c r="D157" t="e">
        <f>"partner:"&amp;MID(A157,SEARCH(":",A157)+1,SEARCH(":",A157,SEARCH(":",A157)+1)-SEARCH(":",A157)-1)</f>
        <v>#VALUE!</v>
      </c>
      <c r="G157" s="40" t="e">
        <f>DATEVALUE(SUBSTITUTE(LEFT(F157,SEARCH(" ",F157)-1),".","/"))</f>
        <v>#VALUE!</v>
      </c>
      <c r="I157"/>
      <c r="J157"/>
      <c r="K157"/>
    </row>
    <row r="158" spans="1:11" x14ac:dyDescent="0.25">
      <c r="A158"/>
      <c r="B158"/>
      <c r="C158" t="e">
        <f xml:space="preserve"> MID(A158,SEARCH(":",A158)+2,SEARCH(":",A158,SEARCH(":",A158)+1)-SEARCH(":",A158)-3)</f>
        <v>#VALUE!</v>
      </c>
      <c r="D158" t="e">
        <f>"partner:"&amp;MID(A158,SEARCH(":",A158)+1,SEARCH(":",A158,SEARCH(":",A158)+1)-SEARCH(":",A158)-1)</f>
        <v>#VALUE!</v>
      </c>
      <c r="G158" s="40" t="e">
        <f>DATEVALUE(SUBSTITUTE(LEFT(F158,SEARCH(" ",F158)-1),".","/"))</f>
        <v>#VALUE!</v>
      </c>
      <c r="I158"/>
      <c r="J158"/>
      <c r="K158"/>
    </row>
    <row r="159" spans="1:11" x14ac:dyDescent="0.25">
      <c r="A159"/>
      <c r="B159"/>
      <c r="C159" t="e">
        <f xml:space="preserve"> MID(A159,SEARCH(":",A159)+2,SEARCH(":",A159,SEARCH(":",A159)+1)-SEARCH(":",A159)-3)</f>
        <v>#VALUE!</v>
      </c>
      <c r="D159" t="e">
        <f>"partner:"&amp;MID(A159,SEARCH(":",A159)+1,SEARCH(":",A159,SEARCH(":",A159)+1)-SEARCH(":",A159)-1)</f>
        <v>#VALUE!</v>
      </c>
      <c r="G159" s="40" t="e">
        <f>DATEVALUE(SUBSTITUTE(LEFT(F159,SEARCH(" ",F159)-1),".","/"))</f>
        <v>#VALUE!</v>
      </c>
      <c r="I159"/>
      <c r="J159"/>
      <c r="K159"/>
    </row>
    <row r="160" spans="1:11" x14ac:dyDescent="0.25">
      <c r="A160"/>
      <c r="B160"/>
      <c r="C160" t="e">
        <f xml:space="preserve"> MID(A160,SEARCH(":",A160)+2,SEARCH(":",A160,SEARCH(":",A160)+1)-SEARCH(":",A160)-3)</f>
        <v>#VALUE!</v>
      </c>
      <c r="D160" t="e">
        <f>"partner:"&amp;MID(A160,SEARCH(":",A160)+1,SEARCH(":",A160,SEARCH(":",A160)+1)-SEARCH(":",A160)-1)</f>
        <v>#VALUE!</v>
      </c>
      <c r="G160" s="40" t="e">
        <f>DATEVALUE(SUBSTITUTE(LEFT(F160,SEARCH(" ",F160)-1),".","/"))</f>
        <v>#VALUE!</v>
      </c>
      <c r="I160"/>
      <c r="J160"/>
      <c r="K160"/>
    </row>
    <row r="161" spans="1:11" x14ac:dyDescent="0.25">
      <c r="A161"/>
      <c r="B161"/>
      <c r="C161" t="e">
        <f xml:space="preserve"> MID(A161,SEARCH(":",A161)+2,SEARCH(":",A161,SEARCH(":",A161)+1)-SEARCH(":",A161)-3)</f>
        <v>#VALUE!</v>
      </c>
      <c r="D161" t="e">
        <f>"partner:"&amp;MID(A161,SEARCH(":",A161)+1,SEARCH(":",A161,SEARCH(":",A161)+1)-SEARCH(":",A161)-1)</f>
        <v>#VALUE!</v>
      </c>
      <c r="G161" s="40" t="e">
        <f>DATEVALUE(SUBSTITUTE(LEFT(F161,SEARCH(" ",F161)-1),".","/"))</f>
        <v>#VALUE!</v>
      </c>
      <c r="I161"/>
      <c r="J161"/>
      <c r="K161"/>
    </row>
    <row r="162" spans="1:11" x14ac:dyDescent="0.25">
      <c r="A162"/>
      <c r="B162"/>
      <c r="C162" t="e">
        <f xml:space="preserve"> MID(A162,SEARCH(":",A162)+2,SEARCH(":",A162,SEARCH(":",A162)+1)-SEARCH(":",A162)-3)</f>
        <v>#VALUE!</v>
      </c>
      <c r="D162" t="e">
        <f>"partner:"&amp;MID(A162,SEARCH(":",A162)+1,SEARCH(":",A162,SEARCH(":",A162)+1)-SEARCH(":",A162)-1)</f>
        <v>#VALUE!</v>
      </c>
      <c r="G162" s="40" t="e">
        <f>DATEVALUE(SUBSTITUTE(LEFT(F162,SEARCH(" ",F162)-1),".","/"))</f>
        <v>#VALUE!</v>
      </c>
      <c r="I162"/>
      <c r="J162"/>
      <c r="K162"/>
    </row>
    <row r="163" spans="1:11" x14ac:dyDescent="0.25">
      <c r="A163"/>
      <c r="B163"/>
      <c r="C163" t="e">
        <f xml:space="preserve"> MID(A163,SEARCH(":",A163)+2,SEARCH(":",A163,SEARCH(":",A163)+1)-SEARCH(":",A163)-3)</f>
        <v>#VALUE!</v>
      </c>
      <c r="D163" t="e">
        <f>"partner:"&amp;MID(A163,SEARCH(":",A163)+1,SEARCH(":",A163,SEARCH(":",A163)+1)-SEARCH(":",A163)-1)</f>
        <v>#VALUE!</v>
      </c>
      <c r="G163" s="40" t="e">
        <f>DATEVALUE(SUBSTITUTE(LEFT(F163,SEARCH(" ",F163)-1),".","/"))</f>
        <v>#VALUE!</v>
      </c>
      <c r="I163"/>
      <c r="J163"/>
      <c r="K163"/>
    </row>
    <row r="164" spans="1:11" x14ac:dyDescent="0.25">
      <c r="A164"/>
      <c r="B164"/>
      <c r="C164" t="e">
        <f xml:space="preserve"> MID(A164,SEARCH(":",A164)+2,SEARCH(":",A164,SEARCH(":",A164)+1)-SEARCH(":",A164)-3)</f>
        <v>#VALUE!</v>
      </c>
      <c r="D164" t="e">
        <f>"partner:"&amp;MID(A164,SEARCH(":",A164)+1,SEARCH(":",A164,SEARCH(":",A164)+1)-SEARCH(":",A164)-1)</f>
        <v>#VALUE!</v>
      </c>
      <c r="G164" s="40" t="e">
        <f>DATEVALUE(SUBSTITUTE(LEFT(F164,SEARCH(" ",F164)-1),".","/"))</f>
        <v>#VALUE!</v>
      </c>
      <c r="I164"/>
      <c r="J164"/>
      <c r="K164"/>
    </row>
    <row r="165" spans="1:11" x14ac:dyDescent="0.25">
      <c r="A165"/>
      <c r="B165"/>
      <c r="C165" t="e">
        <f xml:space="preserve"> MID(A165,SEARCH(":",A165)+2,SEARCH(":",A165,SEARCH(":",A165)+1)-SEARCH(":",A165)-3)</f>
        <v>#VALUE!</v>
      </c>
      <c r="D165" t="e">
        <f>"partner:"&amp;MID(A165,SEARCH(":",A165)+1,SEARCH(":",A165,SEARCH(":",A165)+1)-SEARCH(":",A165)-1)</f>
        <v>#VALUE!</v>
      </c>
      <c r="G165" s="40" t="e">
        <f>DATEVALUE(SUBSTITUTE(LEFT(F165,SEARCH(" ",F165)-1),".","/"))</f>
        <v>#VALUE!</v>
      </c>
      <c r="I165"/>
      <c r="J165"/>
      <c r="K165"/>
    </row>
    <row r="166" spans="1:11" x14ac:dyDescent="0.25">
      <c r="A166"/>
      <c r="B166"/>
      <c r="C166" t="e">
        <f xml:space="preserve"> MID(A166,SEARCH(":",A166)+2,SEARCH(":",A166,SEARCH(":",A166)+1)-SEARCH(":",A166)-3)</f>
        <v>#VALUE!</v>
      </c>
      <c r="D166" t="e">
        <f>"partner:"&amp;MID(A166,SEARCH(":",A166)+1,SEARCH(":",A166,SEARCH(":",A166)+1)-SEARCH(":",A166)-1)</f>
        <v>#VALUE!</v>
      </c>
      <c r="G166" s="40" t="e">
        <f>DATEVALUE(SUBSTITUTE(LEFT(F166,SEARCH(" ",F166)-1),".","/"))</f>
        <v>#VALUE!</v>
      </c>
      <c r="I166"/>
      <c r="J166"/>
      <c r="K166"/>
    </row>
    <row r="167" spans="1:11" x14ac:dyDescent="0.25">
      <c r="A167"/>
      <c r="B167"/>
      <c r="C167" t="e">
        <f xml:space="preserve"> MID(A167,SEARCH(":",A167)+2,SEARCH(":",A167,SEARCH(":",A167)+1)-SEARCH(":",A167)-3)</f>
        <v>#VALUE!</v>
      </c>
      <c r="D167" t="e">
        <f>"partner:"&amp;MID(A167,SEARCH(":",A167)+1,SEARCH(":",A167,SEARCH(":",A167)+1)-SEARCH(":",A167)-1)</f>
        <v>#VALUE!</v>
      </c>
      <c r="G167" s="40" t="e">
        <f>DATEVALUE(SUBSTITUTE(LEFT(F167,SEARCH(" ",F167)-1),".","/"))</f>
        <v>#VALUE!</v>
      </c>
      <c r="I167"/>
      <c r="J167"/>
      <c r="K167"/>
    </row>
    <row r="168" spans="1:11" x14ac:dyDescent="0.25">
      <c r="A168"/>
      <c r="B168"/>
      <c r="C168" t="e">
        <f xml:space="preserve"> MID(A168,SEARCH(":",A168)+2,SEARCH(":",A168,SEARCH(":",A168)+1)-SEARCH(":",A168)-3)</f>
        <v>#VALUE!</v>
      </c>
      <c r="D168" t="e">
        <f>"partner:"&amp;MID(A168,SEARCH(":",A168)+1,SEARCH(":",A168,SEARCH(":",A168)+1)-SEARCH(":",A168)-1)</f>
        <v>#VALUE!</v>
      </c>
      <c r="G168" s="40" t="e">
        <f>DATEVALUE(SUBSTITUTE(LEFT(F168,SEARCH(" ",F168)-1),".","/"))</f>
        <v>#VALUE!</v>
      </c>
      <c r="I168"/>
      <c r="J168"/>
      <c r="K168"/>
    </row>
    <row r="169" spans="1:11" x14ac:dyDescent="0.25">
      <c r="A169"/>
      <c r="B169"/>
      <c r="C169" t="e">
        <f xml:space="preserve"> MID(A169,SEARCH(":",A169)+2,SEARCH(":",A169,SEARCH(":",A169)+1)-SEARCH(":",A169)-3)</f>
        <v>#VALUE!</v>
      </c>
      <c r="D169" t="e">
        <f>"partner:"&amp;MID(A169,SEARCH(":",A169)+1,SEARCH(":",A169,SEARCH(":",A169)+1)-SEARCH(":",A169)-1)</f>
        <v>#VALUE!</v>
      </c>
      <c r="G169" s="40" t="e">
        <f>DATEVALUE(SUBSTITUTE(LEFT(F169,SEARCH(" ",F169)-1),".","/"))</f>
        <v>#VALUE!</v>
      </c>
      <c r="I169"/>
      <c r="J169"/>
      <c r="K169"/>
    </row>
    <row r="170" spans="1:11" x14ac:dyDescent="0.25">
      <c r="A170"/>
      <c r="B170"/>
      <c r="C170" t="e">
        <f xml:space="preserve"> MID(A170,SEARCH(":",A170)+2,SEARCH(":",A170,SEARCH(":",A170)+1)-SEARCH(":",A170)-3)</f>
        <v>#VALUE!</v>
      </c>
      <c r="D170" t="e">
        <f>"partner:"&amp;MID(A170,SEARCH(":",A170)+1,SEARCH(":",A170,SEARCH(":",A170)+1)-SEARCH(":",A170)-1)</f>
        <v>#VALUE!</v>
      </c>
      <c r="G170" s="40" t="e">
        <f>DATEVALUE(SUBSTITUTE(LEFT(F170,SEARCH(" ",F170)-1),".","/"))</f>
        <v>#VALUE!</v>
      </c>
      <c r="I170"/>
      <c r="J170"/>
      <c r="K170"/>
    </row>
    <row r="171" spans="1:11" x14ac:dyDescent="0.25">
      <c r="A171"/>
      <c r="B171"/>
      <c r="C171" t="e">
        <f xml:space="preserve"> MID(A171,SEARCH(":",A171)+2,SEARCH(":",A171,SEARCH(":",A171)+1)-SEARCH(":",A171)-3)</f>
        <v>#VALUE!</v>
      </c>
      <c r="D171" t="e">
        <f>"partner:"&amp;MID(A171,SEARCH(":",A171)+1,SEARCH(":",A171,SEARCH(":",A171)+1)-SEARCH(":",A171)-1)</f>
        <v>#VALUE!</v>
      </c>
      <c r="G171" s="40" t="e">
        <f>DATEVALUE(SUBSTITUTE(LEFT(F171,SEARCH(" ",F171)-1),".","/"))</f>
        <v>#VALUE!</v>
      </c>
      <c r="I171"/>
      <c r="J171"/>
      <c r="K171"/>
    </row>
    <row r="172" spans="1:11" x14ac:dyDescent="0.25">
      <c r="A172"/>
      <c r="B172"/>
      <c r="C172" t="e">
        <f xml:space="preserve"> MID(A172,SEARCH(":",A172)+2,SEARCH(":",A172,SEARCH(":",A172)+1)-SEARCH(":",A172)-3)</f>
        <v>#VALUE!</v>
      </c>
      <c r="D172" t="e">
        <f>"partner:"&amp;MID(A172,SEARCH(":",A172)+1,SEARCH(":",A172,SEARCH(":",A172)+1)-SEARCH(":",A172)-1)</f>
        <v>#VALUE!</v>
      </c>
      <c r="G172" s="40" t="e">
        <f>DATEVALUE(SUBSTITUTE(LEFT(F172,SEARCH(" ",F172)-1),".","/"))</f>
        <v>#VALUE!</v>
      </c>
      <c r="I172"/>
      <c r="J172"/>
      <c r="K172"/>
    </row>
    <row r="173" spans="1:11" x14ac:dyDescent="0.25">
      <c r="A173"/>
      <c r="B173"/>
      <c r="C173" t="e">
        <f xml:space="preserve"> MID(A173,SEARCH(":",A173)+2,SEARCH(":",A173,SEARCH(":",A173)+1)-SEARCH(":",A173)-3)</f>
        <v>#VALUE!</v>
      </c>
      <c r="D173" t="e">
        <f>"partner:"&amp;MID(A173,SEARCH(":",A173)+1,SEARCH(":",A173,SEARCH(":",A173)+1)-SEARCH(":",A173)-1)</f>
        <v>#VALUE!</v>
      </c>
      <c r="G173" s="40" t="e">
        <f>DATEVALUE(SUBSTITUTE(LEFT(F173,SEARCH(" ",F173)-1),".","/"))</f>
        <v>#VALUE!</v>
      </c>
      <c r="I173"/>
      <c r="J173"/>
      <c r="K173"/>
    </row>
    <row r="174" spans="1:11" x14ac:dyDescent="0.25">
      <c r="A174"/>
      <c r="B174"/>
      <c r="C174" t="e">
        <f xml:space="preserve"> MID(A174,SEARCH(":",A174)+2,SEARCH(":",A174,SEARCH(":",A174)+1)-SEARCH(":",A174)-3)</f>
        <v>#VALUE!</v>
      </c>
      <c r="D174" t="e">
        <f>"partner:"&amp;MID(A174,SEARCH(":",A174)+1,SEARCH(":",A174,SEARCH(":",A174)+1)-SEARCH(":",A174)-1)</f>
        <v>#VALUE!</v>
      </c>
      <c r="G174" s="40" t="e">
        <f>DATEVALUE(SUBSTITUTE(LEFT(F174,SEARCH(" ",F174)-1),".","/"))</f>
        <v>#VALUE!</v>
      </c>
      <c r="I174"/>
      <c r="J174"/>
      <c r="K174"/>
    </row>
    <row r="175" spans="1:11" x14ac:dyDescent="0.25">
      <c r="A175"/>
      <c r="B175"/>
      <c r="C175" t="e">
        <f xml:space="preserve"> MID(A175,SEARCH(":",A175)+2,SEARCH(":",A175,SEARCH(":",A175)+1)-SEARCH(":",A175)-3)</f>
        <v>#VALUE!</v>
      </c>
      <c r="D175" t="e">
        <f>"partner:"&amp;MID(A175,SEARCH(":",A175)+1,SEARCH(":",A175,SEARCH(":",A175)+1)-SEARCH(":",A175)-1)</f>
        <v>#VALUE!</v>
      </c>
      <c r="G175" s="40" t="e">
        <f>DATEVALUE(SUBSTITUTE(LEFT(F175,SEARCH(" ",F175)-1),".","/"))</f>
        <v>#VALUE!</v>
      </c>
      <c r="I175"/>
      <c r="J175"/>
      <c r="K175"/>
    </row>
    <row r="176" spans="1:11" x14ac:dyDescent="0.25">
      <c r="A176"/>
      <c r="B176"/>
      <c r="C176" t="e">
        <f xml:space="preserve"> MID(A176,SEARCH(":",A176)+2,SEARCH(":",A176,SEARCH(":",A176)+1)-SEARCH(":",A176)-3)</f>
        <v>#VALUE!</v>
      </c>
      <c r="D176" t="e">
        <f>"partner:"&amp;MID(A176,SEARCH(":",A176)+1,SEARCH(":",A176,SEARCH(":",A176)+1)-SEARCH(":",A176)-1)</f>
        <v>#VALUE!</v>
      </c>
      <c r="G176" s="40" t="e">
        <f>DATEVALUE(SUBSTITUTE(LEFT(F176,SEARCH(" ",F176)-1),".","/"))</f>
        <v>#VALUE!</v>
      </c>
      <c r="I176"/>
      <c r="J176"/>
      <c r="K176"/>
    </row>
    <row r="177" spans="1:11" x14ac:dyDescent="0.25">
      <c r="A177"/>
      <c r="B177"/>
      <c r="C177" t="e">
        <f xml:space="preserve"> MID(A177,SEARCH(":",A177)+2,SEARCH(":",A177,SEARCH(":",A177)+1)-SEARCH(":",A177)-3)</f>
        <v>#VALUE!</v>
      </c>
      <c r="D177" t="e">
        <f>"partner:"&amp;MID(A177,SEARCH(":",A177)+1,SEARCH(":",A177,SEARCH(":",A177)+1)-SEARCH(":",A177)-1)</f>
        <v>#VALUE!</v>
      </c>
      <c r="G177" s="40" t="e">
        <f>DATEVALUE(SUBSTITUTE(LEFT(F177,SEARCH(" ",F177)-1),".","/"))</f>
        <v>#VALUE!</v>
      </c>
      <c r="I177"/>
      <c r="J177"/>
      <c r="K177"/>
    </row>
    <row r="178" spans="1:11" x14ac:dyDescent="0.25">
      <c r="A178"/>
      <c r="B178"/>
      <c r="C178" t="e">
        <f xml:space="preserve"> MID(A178,SEARCH(":",A178)+2,SEARCH(":",A178,SEARCH(":",A178)+1)-SEARCH(":",A178)-3)</f>
        <v>#VALUE!</v>
      </c>
      <c r="D178" t="e">
        <f>"partner:"&amp;MID(A178,SEARCH(":",A178)+1,SEARCH(":",A178,SEARCH(":",A178)+1)-SEARCH(":",A178)-1)</f>
        <v>#VALUE!</v>
      </c>
      <c r="G178" s="40" t="e">
        <f>DATEVALUE(SUBSTITUTE(LEFT(F178,SEARCH(" ",F178)-1),".","/"))</f>
        <v>#VALUE!</v>
      </c>
      <c r="I178"/>
      <c r="J178"/>
      <c r="K178"/>
    </row>
    <row r="179" spans="1:11" x14ac:dyDescent="0.25">
      <c r="A179"/>
      <c r="B179"/>
      <c r="C179" t="e">
        <f xml:space="preserve"> MID(A179,SEARCH(":",A179)+2,SEARCH(":",A179,SEARCH(":",A179)+1)-SEARCH(":",A179)-3)</f>
        <v>#VALUE!</v>
      </c>
      <c r="D179" t="e">
        <f>"partner:"&amp;MID(A179,SEARCH(":",A179)+1,SEARCH(":",A179,SEARCH(":",A179)+1)-SEARCH(":",A179)-1)</f>
        <v>#VALUE!</v>
      </c>
      <c r="G179" s="40" t="e">
        <f>DATEVALUE(SUBSTITUTE(LEFT(F179,SEARCH(" ",F179)-1),".","/"))</f>
        <v>#VALUE!</v>
      </c>
      <c r="I179"/>
      <c r="J179"/>
      <c r="K179"/>
    </row>
    <row r="180" spans="1:11" x14ac:dyDescent="0.25">
      <c r="A180"/>
      <c r="B180"/>
      <c r="C180" t="e">
        <f xml:space="preserve"> MID(A180,SEARCH(":",A180)+2,SEARCH(":",A180,SEARCH(":",A180)+1)-SEARCH(":",A180)-3)</f>
        <v>#VALUE!</v>
      </c>
      <c r="D180" t="e">
        <f>"partner:"&amp;MID(A180,SEARCH(":",A180)+1,SEARCH(":",A180,SEARCH(":",A180)+1)-SEARCH(":",A180)-1)</f>
        <v>#VALUE!</v>
      </c>
      <c r="G180" s="40" t="e">
        <f>DATEVALUE(SUBSTITUTE(LEFT(F180,SEARCH(" ",F180)-1),".","/"))</f>
        <v>#VALUE!</v>
      </c>
      <c r="I180"/>
      <c r="J180"/>
      <c r="K180"/>
    </row>
    <row r="181" spans="1:11" x14ac:dyDescent="0.25">
      <c r="A181"/>
      <c r="B181"/>
      <c r="C181" t="e">
        <f xml:space="preserve"> MID(A181,SEARCH(":",A181)+2,SEARCH(":",A181,SEARCH(":",A181)+1)-SEARCH(":",A181)-3)</f>
        <v>#VALUE!</v>
      </c>
      <c r="D181" t="e">
        <f>"partner:"&amp;MID(A181,SEARCH(":",A181)+1,SEARCH(":",A181,SEARCH(":",A181)+1)-SEARCH(":",A181)-1)</f>
        <v>#VALUE!</v>
      </c>
      <c r="G181" s="40" t="e">
        <f>DATEVALUE(SUBSTITUTE(LEFT(F181,SEARCH(" ",F181)-1),".","/"))</f>
        <v>#VALUE!</v>
      </c>
      <c r="I181"/>
      <c r="J181"/>
      <c r="K181"/>
    </row>
    <row r="182" spans="1:11" x14ac:dyDescent="0.25">
      <c r="A182"/>
      <c r="B182"/>
      <c r="C182" t="e">
        <f xml:space="preserve"> MID(A182,SEARCH(":",A182)+2,SEARCH(":",A182,SEARCH(":",A182)+1)-SEARCH(":",A182)-3)</f>
        <v>#VALUE!</v>
      </c>
      <c r="D182" t="e">
        <f>"partner:"&amp;MID(A182,SEARCH(":",A182)+1,SEARCH(":",A182,SEARCH(":",A182)+1)-SEARCH(":",A182)-1)</f>
        <v>#VALUE!</v>
      </c>
      <c r="G182" s="40" t="e">
        <f>DATEVALUE(SUBSTITUTE(LEFT(F182,SEARCH(" ",F182)-1),".","/"))</f>
        <v>#VALUE!</v>
      </c>
      <c r="I182"/>
      <c r="J182"/>
      <c r="K182"/>
    </row>
    <row r="183" spans="1:11" x14ac:dyDescent="0.25">
      <c r="A183"/>
      <c r="B183"/>
      <c r="C183" t="e">
        <f xml:space="preserve"> MID(A183,SEARCH(":",A183)+2,SEARCH(":",A183,SEARCH(":",A183)+1)-SEARCH(":",A183)-3)</f>
        <v>#VALUE!</v>
      </c>
      <c r="D183" t="e">
        <f>"partner:"&amp;MID(A183,SEARCH(":",A183)+1,SEARCH(":",A183,SEARCH(":",A183)+1)-SEARCH(":",A183)-1)</f>
        <v>#VALUE!</v>
      </c>
      <c r="G183" s="40" t="e">
        <f>DATEVALUE(SUBSTITUTE(LEFT(F183,SEARCH(" ",F183)-1),".","/"))</f>
        <v>#VALUE!</v>
      </c>
      <c r="I183"/>
      <c r="J183"/>
      <c r="K183"/>
    </row>
    <row r="184" spans="1:11" x14ac:dyDescent="0.25">
      <c r="A184"/>
      <c r="B184"/>
      <c r="C184" t="e">
        <f xml:space="preserve"> MID(A184,SEARCH(":",A184)+2,SEARCH(":",A184,SEARCH(":",A184)+1)-SEARCH(":",A184)-3)</f>
        <v>#VALUE!</v>
      </c>
      <c r="D184" t="e">
        <f>"partner:"&amp;MID(A184,SEARCH(":",A184)+1,SEARCH(":",A184,SEARCH(":",A184)+1)-SEARCH(":",A184)-1)</f>
        <v>#VALUE!</v>
      </c>
      <c r="G184" s="40" t="e">
        <f>DATEVALUE(SUBSTITUTE(LEFT(F184,SEARCH(" ",F184)-1),".","/"))</f>
        <v>#VALUE!</v>
      </c>
      <c r="I184"/>
      <c r="J184"/>
      <c r="K184"/>
    </row>
    <row r="185" spans="1:11" x14ac:dyDescent="0.25">
      <c r="A185"/>
      <c r="B185"/>
      <c r="C185" t="e">
        <f xml:space="preserve"> MID(A185,SEARCH(":",A185)+2,SEARCH(":",A185,SEARCH(":",A185)+1)-SEARCH(":",A185)-3)</f>
        <v>#VALUE!</v>
      </c>
      <c r="D185" t="e">
        <f>"partner:"&amp;MID(A185,SEARCH(":",A185)+1,SEARCH(":",A185,SEARCH(":",A185)+1)-SEARCH(":",A185)-1)</f>
        <v>#VALUE!</v>
      </c>
      <c r="G185" s="40" t="e">
        <f>DATEVALUE(SUBSTITUTE(LEFT(F185,SEARCH(" ",F185)-1),".","/"))</f>
        <v>#VALUE!</v>
      </c>
      <c r="I185"/>
      <c r="J185"/>
      <c r="K185"/>
    </row>
    <row r="186" spans="1:11" x14ac:dyDescent="0.25">
      <c r="A186"/>
      <c r="B186"/>
      <c r="C186" t="e">
        <f xml:space="preserve"> MID(A186,SEARCH(":",A186)+2,SEARCH(":",A186,SEARCH(":",A186)+1)-SEARCH(":",A186)-3)</f>
        <v>#VALUE!</v>
      </c>
      <c r="D186" t="e">
        <f>"partner:"&amp;MID(A186,SEARCH(":",A186)+1,SEARCH(":",A186,SEARCH(":",A186)+1)-SEARCH(":",A186)-1)</f>
        <v>#VALUE!</v>
      </c>
      <c r="G186" s="40" t="e">
        <f>DATEVALUE(SUBSTITUTE(LEFT(F186,SEARCH(" ",F186)-1),".","/"))</f>
        <v>#VALUE!</v>
      </c>
      <c r="I186"/>
      <c r="J186"/>
      <c r="K186"/>
    </row>
    <row r="187" spans="1:11" x14ac:dyDescent="0.25">
      <c r="A187"/>
      <c r="B187"/>
      <c r="C187" t="e">
        <f xml:space="preserve"> MID(A187,SEARCH(":",A187)+2,SEARCH(":",A187,SEARCH(":",A187)+1)-SEARCH(":",A187)-3)</f>
        <v>#VALUE!</v>
      </c>
      <c r="D187" t="e">
        <f>"partner:"&amp;MID(A187,SEARCH(":",A187)+1,SEARCH(":",A187,SEARCH(":",A187)+1)-SEARCH(":",A187)-1)</f>
        <v>#VALUE!</v>
      </c>
      <c r="G187" s="40" t="e">
        <f>DATEVALUE(SUBSTITUTE(LEFT(F187,SEARCH(" ",F187)-1),".","/"))</f>
        <v>#VALUE!</v>
      </c>
      <c r="I187"/>
      <c r="J187"/>
      <c r="K187"/>
    </row>
    <row r="188" spans="1:11" x14ac:dyDescent="0.25">
      <c r="A188"/>
      <c r="B188"/>
      <c r="C188" t="e">
        <f xml:space="preserve"> MID(A188,SEARCH(":",A188)+2,SEARCH(":",A188,SEARCH(":",A188)+1)-SEARCH(":",A188)-3)</f>
        <v>#VALUE!</v>
      </c>
      <c r="D188" t="e">
        <f>"partner:"&amp;MID(A188,SEARCH(":",A188)+1,SEARCH(":",A188,SEARCH(":",A188)+1)-SEARCH(":",A188)-1)</f>
        <v>#VALUE!</v>
      </c>
      <c r="G188" s="40" t="e">
        <f>DATEVALUE(SUBSTITUTE(LEFT(F188,SEARCH(" ",F188)-1),".","/"))</f>
        <v>#VALUE!</v>
      </c>
      <c r="I188"/>
      <c r="J188"/>
      <c r="K188"/>
    </row>
    <row r="189" spans="1:11" x14ac:dyDescent="0.25">
      <c r="A189"/>
      <c r="B189"/>
      <c r="C189" t="e">
        <f xml:space="preserve"> MID(A189,SEARCH(":",A189)+2,SEARCH(":",A189,SEARCH(":",A189)+1)-SEARCH(":",A189)-3)</f>
        <v>#VALUE!</v>
      </c>
      <c r="D189" t="e">
        <f>"partner:"&amp;MID(A189,SEARCH(":",A189)+1,SEARCH(":",A189,SEARCH(":",A189)+1)-SEARCH(":",A189)-1)</f>
        <v>#VALUE!</v>
      </c>
      <c r="G189" s="40" t="e">
        <f>DATEVALUE(SUBSTITUTE(LEFT(F189,SEARCH(" ",F189)-1),".","/"))</f>
        <v>#VALUE!</v>
      </c>
      <c r="I189"/>
      <c r="J189"/>
      <c r="K189"/>
    </row>
  </sheetData>
  <conditionalFormatting sqref="E1:E1048576">
    <cfRule type="expression" dxfId="4" priority="1">
      <formula>ISBLANK(E1)</formula>
    </cfRule>
  </conditionalFormatting>
  <conditionalFormatting sqref="G1:G1048576">
    <cfRule type="expression" dxfId="3" priority="12">
      <formula>TODAY()-G1&gt;=7</formula>
    </cfRule>
    <cfRule type="expression" dxfId="2" priority="26">
      <formula>TODAY()-G1&gt;=5</formula>
    </cfRule>
    <cfRule type="expression" dxfId="1" priority="27">
      <formula>TODAY()-G1&gt;=3</formula>
    </cfRule>
  </conditionalFormatting>
  <hyperlinks>
    <hyperlink ref="H20"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136"/>
  <sheetViews>
    <sheetView zoomScaleNormal="100" workbookViewId="0">
      <selection activeCell="D2" sqref="D2"/>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hidden="1"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49</v>
      </c>
      <c r="C1" s="1" t="s">
        <v>124</v>
      </c>
      <c r="D1" s="15" t="s">
        <v>45</v>
      </c>
      <c r="E1" s="1" t="s">
        <v>12</v>
      </c>
      <c r="F1" s="1" t="s">
        <v>13</v>
      </c>
      <c r="G1" s="6" t="s">
        <v>14</v>
      </c>
      <c r="H1" s="1" t="s">
        <v>15</v>
      </c>
      <c r="I1" s="1" t="s">
        <v>16</v>
      </c>
      <c r="J1" s="10" t="s">
        <v>42</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45.75" thickTop="1" x14ac:dyDescent="0.25">
      <c r="A2" s="27" t="s">
        <v>50</v>
      </c>
      <c r="B2" s="16" t="str">
        <f t="shared" ref="B2:B65" si="0" xml:space="preserve"> MID(A2,SEARCH(":",A2)+2,SEARCH(":",A2,SEARCH(":",A2)+1)-SEARCH(":",A2)-3)</f>
        <v>Bioplus Specialty Pharmacy</v>
      </c>
      <c r="C2" s="16" t="str">
        <f t="shared" ref="C2:C33" si="1">"partner:"&amp;MID(A2,SEARCH(":",A2)+1,SEARCH(":",A2,SEARCH(":",A2)+1)-SEARCH(":",A2)-1)</f>
        <v xml:space="preserve">partner: Bioplus Specialty Pharmacy </v>
      </c>
      <c r="D2" s="25" t="s">
        <v>102</v>
      </c>
      <c r="E2" s="15" t="str">
        <f>IF(Table22[[#This Row],[Notes]]="","",LEFT(Table22[[#This Row],[Notes]],FIND(CHAR(10),Table22[[#This Row],[Notes]]&amp;CHAR(10))-1))</f>
        <v>11.3.21 Reach out to customer side for the information for Bioplus</v>
      </c>
      <c r="F2" s="16">
        <f t="shared" ref="F2:F65" si="2">DATEVALUE(SUBSTITUTE(LEFT(E2,SEARCH(" ",E2)-1),".","/"))</f>
        <v>44503</v>
      </c>
      <c r="G2" s="20">
        <f t="shared" ref="G2:G65" ca="1" si="3">IF(ISERROR(F2),TODAY(),F2)</f>
        <v>44503</v>
      </c>
      <c r="H2" s="16"/>
      <c r="I2" s="16"/>
      <c r="J2" s="22"/>
      <c r="K2" s="16"/>
      <c r="L2" s="16"/>
      <c r="M2" s="16"/>
      <c r="N2" s="16"/>
      <c r="O2" s="16"/>
      <c r="P2" s="16"/>
      <c r="Q2" s="16"/>
      <c r="R2" s="16"/>
      <c r="S2" s="16"/>
      <c r="T2" s="16"/>
      <c r="U2" s="16"/>
      <c r="V2" s="16"/>
      <c r="W2" s="16"/>
      <c r="X2" s="16"/>
      <c r="Y2" s="16"/>
      <c r="Z2" s="16"/>
      <c r="AA2" s="16"/>
      <c r="AB2" s="16"/>
    </row>
    <row r="3" spans="1:28" ht="90" x14ac:dyDescent="0.25">
      <c r="A3" s="27" t="s">
        <v>56</v>
      </c>
      <c r="B3" s="15" t="str">
        <f t="shared" si="0"/>
        <v>Raynor Gaming</v>
      </c>
      <c r="C3" s="15" t="str">
        <f t="shared" si="1"/>
        <v xml:space="preserve">partner: Raynor Gaming </v>
      </c>
      <c r="D3" s="1" t="s">
        <v>123</v>
      </c>
      <c r="E3" s="15" t="str">
        <f>IF(Table22[[#This Row],[Notes]]="","",LEFT(Table22[[#This Row],[Notes]],FIND(CHAR(10),Table22[[#This Row],[Notes]]&amp;CHAR(10))-1))</f>
        <v>11.3.21 Reach out to new contact:2</v>
      </c>
      <c r="F3" s="15">
        <f t="shared" si="2"/>
        <v>44503</v>
      </c>
      <c r="G3" s="20">
        <f t="shared" ca="1" si="3"/>
        <v>44503</v>
      </c>
      <c r="H3" s="15" t="s">
        <v>57</v>
      </c>
      <c r="I3" s="15"/>
      <c r="J3" s="21"/>
      <c r="K3" s="15"/>
      <c r="L3" s="15"/>
      <c r="M3" s="15"/>
      <c r="N3" s="15"/>
      <c r="O3" s="15"/>
      <c r="P3" s="15"/>
      <c r="Q3" s="15"/>
      <c r="R3" s="15"/>
      <c r="S3" s="15"/>
      <c r="T3" s="15"/>
      <c r="U3" s="15"/>
      <c r="V3" s="15"/>
      <c r="W3" s="15"/>
      <c r="X3" s="15"/>
      <c r="Y3" s="15"/>
      <c r="Z3" s="15"/>
      <c r="AA3" s="15"/>
      <c r="AB3" s="15"/>
    </row>
    <row r="4" spans="1:28" ht="75" x14ac:dyDescent="0.25">
      <c r="A4" s="35" t="s">
        <v>58</v>
      </c>
      <c r="B4" s="16" t="str">
        <f t="shared" si="0"/>
        <v>C2wireless SPS Vendor</v>
      </c>
      <c r="C4" s="15" t="str">
        <f t="shared" si="1"/>
        <v xml:space="preserve">partner: C2wireless SPS Vendor </v>
      </c>
      <c r="D4" s="1" t="s">
        <v>103</v>
      </c>
      <c r="E4" s="15" t="str">
        <f>IF(Table22[[#This Row],[Notes]]="","",LEFT(Table22[[#This Row],[Notes]],FIND(CHAR(10),Table22[[#This Row],[Notes]]&amp;CHAR(10))-1))</f>
        <v>11.4.21 Still need directions for these two transactions</v>
      </c>
      <c r="F4" s="15">
        <f t="shared" si="2"/>
        <v>44504</v>
      </c>
      <c r="G4" s="20">
        <f t="shared" ca="1" si="3"/>
        <v>44504</v>
      </c>
      <c r="H4" s="15" t="s">
        <v>59</v>
      </c>
      <c r="I4" s="15"/>
      <c r="J4" s="21"/>
      <c r="K4" s="15"/>
      <c r="L4" s="15"/>
      <c r="M4" s="15"/>
      <c r="N4" s="15"/>
      <c r="O4" s="15"/>
      <c r="P4" s="15"/>
      <c r="Q4" s="15"/>
      <c r="R4" s="15"/>
      <c r="S4" s="15"/>
      <c r="T4" s="15"/>
      <c r="U4" s="15"/>
      <c r="V4" s="15"/>
      <c r="W4" s="15"/>
      <c r="X4" s="15"/>
      <c r="Y4" s="15"/>
      <c r="Z4" s="15"/>
      <c r="AA4" s="15"/>
      <c r="AB4" s="15"/>
    </row>
    <row r="5" spans="1:28" s="1" customFormat="1" ht="30" x14ac:dyDescent="0.25">
      <c r="A5" s="30" t="s">
        <v>88</v>
      </c>
      <c r="B5" s="15" t="str">
        <f t="shared" si="0"/>
        <v>Cameron Ashley Building Products, Inc.</v>
      </c>
      <c r="C5" s="15" t="str">
        <f t="shared" si="1"/>
        <v xml:space="preserve">partner: Cameron Ashley Building Products, Inc. </v>
      </c>
      <c r="D5" s="1" t="s">
        <v>110</v>
      </c>
      <c r="E5" s="15" t="str">
        <f>IF(Table22[[#This Row],[Notes]]="","",LEFT(Table22[[#This Row],[Notes]],FIND(CHAR(10),Table22[[#This Row],[Notes]]&amp;CHAR(10))-1))</f>
        <v>11.4.21 Reach out to new contact</v>
      </c>
      <c r="F5" s="15">
        <f t="shared" si="2"/>
        <v>44504</v>
      </c>
      <c r="G5" s="20">
        <f t="shared" ca="1" si="3"/>
        <v>44504</v>
      </c>
      <c r="H5" t="s">
        <v>53</v>
      </c>
      <c r="I5" s="15"/>
      <c r="J5" s="21"/>
      <c r="K5" s="15"/>
      <c r="L5" s="15"/>
      <c r="M5" s="15"/>
      <c r="N5" s="15"/>
      <c r="O5" s="15"/>
      <c r="P5" s="15"/>
      <c r="Q5" s="15"/>
      <c r="R5" s="15"/>
      <c r="S5" s="15"/>
      <c r="T5" s="15"/>
      <c r="U5" s="15"/>
      <c r="V5" s="15"/>
      <c r="W5" s="15"/>
      <c r="X5" s="15"/>
      <c r="Y5" s="15"/>
      <c r="Z5" s="15"/>
      <c r="AA5" s="15"/>
      <c r="AB5" s="15"/>
    </row>
    <row r="6" spans="1:28" x14ac:dyDescent="0.25">
      <c r="A6" s="34" t="s">
        <v>86</v>
      </c>
      <c r="B6" s="15" t="str">
        <f t="shared" si="0"/>
        <v>CJ Pony Parts - File Partner</v>
      </c>
      <c r="C6" s="15" t="str">
        <f t="shared" si="1"/>
        <v xml:space="preserve">partner: CJ Pony Parts - File Partner </v>
      </c>
      <c r="D6" s="15" t="s">
        <v>111</v>
      </c>
      <c r="E6" s="15" t="str">
        <f>IF(Table22[[#This Row],[Notes]]="","",LEFT(Table22[[#This Row],[Notes]],FIND(CHAR(10),Table22[[#This Row],[Notes]]&amp;CHAR(10))-1))</f>
        <v>11.4.21 Reach out to trading partner</v>
      </c>
      <c r="F6" s="15">
        <f t="shared" si="2"/>
        <v>44504</v>
      </c>
      <c r="G6" s="20">
        <f t="shared" ca="1" si="3"/>
        <v>44504</v>
      </c>
      <c r="H6" t="s">
        <v>96</v>
      </c>
      <c r="I6" s="15"/>
      <c r="J6" s="21"/>
      <c r="K6" s="15"/>
      <c r="L6" s="15"/>
      <c r="M6" s="15"/>
      <c r="N6" s="15"/>
      <c r="O6" s="15"/>
      <c r="P6" s="15"/>
      <c r="Q6" s="15"/>
      <c r="R6" s="15"/>
      <c r="S6" s="15"/>
      <c r="T6" s="15"/>
      <c r="U6" s="15"/>
      <c r="V6" s="15"/>
      <c r="W6" s="15"/>
      <c r="X6" s="15"/>
      <c r="Y6" s="15"/>
      <c r="Z6" s="15"/>
      <c r="AA6" s="15"/>
      <c r="AB6" s="15"/>
    </row>
    <row r="7" spans="1:28" s="13" customFormat="1" ht="30.75" thickBot="1" x14ac:dyDescent="0.3">
      <c r="A7" s="34" t="s">
        <v>79</v>
      </c>
      <c r="B7" s="15" t="str">
        <f t="shared" si="0"/>
        <v>Coborn's Central Support Pharmacy</v>
      </c>
      <c r="C7" s="15" t="str">
        <f t="shared" si="1"/>
        <v xml:space="preserve">partner: Coborn's Central Support Pharmacy </v>
      </c>
      <c r="D7" s="1" t="s">
        <v>112</v>
      </c>
      <c r="E7" s="15" t="str">
        <f>IF(Table22[[#This Row],[Notes]]="","",LEFT(Table22[[#This Row],[Notes]],FIND(CHAR(10),Table22[[#This Row],[Notes]]&amp;CHAR(10))-1))</f>
        <v>11.4.21 Reach out to Charlie for a new contact</v>
      </c>
      <c r="F7" s="15">
        <f t="shared" si="2"/>
        <v>44504</v>
      </c>
      <c r="G7" s="20">
        <f t="shared" ca="1" si="3"/>
        <v>44504</v>
      </c>
      <c r="H7" t="s">
        <v>53</v>
      </c>
      <c r="I7" s="15"/>
      <c r="J7" s="21"/>
      <c r="K7" s="15"/>
      <c r="L7" s="15"/>
      <c r="M7" s="15"/>
      <c r="N7" s="15"/>
      <c r="O7" s="15"/>
      <c r="P7" s="15"/>
      <c r="Q7" s="15"/>
      <c r="R7" s="15"/>
      <c r="S7" s="15"/>
      <c r="T7" s="15"/>
      <c r="U7" s="15"/>
      <c r="V7" s="15"/>
      <c r="W7" s="15"/>
      <c r="X7" s="15"/>
      <c r="Y7" s="15"/>
      <c r="Z7" s="15"/>
      <c r="AA7" s="15"/>
      <c r="AB7" s="15"/>
    </row>
    <row r="8" spans="1:28" s="5" customFormat="1" ht="150" x14ac:dyDescent="0.25">
      <c r="A8" s="28" t="s">
        <v>51</v>
      </c>
      <c r="B8" s="16" t="str">
        <f t="shared" si="0"/>
        <v>Cosma - Bowling Green Metalforming</v>
      </c>
      <c r="C8" s="16" t="str">
        <f t="shared" si="1"/>
        <v xml:space="preserve">partner: Cosma - Bowling Green Metalforming </v>
      </c>
      <c r="D8" s="25" t="s">
        <v>104</v>
      </c>
      <c r="E8" s="15" t="str">
        <f>IF(Table22[[#This Row],[Notes]]="","",LEFT(Table22[[#This Row],[Notes]],FIND(CHAR(10),Table22[[#This Row],[Notes]]&amp;CHAR(10))-1))</f>
        <v>11.4.21 Waiting for new contact from Brandon</v>
      </c>
      <c r="F8" s="16">
        <f t="shared" si="2"/>
        <v>44504</v>
      </c>
      <c r="G8" s="20">
        <f t="shared" ca="1" si="3"/>
        <v>44504</v>
      </c>
      <c r="H8" s="16" t="s">
        <v>52</v>
      </c>
      <c r="I8" s="16"/>
      <c r="J8" s="22"/>
      <c r="K8" s="16"/>
      <c r="L8" s="16"/>
      <c r="M8" s="16"/>
      <c r="N8" s="16"/>
      <c r="O8" s="16"/>
      <c r="P8" s="16"/>
      <c r="Q8" s="16"/>
      <c r="R8" s="16"/>
      <c r="S8" s="16"/>
      <c r="T8" s="16"/>
      <c r="U8" s="16"/>
      <c r="V8" s="16"/>
      <c r="W8" s="16"/>
      <c r="X8" s="16"/>
      <c r="Y8" s="16"/>
      <c r="Z8" s="16"/>
      <c r="AA8" s="16"/>
      <c r="AB8" s="16"/>
    </row>
    <row r="9" spans="1:28" x14ac:dyDescent="0.25">
      <c r="A9" s="32" t="s">
        <v>89</v>
      </c>
      <c r="B9" s="15" t="str">
        <f t="shared" si="0"/>
        <v>Full Compass</v>
      </c>
      <c r="C9" s="15" t="str">
        <f t="shared" si="1"/>
        <v xml:space="preserve">partner: Full Compass </v>
      </c>
      <c r="D9" s="15" t="s">
        <v>111</v>
      </c>
      <c r="E9" s="15" t="str">
        <f>IF(Table22[[#This Row],[Notes]]="","",LEFT(Table22[[#This Row],[Notes]],FIND(CHAR(10),Table22[[#This Row],[Notes]]&amp;CHAR(10))-1))</f>
        <v>11.4.21 Reach out to trading partner</v>
      </c>
      <c r="F9" s="15">
        <f t="shared" si="2"/>
        <v>44504</v>
      </c>
      <c r="G9" s="20">
        <f t="shared" ca="1" si="3"/>
        <v>44504</v>
      </c>
      <c r="H9" t="s">
        <v>98</v>
      </c>
      <c r="I9" s="15"/>
      <c r="J9" s="21"/>
      <c r="K9" s="15"/>
      <c r="L9" s="15"/>
      <c r="M9" s="15"/>
      <c r="N9" s="15"/>
      <c r="O9" s="15"/>
      <c r="P9" s="15"/>
      <c r="Q9" s="15"/>
      <c r="R9" s="15"/>
      <c r="S9" s="15"/>
      <c r="T9" s="15"/>
      <c r="U9" s="15"/>
      <c r="V9" s="15"/>
      <c r="W9" s="15"/>
      <c r="X9" s="15"/>
      <c r="Y9" s="15"/>
      <c r="Z9" s="15"/>
      <c r="AA9" s="15"/>
      <c r="AB9" s="15"/>
    </row>
    <row r="10" spans="1:28" s="18" customFormat="1" ht="60" x14ac:dyDescent="0.25">
      <c r="A10" s="27" t="s">
        <v>60</v>
      </c>
      <c r="B10" s="16" t="str">
        <f t="shared" si="0"/>
        <v>Herregan Distributors Inc.</v>
      </c>
      <c r="C10" s="15" t="str">
        <f t="shared" si="1"/>
        <v xml:space="preserve">partner: Herregan Distributors Inc. </v>
      </c>
      <c r="D10" s="1" t="s">
        <v>105</v>
      </c>
      <c r="E10" s="15" t="str">
        <f>IF(Table22[[#This Row],[Notes]]="","",LEFT(Table22[[#This Row],[Notes]],FIND(CHAR(10),Table22[[#This Row],[Notes]]&amp;CHAR(10))-1))</f>
        <v xml:space="preserve">11.4.21 Waiting for the updates for connection methods </v>
      </c>
      <c r="F10" s="15">
        <f t="shared" si="2"/>
        <v>44504</v>
      </c>
      <c r="G10" s="20">
        <f t="shared" ca="1" si="3"/>
        <v>44504</v>
      </c>
      <c r="H10" s="15" t="s">
        <v>69</v>
      </c>
      <c r="I10" s="15"/>
      <c r="J10" s="21"/>
      <c r="K10" s="15"/>
      <c r="L10" s="15"/>
      <c r="M10" s="15"/>
      <c r="N10" s="15"/>
      <c r="O10" s="15"/>
      <c r="P10" s="15"/>
      <c r="Q10" s="15"/>
      <c r="R10" s="15"/>
      <c r="S10" s="15"/>
      <c r="T10" s="15"/>
      <c r="U10" s="15"/>
      <c r="V10" s="15"/>
      <c r="W10" s="15"/>
      <c r="X10" s="15"/>
      <c r="Y10" s="15"/>
      <c r="Z10" s="15"/>
      <c r="AA10" s="15"/>
      <c r="AB10" s="15"/>
    </row>
    <row r="11" spans="1:28" ht="30" x14ac:dyDescent="0.25">
      <c r="A11" s="34" t="s">
        <v>77</v>
      </c>
      <c r="B11" s="15" t="str">
        <f t="shared" si="0"/>
        <v>Home Depot Pro</v>
      </c>
      <c r="C11" s="15" t="str">
        <f t="shared" si="1"/>
        <v xml:space="preserve">partner: Home Depot Pro </v>
      </c>
      <c r="D11" s="1" t="s">
        <v>106</v>
      </c>
      <c r="E11" s="15" t="str">
        <f>IF(Table22[[#This Row],[Notes]]="","",LEFT(Table22[[#This Row],[Notes]],FIND(CHAR(10),Table22[[#This Row],[Notes]]&amp;CHAR(10))-1))</f>
        <v>11.4.21 Reach out to new contact:1</v>
      </c>
      <c r="F11" s="15">
        <f t="shared" si="2"/>
        <v>44504</v>
      </c>
      <c r="G11" s="20">
        <f t="shared" ca="1" si="3"/>
        <v>44504</v>
      </c>
      <c r="H11" s="15"/>
      <c r="I11" s="15"/>
      <c r="J11" s="21"/>
      <c r="K11" s="15"/>
      <c r="L11" s="15"/>
      <c r="M11" s="15"/>
      <c r="N11" s="15"/>
      <c r="O11" s="15"/>
      <c r="P11" s="15"/>
      <c r="Q11" s="15"/>
      <c r="R11" s="15"/>
      <c r="S11" s="15"/>
      <c r="T11" s="15"/>
      <c r="U11" s="15"/>
      <c r="V11" s="15"/>
      <c r="W11" s="15"/>
      <c r="X11" s="15"/>
      <c r="Y11" s="15"/>
      <c r="Z11" s="15"/>
      <c r="AA11" s="15"/>
      <c r="AB11" s="15"/>
    </row>
    <row r="12" spans="1:28" s="1" customFormat="1" x14ac:dyDescent="0.25">
      <c r="A12" s="34" t="s">
        <v>81</v>
      </c>
      <c r="B12" s="15" t="str">
        <f t="shared" si="0"/>
        <v>Magna Closures</v>
      </c>
      <c r="C12" s="15" t="str">
        <f t="shared" si="1"/>
        <v xml:space="preserve">partner: Magna Closures </v>
      </c>
      <c r="D12" s="15" t="s">
        <v>111</v>
      </c>
      <c r="E12" s="15" t="str">
        <f>IF(Table22[[#This Row],[Notes]]="","",LEFT(Table22[[#This Row],[Notes]],FIND(CHAR(10),Table22[[#This Row],[Notes]]&amp;CHAR(10))-1))</f>
        <v>11.4.21 Reach out to trading partner</v>
      </c>
      <c r="F12" s="15">
        <f t="shared" si="2"/>
        <v>44504</v>
      </c>
      <c r="G12" s="20">
        <f t="shared" ca="1" si="3"/>
        <v>44504</v>
      </c>
      <c r="H12" t="s">
        <v>94</v>
      </c>
      <c r="I12" s="15"/>
      <c r="J12" s="21"/>
      <c r="K12" s="15"/>
      <c r="L12" s="15"/>
      <c r="M12" s="15"/>
      <c r="N12" s="15"/>
      <c r="O12" s="15"/>
      <c r="P12" s="15"/>
      <c r="Q12" s="15"/>
      <c r="R12" s="15"/>
      <c r="S12" s="15"/>
      <c r="T12" s="15"/>
      <c r="U12" s="15"/>
      <c r="V12" s="15"/>
      <c r="W12" s="15"/>
      <c r="X12" s="15"/>
      <c r="Y12" s="15"/>
      <c r="Z12" s="15"/>
      <c r="AA12" s="15"/>
      <c r="AB12" s="15"/>
    </row>
    <row r="13" spans="1:28" x14ac:dyDescent="0.25">
      <c r="A13" s="34" t="s">
        <v>91</v>
      </c>
      <c r="B13" s="15" t="str">
        <f t="shared" si="0"/>
        <v>Peg Perego</v>
      </c>
      <c r="C13" s="15" t="str">
        <f t="shared" si="1"/>
        <v xml:space="preserve">partner: Peg Perego </v>
      </c>
      <c r="D13" s="15" t="s">
        <v>111</v>
      </c>
      <c r="E13" s="15" t="str">
        <f>IF(Table22[[#This Row],[Notes]]="","",LEFT(Table22[[#This Row],[Notes]],FIND(CHAR(10),Table22[[#This Row],[Notes]]&amp;CHAR(10))-1))</f>
        <v>11.4.21 Reach out to trading partner</v>
      </c>
      <c r="F13" s="15">
        <f t="shared" si="2"/>
        <v>44504</v>
      </c>
      <c r="G13" s="20">
        <f t="shared" ca="1" si="3"/>
        <v>44504</v>
      </c>
      <c r="H13" t="s">
        <v>100</v>
      </c>
      <c r="I13" s="15"/>
      <c r="J13" s="21"/>
      <c r="K13" s="15"/>
      <c r="L13" s="15"/>
      <c r="M13" s="15"/>
      <c r="N13" s="15"/>
      <c r="O13" s="15"/>
      <c r="P13" s="15"/>
      <c r="Q13" s="15"/>
      <c r="R13" s="15"/>
      <c r="S13" s="15"/>
      <c r="T13" s="15"/>
      <c r="U13" s="15"/>
      <c r="V13" s="15"/>
      <c r="W13" s="15"/>
      <c r="X13" s="15"/>
      <c r="Y13" s="15"/>
      <c r="Z13" s="15"/>
      <c r="AA13" s="15"/>
      <c r="AB13" s="15"/>
    </row>
    <row r="14" spans="1:28" x14ac:dyDescent="0.25">
      <c r="A14" s="34" t="s">
        <v>87</v>
      </c>
      <c r="B14" s="15" t="str">
        <f t="shared" si="0"/>
        <v>Quadratec Vendor</v>
      </c>
      <c r="C14" s="15" t="str">
        <f t="shared" si="1"/>
        <v xml:space="preserve">partner: Quadratec Vendor </v>
      </c>
      <c r="D14" s="15" t="s">
        <v>111</v>
      </c>
      <c r="E14" s="15" t="str">
        <f>IF(Table22[[#This Row],[Notes]]="","",LEFT(Table22[[#This Row],[Notes]],FIND(CHAR(10),Table22[[#This Row],[Notes]]&amp;CHAR(10))-1))</f>
        <v>11.4.21 Reach out to trading partner</v>
      </c>
      <c r="F14" s="15">
        <f t="shared" si="2"/>
        <v>44504</v>
      </c>
      <c r="G14" s="20">
        <f t="shared" ca="1" si="3"/>
        <v>44504</v>
      </c>
      <c r="H14" t="s">
        <v>97</v>
      </c>
      <c r="I14" s="15"/>
      <c r="J14" s="21"/>
      <c r="K14" s="15"/>
      <c r="L14" s="15"/>
      <c r="M14" s="15"/>
      <c r="N14" s="15"/>
      <c r="O14" s="15"/>
      <c r="P14" s="15"/>
      <c r="Q14" s="15"/>
      <c r="R14" s="15"/>
      <c r="S14" s="15"/>
      <c r="T14" s="15"/>
      <c r="U14" s="15"/>
      <c r="V14" s="15"/>
      <c r="W14" s="15"/>
      <c r="X14" s="15"/>
      <c r="Y14" s="15"/>
      <c r="Z14" s="15"/>
      <c r="AA14" s="15"/>
      <c r="AB14" s="15"/>
    </row>
    <row r="15" spans="1:28" x14ac:dyDescent="0.25">
      <c r="A15" s="33" t="s">
        <v>85</v>
      </c>
      <c r="B15" s="15" t="str">
        <f t="shared" si="0"/>
        <v>Thoroughbred Diesel</v>
      </c>
      <c r="C15" s="15" t="str">
        <f t="shared" si="1"/>
        <v xml:space="preserve">partner: Thoroughbred Diesel </v>
      </c>
      <c r="D15" s="15" t="s">
        <v>111</v>
      </c>
      <c r="E15" s="15" t="str">
        <f>IF(Table22[[#This Row],[Notes]]="","",LEFT(Table22[[#This Row],[Notes]],FIND(CHAR(10),Table22[[#This Row],[Notes]]&amp;CHAR(10))-1))</f>
        <v>11.4.21 Reach out to trading partner</v>
      </c>
      <c r="F15" s="15">
        <f t="shared" si="2"/>
        <v>44504</v>
      </c>
      <c r="G15" s="20">
        <f t="shared" ca="1" si="3"/>
        <v>44504</v>
      </c>
      <c r="H15" t="s">
        <v>95</v>
      </c>
      <c r="I15" s="15"/>
      <c r="J15" s="21"/>
      <c r="K15" s="15"/>
      <c r="L15" s="15"/>
      <c r="M15" s="15"/>
      <c r="N15" s="15"/>
      <c r="O15" s="15"/>
      <c r="P15" s="15"/>
      <c r="Q15" s="15"/>
      <c r="R15" s="15"/>
      <c r="S15" s="15"/>
      <c r="T15" s="15"/>
      <c r="U15" s="15"/>
      <c r="V15" s="15"/>
      <c r="W15" s="15"/>
      <c r="X15" s="15"/>
      <c r="Y15" s="15"/>
      <c r="Z15" s="15"/>
      <c r="AA15" s="15"/>
      <c r="AB15" s="15"/>
    </row>
    <row r="16" spans="1:28" s="19" customFormat="1" ht="45" x14ac:dyDescent="0.25">
      <c r="A16" s="27" t="s">
        <v>62</v>
      </c>
      <c r="B16" s="16" t="str">
        <f t="shared" si="0"/>
        <v>Tower Automotive - Bellevue</v>
      </c>
      <c r="C16" s="15" t="str">
        <f t="shared" si="1"/>
        <v xml:space="preserve">partner: Tower Automotive - Bellevue </v>
      </c>
      <c r="D16" s="1" t="s">
        <v>107</v>
      </c>
      <c r="E16" s="15" t="str">
        <f>IF(Table22[[#This Row],[Notes]]="","",LEFT(Table22[[#This Row],[Notes]],FIND(CHAR(10),Table22[[#This Row],[Notes]]&amp;CHAR(10))-1))</f>
        <v>11.4.21 Reach out to trading partner: 3</v>
      </c>
      <c r="F16" s="15">
        <f t="shared" si="2"/>
        <v>44504</v>
      </c>
      <c r="G16" s="20">
        <f t="shared" ca="1" si="3"/>
        <v>44504</v>
      </c>
      <c r="H16" s="15" t="s">
        <v>72</v>
      </c>
      <c r="I16" s="15"/>
      <c r="J16" s="21"/>
      <c r="K16" s="15"/>
      <c r="L16" s="15"/>
      <c r="M16" s="15"/>
      <c r="N16" s="15"/>
      <c r="O16" s="15"/>
      <c r="P16" s="15"/>
      <c r="Q16" s="15"/>
      <c r="R16" s="15"/>
      <c r="S16" s="15"/>
      <c r="T16" s="15"/>
      <c r="U16" s="15"/>
      <c r="V16" s="15"/>
      <c r="W16" s="15"/>
      <c r="X16" s="15"/>
      <c r="Y16" s="15"/>
      <c r="Z16" s="15"/>
      <c r="AA16" s="15"/>
      <c r="AB16" s="15"/>
    </row>
    <row r="17" spans="1:28" ht="150.75" thickBot="1" x14ac:dyDescent="0.3">
      <c r="A17" s="27" t="s">
        <v>48</v>
      </c>
      <c r="B17" s="16" t="str">
        <f t="shared" si="0"/>
        <v>Trenton Cold Storage</v>
      </c>
      <c r="C17" s="16" t="str">
        <f t="shared" si="1"/>
        <v xml:space="preserve">partner: Trenton Cold Storage </v>
      </c>
      <c r="D17" s="25" t="s">
        <v>109</v>
      </c>
      <c r="E17" s="15" t="str">
        <f>IF(Table22[[#This Row],[Notes]]="","",LEFT(Table22[[#This Row],[Notes]],FIND(CHAR(10),Table22[[#This Row],[Notes]]&amp;CHAR(10))-1))</f>
        <v>11.4.21 Reach out to Lori for a new contact</v>
      </c>
      <c r="F17" s="16">
        <f t="shared" si="2"/>
        <v>44504</v>
      </c>
      <c r="G17" s="20">
        <f t="shared" ca="1" si="3"/>
        <v>44504</v>
      </c>
      <c r="H17" s="16"/>
      <c r="I17" s="16"/>
      <c r="J17" s="22"/>
      <c r="K17" s="16"/>
      <c r="L17" s="16"/>
      <c r="M17" s="16"/>
      <c r="N17" s="16"/>
      <c r="O17" s="16"/>
      <c r="P17" s="16"/>
      <c r="Q17" s="16"/>
      <c r="R17" s="16"/>
      <c r="S17" s="16"/>
      <c r="T17" s="16"/>
      <c r="U17" s="16"/>
      <c r="V17" s="16"/>
      <c r="W17" s="16"/>
      <c r="X17" s="16"/>
      <c r="Y17" s="16"/>
      <c r="Z17" s="16"/>
      <c r="AA17" s="16"/>
      <c r="AB17" s="16"/>
    </row>
    <row r="18" spans="1:28" s="4" customFormat="1" x14ac:dyDescent="0.25">
      <c r="A18" s="31" t="s">
        <v>90</v>
      </c>
      <c r="B18" s="15" t="str">
        <f t="shared" si="0"/>
        <v>Uppa Baby</v>
      </c>
      <c r="C18" s="15" t="str">
        <f t="shared" si="1"/>
        <v xml:space="preserve">partner: Uppa Baby </v>
      </c>
      <c r="D18" s="15" t="s">
        <v>111</v>
      </c>
      <c r="E18" s="15" t="str">
        <f>IF(Table22[[#This Row],[Notes]]="","",LEFT(Table22[[#This Row],[Notes]],FIND(CHAR(10),Table22[[#This Row],[Notes]]&amp;CHAR(10))-1))</f>
        <v>11.4.21 Reach out to trading partner</v>
      </c>
      <c r="F18" s="15">
        <f t="shared" si="2"/>
        <v>44504</v>
      </c>
      <c r="G18" s="20">
        <f t="shared" ca="1" si="3"/>
        <v>44504</v>
      </c>
      <c r="H18" t="s">
        <v>99</v>
      </c>
      <c r="I18" s="15"/>
      <c r="J18" s="21"/>
      <c r="K18" s="15"/>
      <c r="L18" s="15"/>
      <c r="M18" s="15"/>
      <c r="N18" s="15"/>
      <c r="O18" s="15"/>
      <c r="P18" s="15"/>
      <c r="Q18" s="15"/>
      <c r="R18" s="15"/>
      <c r="S18" s="15"/>
      <c r="T18" s="15"/>
      <c r="U18" s="15"/>
      <c r="V18" s="15"/>
      <c r="W18" s="15"/>
      <c r="X18" s="15"/>
      <c r="Y18" s="15"/>
      <c r="Z18" s="15"/>
      <c r="AA18" s="15"/>
      <c r="AB18" s="15"/>
    </row>
    <row r="19" spans="1:28" s="4" customFormat="1" ht="45" x14ac:dyDescent="0.25">
      <c r="A19" s="35" t="s">
        <v>66</v>
      </c>
      <c r="B19" s="16" t="str">
        <f t="shared" si="0"/>
        <v>Valley Bakers</v>
      </c>
      <c r="C19" s="15" t="str">
        <f t="shared" si="1"/>
        <v xml:space="preserve">partner: Valley Bakers </v>
      </c>
      <c r="D19" s="1" t="s">
        <v>108</v>
      </c>
      <c r="E19" s="15" t="str">
        <f>IF(Table22[[#This Row],[Notes]]="","",LEFT(Table22[[#This Row],[Notes]],FIND(CHAR(10),Table22[[#This Row],[Notes]]&amp;CHAR(10))-1))</f>
        <v>11.4.21 Reach out to Hirono for the details from customer</v>
      </c>
      <c r="F19" s="15">
        <f t="shared" si="2"/>
        <v>44504</v>
      </c>
      <c r="G19" s="20">
        <f t="shared" ca="1" si="3"/>
        <v>44504</v>
      </c>
      <c r="H19" s="15" t="s">
        <v>74</v>
      </c>
      <c r="I19" s="15"/>
      <c r="J19" s="21"/>
      <c r="K19" s="15"/>
      <c r="L19" s="15"/>
      <c r="M19" s="15"/>
      <c r="N19" s="15"/>
      <c r="O19" s="15"/>
      <c r="P19" s="15"/>
      <c r="Q19" s="15"/>
      <c r="R19" s="15"/>
      <c r="S19" s="15"/>
      <c r="T19" s="15"/>
      <c r="U19" s="15"/>
      <c r="V19" s="15"/>
      <c r="W19" s="15"/>
      <c r="X19" s="15"/>
      <c r="Y19" s="15"/>
      <c r="Z19" s="15"/>
      <c r="AA19" s="15"/>
      <c r="AB19" s="15"/>
    </row>
    <row r="20" spans="1:28" s="4" customFormat="1" x14ac:dyDescent="0.25">
      <c r="A20" s="34" t="s">
        <v>80</v>
      </c>
      <c r="B20" s="15" t="str">
        <f t="shared" si="0"/>
        <v>Windsor Modules</v>
      </c>
      <c r="C20" s="15" t="str">
        <f t="shared" si="1"/>
        <v xml:space="preserve">partner: Windsor Modules </v>
      </c>
      <c r="D20" s="15" t="s">
        <v>111</v>
      </c>
      <c r="E20" s="15" t="str">
        <f>IF(Table22[[#This Row],[Notes]]="","",LEFT(Table22[[#This Row],[Notes]],FIND(CHAR(10),Table22[[#This Row],[Notes]]&amp;CHAR(10))-1))</f>
        <v>11.4.21 Reach out to trading partner</v>
      </c>
      <c r="F20" s="15">
        <f t="shared" si="2"/>
        <v>44504</v>
      </c>
      <c r="G20" s="20">
        <f t="shared" ca="1" si="3"/>
        <v>44504</v>
      </c>
      <c r="H20" t="s">
        <v>93</v>
      </c>
      <c r="I20" s="15"/>
      <c r="J20" s="21"/>
      <c r="K20" s="15"/>
      <c r="L20" s="15"/>
      <c r="M20" s="15"/>
      <c r="N20" s="15"/>
      <c r="O20" s="15"/>
      <c r="P20" s="15"/>
      <c r="Q20" s="15"/>
      <c r="R20" s="15"/>
      <c r="S20" s="15"/>
      <c r="T20" s="15"/>
      <c r="U20" s="15"/>
      <c r="V20" s="15"/>
      <c r="W20" s="15"/>
      <c r="X20" s="15"/>
      <c r="Y20" s="15"/>
      <c r="Z20" s="15"/>
      <c r="AA20" s="15"/>
      <c r="AB20" s="15"/>
    </row>
    <row r="21" spans="1:28" s="24" customFormat="1" x14ac:dyDescent="0.25">
      <c r="A21" s="33" t="s">
        <v>113</v>
      </c>
      <c r="B21" s="15" t="str">
        <f t="shared" si="0"/>
        <v>Cymbio</v>
      </c>
      <c r="C21" s="15" t="str">
        <f t="shared" si="1"/>
        <v xml:space="preserve">partner: Cymbio </v>
      </c>
      <c r="D21" s="15" t="s">
        <v>111</v>
      </c>
      <c r="E21" s="15" t="str">
        <f>IF(Table22[[#This Row],[Notes]]="","",LEFT(Table22[[#This Row],[Notes]],FIND(CHAR(10),Table22[[#This Row],[Notes]]&amp;CHAR(10))-1))</f>
        <v>11.4.21 Reach out to trading partner</v>
      </c>
      <c r="F21" s="15">
        <f t="shared" si="2"/>
        <v>44504</v>
      </c>
      <c r="G21" s="20">
        <f t="shared" ca="1" si="3"/>
        <v>44504</v>
      </c>
      <c r="H21" s="15"/>
      <c r="I21" s="15"/>
      <c r="J21" s="21"/>
      <c r="K21" s="15"/>
      <c r="L21" s="15"/>
      <c r="M21" s="15"/>
      <c r="N21" s="15"/>
      <c r="O21" s="15"/>
      <c r="P21" s="15"/>
      <c r="Q21" s="15"/>
      <c r="R21" s="15"/>
      <c r="S21" s="15"/>
      <c r="T21" s="15"/>
      <c r="U21" s="15"/>
      <c r="V21" s="15"/>
      <c r="W21" s="15"/>
      <c r="X21" s="15"/>
      <c r="Y21" s="15"/>
      <c r="Z21" s="15"/>
      <c r="AA21" s="15"/>
      <c r="AB21" s="15"/>
    </row>
    <row r="22" spans="1:28" s="23" customFormat="1" ht="60" x14ac:dyDescent="0.25">
      <c r="A22" s="27" t="s">
        <v>65</v>
      </c>
      <c r="B22" s="16" t="str">
        <f t="shared" si="0"/>
        <v>Georges Music XML</v>
      </c>
      <c r="C22" s="15" t="str">
        <f t="shared" si="1"/>
        <v xml:space="preserve">partner: Georges Music XML </v>
      </c>
      <c r="D22" s="1" t="s">
        <v>118</v>
      </c>
      <c r="E22" s="15" t="str">
        <f>IF(Table22[[#This Row],[Notes]]="","",LEFT(Table22[[#This Row],[Notes]],FIND(CHAR(10),Table22[[#This Row],[Notes]]&amp;CHAR(10))-1))</f>
        <v>11.5.21 Reach out to Aaron for help</v>
      </c>
      <c r="F22" s="15">
        <f t="shared" si="2"/>
        <v>44505</v>
      </c>
      <c r="G22" s="20">
        <f t="shared" ca="1" si="3"/>
        <v>44505</v>
      </c>
      <c r="H22" s="15" t="s">
        <v>53</v>
      </c>
      <c r="I22" s="15"/>
      <c r="J22" s="21"/>
      <c r="K22" s="15"/>
      <c r="L22" s="15"/>
      <c r="M22" s="15"/>
      <c r="N22" s="15"/>
      <c r="O22" s="15"/>
      <c r="P22" s="15"/>
      <c r="Q22" s="15"/>
      <c r="R22" s="15"/>
      <c r="S22" s="15"/>
      <c r="T22" s="15"/>
      <c r="U22" s="15"/>
      <c r="V22" s="15"/>
      <c r="W22" s="15"/>
      <c r="X22" s="15"/>
      <c r="Y22" s="15"/>
      <c r="Z22" s="15"/>
      <c r="AA22" s="15"/>
      <c r="AB22" s="15"/>
    </row>
    <row r="23" spans="1:28" ht="30" x14ac:dyDescent="0.25">
      <c r="A23" s="34" t="s">
        <v>83</v>
      </c>
      <c r="B23" s="15" t="str">
        <f t="shared" si="0"/>
        <v>Lear Montgomery AL</v>
      </c>
      <c r="C23" s="15" t="str">
        <f t="shared" si="1"/>
        <v xml:space="preserve">partner: Lear Montgomery AL </v>
      </c>
      <c r="D23" s="1" t="s">
        <v>114</v>
      </c>
      <c r="E23" s="15" t="str">
        <f>IF(Table22[[#This Row],[Notes]]="","",LEFT(Table22[[#This Row],[Notes]],FIND(CHAR(10),Table22[[#This Row],[Notes]]&amp;CHAR(10))-1))</f>
        <v>11.5.21 Reach out to Lori for a new contact</v>
      </c>
      <c r="F23" s="15">
        <f t="shared" si="2"/>
        <v>44505</v>
      </c>
      <c r="G23" s="20">
        <f t="shared" ca="1" si="3"/>
        <v>44505</v>
      </c>
      <c r="H23" t="s">
        <v>53</v>
      </c>
      <c r="I23" s="15"/>
      <c r="J23" s="21"/>
      <c r="K23" s="15"/>
      <c r="L23" s="15"/>
      <c r="M23" s="15"/>
      <c r="N23" s="15"/>
      <c r="O23" s="15"/>
      <c r="P23" s="15"/>
      <c r="Q23" s="15"/>
      <c r="R23" s="15"/>
      <c r="S23" s="15"/>
      <c r="T23" s="15"/>
      <c r="U23" s="15"/>
      <c r="V23" s="15"/>
      <c r="W23" s="15"/>
      <c r="X23" s="15"/>
      <c r="Y23" s="15"/>
      <c r="Z23" s="15"/>
      <c r="AA23" s="15"/>
      <c r="AB23" s="15"/>
    </row>
    <row r="24" spans="1:28" s="14" customFormat="1" ht="15.75" customHeight="1" thickBot="1" x14ac:dyDescent="0.3">
      <c r="A24" s="34" t="s">
        <v>82</v>
      </c>
      <c r="B24" s="15" t="str">
        <f t="shared" si="0"/>
        <v>Magna Seating Vendor</v>
      </c>
      <c r="C24" s="15" t="str">
        <f t="shared" si="1"/>
        <v xml:space="preserve">partner: Magna Seating Vendor </v>
      </c>
      <c r="D24" s="15" t="s">
        <v>115</v>
      </c>
      <c r="E24" s="15" t="str">
        <f>IF(Table22[[#This Row],[Notes]]="","",LEFT(Table22[[#This Row],[Notes]],FIND(CHAR(10),Table22[[#This Row],[Notes]]&amp;CHAR(10))-1))</f>
        <v>11.5.21 Reach out to trading partner</v>
      </c>
      <c r="F24" s="15">
        <f t="shared" si="2"/>
        <v>44505</v>
      </c>
      <c r="G24" s="20">
        <f t="shared" ca="1" si="3"/>
        <v>44505</v>
      </c>
      <c r="H24" t="s">
        <v>92</v>
      </c>
      <c r="I24" s="15"/>
      <c r="J24" s="21"/>
      <c r="K24" s="15"/>
      <c r="L24" s="15"/>
      <c r="M24" s="15"/>
      <c r="N24" s="15"/>
      <c r="O24" s="15"/>
      <c r="P24" s="15"/>
      <c r="Q24" s="15"/>
      <c r="R24" s="15"/>
      <c r="S24" s="15"/>
      <c r="T24" s="15"/>
      <c r="U24" s="15"/>
      <c r="V24" s="15"/>
      <c r="W24" s="15"/>
      <c r="X24" s="15"/>
      <c r="Y24" s="15"/>
      <c r="Z24" s="15"/>
      <c r="AA24" s="15"/>
      <c r="AB24" s="15"/>
    </row>
    <row r="25" spans="1:28" ht="30" x14ac:dyDescent="0.25">
      <c r="A25" s="31" t="s">
        <v>78</v>
      </c>
      <c r="B25" s="15" t="str">
        <f t="shared" si="0"/>
        <v>Malouf</v>
      </c>
      <c r="C25" s="15" t="str">
        <f t="shared" si="1"/>
        <v xml:space="preserve">partner: Malouf </v>
      </c>
      <c r="D25" s="1" t="s">
        <v>116</v>
      </c>
      <c r="E25" s="15" t="str">
        <f>IF(Table22[[#This Row],[Notes]]="","",LEFT(Table22[[#This Row],[Notes]],FIND(CHAR(10),Table22[[#This Row],[Notes]]&amp;CHAR(10))-1))</f>
        <v>11.5.21 Reach out to  Lee for a new contact</v>
      </c>
      <c r="F25" s="15">
        <f t="shared" si="2"/>
        <v>44505</v>
      </c>
      <c r="G25" s="20">
        <f t="shared" ca="1" si="3"/>
        <v>44505</v>
      </c>
      <c r="H25" t="s">
        <v>53</v>
      </c>
      <c r="I25" s="15"/>
      <c r="J25" s="21"/>
      <c r="K25" s="15"/>
      <c r="L25" s="15"/>
      <c r="M25" s="15"/>
      <c r="N25" s="15"/>
      <c r="O25" s="15"/>
      <c r="P25" s="15"/>
      <c r="Q25" s="15"/>
      <c r="R25" s="15"/>
      <c r="S25" s="15"/>
      <c r="T25" s="15"/>
      <c r="U25" s="15"/>
      <c r="V25" s="15"/>
      <c r="W25" s="15"/>
      <c r="X25" s="15"/>
      <c r="Y25" s="15"/>
      <c r="Z25" s="15"/>
      <c r="AA25" s="15"/>
      <c r="AB25" s="15"/>
    </row>
    <row r="26" spans="1:28" x14ac:dyDescent="0.25">
      <c r="A26" s="30" t="s">
        <v>84</v>
      </c>
      <c r="B26" s="15" t="str">
        <f t="shared" si="0"/>
        <v>Robertson</v>
      </c>
      <c r="C26" s="15" t="str">
        <f t="shared" si="1"/>
        <v xml:space="preserve">partner: Robertson </v>
      </c>
      <c r="D26" s="15" t="s">
        <v>115</v>
      </c>
      <c r="E26" s="15" t="str">
        <f>IF(Table22[[#This Row],[Notes]]="","",LEFT(Table22[[#This Row],[Notes]],FIND(CHAR(10),Table22[[#This Row],[Notes]]&amp;CHAR(10))-1))</f>
        <v>11.5.21 Reach out to trading partner</v>
      </c>
      <c r="F26" s="15">
        <f t="shared" si="2"/>
        <v>44505</v>
      </c>
      <c r="G26" s="20">
        <f t="shared" ca="1" si="3"/>
        <v>44505</v>
      </c>
      <c r="H26" t="s">
        <v>92</v>
      </c>
      <c r="I26" s="15"/>
      <c r="J26" s="21"/>
      <c r="K26" s="15"/>
      <c r="L26" s="15"/>
      <c r="M26" s="15"/>
      <c r="N26" s="15"/>
      <c r="O26" s="15"/>
      <c r="P26" s="15"/>
      <c r="Q26" s="15"/>
      <c r="R26" s="15"/>
      <c r="S26" s="15"/>
      <c r="T26" s="15"/>
      <c r="U26" s="15"/>
      <c r="V26" s="15"/>
      <c r="W26" s="15"/>
      <c r="X26" s="15"/>
      <c r="Y26" s="15"/>
      <c r="Z26" s="15"/>
      <c r="AA26" s="15"/>
      <c r="AB26" s="15"/>
    </row>
    <row r="27" spans="1:28" ht="120" x14ac:dyDescent="0.25">
      <c r="A27" s="27" t="s">
        <v>54</v>
      </c>
      <c r="B27" s="15" t="str">
        <f t="shared" si="0"/>
        <v>Pure Country West</v>
      </c>
      <c r="C27" s="15" t="str">
        <f t="shared" si="1"/>
        <v xml:space="preserve">partner: Pure Country West </v>
      </c>
      <c r="D27" s="1" t="s">
        <v>117</v>
      </c>
      <c r="E27" s="15" t="str">
        <f>IF(Table22[[#This Row],[Notes]]="","",LEFT(Table22[[#This Row],[Notes]],FIND(CHAR(10),Table22[[#This Row],[Notes]]&amp;CHAR(10))-1))</f>
        <v>11.5.21 Reach out to Miguel for updates</v>
      </c>
      <c r="F27" s="15">
        <f t="shared" si="2"/>
        <v>44505</v>
      </c>
      <c r="G27" s="20">
        <f t="shared" ca="1" si="3"/>
        <v>44505</v>
      </c>
      <c r="H27" s="29" t="s">
        <v>55</v>
      </c>
      <c r="I27" s="15"/>
      <c r="J27" s="21"/>
      <c r="K27" s="15"/>
      <c r="L27" s="15"/>
      <c r="M27" s="15"/>
      <c r="N27" s="15"/>
      <c r="O27" s="15"/>
      <c r="P27" s="15"/>
      <c r="Q27" s="15"/>
      <c r="R27" s="15"/>
      <c r="S27" s="15"/>
      <c r="T27" s="15"/>
      <c r="U27" s="15"/>
      <c r="V27" s="15"/>
      <c r="W27" s="15"/>
      <c r="X27" s="15"/>
      <c r="Y27" s="15"/>
      <c r="Z27" s="15"/>
      <c r="AA27" s="15"/>
      <c r="AB27" s="15"/>
    </row>
    <row r="28" spans="1:28" ht="60" x14ac:dyDescent="0.25">
      <c r="A28" s="27" t="s">
        <v>68</v>
      </c>
      <c r="B28" s="15" t="str">
        <f t="shared" si="0"/>
        <v>Stego Germany</v>
      </c>
      <c r="C28" s="15" t="str">
        <f t="shared" si="1"/>
        <v xml:space="preserve">partner: Stego Germany </v>
      </c>
      <c r="D28" s="1" t="s">
        <v>119</v>
      </c>
      <c r="E28" s="15" t="str">
        <f>IF(Table22[[#This Row],[Notes]]="","",LEFT(Table22[[#This Row],[Notes]],FIND(CHAR(10),Table22[[#This Row],[Notes]]&amp;CHAR(10))-1))</f>
        <v>11.8.21 Assign a mapping case: 13987661</v>
      </c>
      <c r="F28" s="15">
        <f t="shared" si="2"/>
        <v>44508</v>
      </c>
      <c r="G28" s="20">
        <f t="shared" ca="1" si="3"/>
        <v>44508</v>
      </c>
      <c r="H28" s="15" t="s">
        <v>76</v>
      </c>
      <c r="I28" s="15"/>
      <c r="J28" s="21"/>
      <c r="K28" s="15"/>
      <c r="L28" s="15"/>
      <c r="M28" s="15"/>
      <c r="N28" s="15"/>
      <c r="O28" s="15"/>
      <c r="P28" s="15"/>
      <c r="Q28" s="15"/>
      <c r="R28" s="15"/>
      <c r="S28" s="15"/>
      <c r="T28" s="15"/>
      <c r="U28" s="15"/>
      <c r="V28" s="15"/>
      <c r="W28" s="15"/>
      <c r="X28" s="15"/>
      <c r="Y28" s="15"/>
      <c r="Z28" s="15"/>
      <c r="AA28" s="15"/>
      <c r="AB28" s="15"/>
    </row>
    <row r="29" spans="1:28" ht="60.75" thickBot="1" x14ac:dyDescent="0.3">
      <c r="A29" s="27" t="s">
        <v>67</v>
      </c>
      <c r="B29" s="16" t="str">
        <f t="shared" si="0"/>
        <v>Del Mar Fans</v>
      </c>
      <c r="C29" s="15" t="str">
        <f t="shared" si="1"/>
        <v xml:space="preserve">partner: Del Mar Fans </v>
      </c>
      <c r="D29" s="1" t="s">
        <v>120</v>
      </c>
      <c r="E29" s="15" t="str">
        <f>IF(Table22[[#This Row],[Notes]]="","",LEFT(Table22[[#This Row],[Notes]],FIND(CHAR(10),Table22[[#This Row],[Notes]]&amp;CHAR(10))-1))</f>
        <v>11.8.21 Assign a mapping case:  13987765</v>
      </c>
      <c r="F29" s="15">
        <f t="shared" si="2"/>
        <v>44508</v>
      </c>
      <c r="G29" s="20">
        <f t="shared" ca="1" si="3"/>
        <v>44508</v>
      </c>
      <c r="H29" s="15" t="s">
        <v>75</v>
      </c>
      <c r="I29" s="15"/>
      <c r="J29" s="21"/>
      <c r="K29" s="15"/>
      <c r="L29" s="15"/>
      <c r="M29" s="15"/>
      <c r="N29" s="15"/>
      <c r="O29" s="15"/>
      <c r="P29" s="15"/>
      <c r="Q29" s="15"/>
      <c r="R29" s="15"/>
      <c r="S29" s="15"/>
      <c r="T29" s="15"/>
      <c r="U29" s="15"/>
      <c r="V29" s="15"/>
      <c r="W29" s="15"/>
      <c r="X29" s="15"/>
      <c r="Y29" s="15"/>
      <c r="Z29" s="15"/>
      <c r="AA29" s="15"/>
      <c r="AB29" s="15"/>
    </row>
    <row r="30" spans="1:28" s="7" customFormat="1" ht="60" x14ac:dyDescent="0.25">
      <c r="A30" s="27" t="s">
        <v>64</v>
      </c>
      <c r="B30" s="16" t="str">
        <f t="shared" si="0"/>
        <v>Guitar Center - XML Trading Partner</v>
      </c>
      <c r="C30" s="15" t="str">
        <f t="shared" si="1"/>
        <v xml:space="preserve">partner: Guitar Center - XML Trading Partner </v>
      </c>
      <c r="D30" s="1" t="s">
        <v>121</v>
      </c>
      <c r="E30" s="15" t="str">
        <f>IF(Table22[[#This Row],[Notes]]="","",LEFT(Table22[[#This Row],[Notes]],FIND(CHAR(10),Table22[[#This Row],[Notes]]&amp;CHAR(10))-1))</f>
        <v>11.8.21 Reach out to Aaron for help</v>
      </c>
      <c r="F30" s="15">
        <f t="shared" si="2"/>
        <v>44508</v>
      </c>
      <c r="G30" s="20">
        <f t="shared" ca="1" si="3"/>
        <v>44508</v>
      </c>
      <c r="H30" s="15" t="s">
        <v>73</v>
      </c>
      <c r="I30" s="15"/>
      <c r="J30" s="21"/>
      <c r="K30" s="15"/>
      <c r="L30" s="15"/>
      <c r="M30" s="15"/>
      <c r="N30" s="15"/>
      <c r="O30" s="15"/>
      <c r="P30" s="15"/>
      <c r="Q30" s="15"/>
      <c r="R30" s="15"/>
      <c r="S30" s="15"/>
      <c r="T30" s="15"/>
      <c r="U30" s="15"/>
      <c r="V30" s="15"/>
      <c r="W30" s="15"/>
      <c r="X30" s="15"/>
      <c r="Y30" s="15"/>
      <c r="Z30" s="15"/>
      <c r="AA30" s="15"/>
      <c r="AB30" s="15"/>
    </row>
    <row r="31" spans="1:28" ht="60.75" thickBot="1" x14ac:dyDescent="0.3">
      <c r="A31" s="27" t="s">
        <v>63</v>
      </c>
      <c r="B31" s="16" t="str">
        <f t="shared" si="0"/>
        <v>Rhenus Contract Logistics - VSC</v>
      </c>
      <c r="C31" s="15" t="str">
        <f t="shared" si="1"/>
        <v xml:space="preserve">partner: Rhenus Contract Logistics - VSC </v>
      </c>
      <c r="D31" s="1" t="s">
        <v>122</v>
      </c>
      <c r="E31" s="15" t="str">
        <f>IF(Table22[[#This Row],[Notes]]="","",LEFT(Table22[[#This Row],[Notes]],FIND(CHAR(10),Table22[[#This Row],[Notes]]&amp;CHAR(10))-1))</f>
        <v>11.8.21 Waiting for contacts from Brad</v>
      </c>
      <c r="F31" s="15">
        <f t="shared" si="2"/>
        <v>44508</v>
      </c>
      <c r="G31" s="20">
        <f t="shared" ca="1" si="3"/>
        <v>44508</v>
      </c>
      <c r="H31" s="15" t="s">
        <v>53</v>
      </c>
      <c r="I31" s="15"/>
      <c r="J31" s="21"/>
      <c r="K31" s="15"/>
      <c r="L31" s="15"/>
      <c r="M31" s="15"/>
      <c r="N31" s="15"/>
      <c r="O31" s="15"/>
      <c r="P31" s="15"/>
      <c r="Q31" s="15"/>
      <c r="R31" s="15"/>
      <c r="S31" s="15"/>
      <c r="T31" s="15"/>
      <c r="U31" s="15"/>
      <c r="V31" s="15"/>
      <c r="W31" s="15"/>
      <c r="X31" s="15"/>
      <c r="Y31" s="15"/>
      <c r="Z31" s="15"/>
      <c r="AA31" s="15"/>
      <c r="AB31" s="15"/>
    </row>
    <row r="32" spans="1:28" ht="45" x14ac:dyDescent="0.25">
      <c r="A32" s="28" t="s">
        <v>61</v>
      </c>
      <c r="B32" s="16" t="str">
        <f t="shared" si="0"/>
        <v>Wormser Corporation-Jaguar Freight XML</v>
      </c>
      <c r="C32" s="15" t="str">
        <f t="shared" si="1"/>
        <v xml:space="preserve">partner: Wormser Corporation-Jaguar Freight XML </v>
      </c>
      <c r="D32" s="1" t="s">
        <v>101</v>
      </c>
      <c r="E32" s="15" t="str">
        <f>IF(Table22[[#This Row],[Notes]]="","",LEFT(Table22[[#This Row],[Notes]],FIND(CHAR(10),Table22[[#This Row],[Notes]]&amp;CHAR(10))-1))</f>
        <v>`10.29.21 Reach out to Armin for samples</v>
      </c>
      <c r="F32" s="15" t="e">
        <f t="shared" si="2"/>
        <v>#VALUE!</v>
      </c>
      <c r="G32" s="20">
        <f t="shared" ca="1" si="3"/>
        <v>44510</v>
      </c>
      <c r="H32" s="15" t="s">
        <v>70</v>
      </c>
      <c r="I32" s="15" t="s">
        <v>71</v>
      </c>
      <c r="J32" s="21"/>
      <c r="K32" s="15"/>
      <c r="L32" s="15"/>
      <c r="M32" s="15"/>
      <c r="N32" s="15"/>
      <c r="O32" s="15"/>
      <c r="P32" s="15"/>
      <c r="Q32" s="15"/>
      <c r="R32" s="15"/>
      <c r="S32" s="15"/>
      <c r="T32" s="15"/>
      <c r="U32" s="15"/>
      <c r="V32" s="15"/>
      <c r="W32" s="15"/>
      <c r="X32" s="15"/>
      <c r="Y32" s="15"/>
      <c r="Z32" s="15"/>
      <c r="AA32" s="15"/>
      <c r="AB32" s="15"/>
    </row>
    <row r="33" spans="2:28" x14ac:dyDescent="0.25">
      <c r="B33" s="15" t="e">
        <f t="shared" si="0"/>
        <v>#VALUE!</v>
      </c>
      <c r="C33" s="15" t="e">
        <f t="shared" si="1"/>
        <v>#VALUE!</v>
      </c>
      <c r="D33" s="15"/>
      <c r="E33" s="15" t="str">
        <f>IF(Table22[[#This Row],[Notes]]="","",LEFT(Table22[[#This Row],[Notes]],FIND(CHAR(10),Table22[[#This Row],[Notes]]&amp;CHAR(10))-1))</f>
        <v/>
      </c>
      <c r="F33" s="15" t="e">
        <f t="shared" si="2"/>
        <v>#VALUE!</v>
      </c>
      <c r="G33" s="20">
        <f t="shared" ca="1" si="3"/>
        <v>44510</v>
      </c>
      <c r="H33" s="15"/>
      <c r="I33" s="15"/>
      <c r="J33" s="21"/>
      <c r="K33" s="15"/>
      <c r="L33" s="15"/>
      <c r="M33" s="15"/>
      <c r="N33" s="15"/>
      <c r="O33" s="15"/>
      <c r="P33" s="15"/>
      <c r="Q33" s="15"/>
      <c r="R33" s="15"/>
      <c r="S33" s="15"/>
      <c r="T33" s="15"/>
      <c r="U33" s="15"/>
      <c r="V33" s="15"/>
      <c r="W33" s="15"/>
      <c r="X33" s="15"/>
      <c r="Y33" s="15"/>
      <c r="Z33" s="15"/>
      <c r="AA33" s="15"/>
      <c r="AB33" s="15"/>
    </row>
    <row r="34" spans="2:28" x14ac:dyDescent="0.25">
      <c r="B34" s="15" t="e">
        <f t="shared" si="0"/>
        <v>#VALUE!</v>
      </c>
      <c r="C34" s="15" t="e">
        <f t="shared" ref="C34:C65" si="4">"partner:"&amp;MID(A34,SEARCH(":",A34)+1,SEARCH(":",A34,SEARCH(":",A34)+1)-SEARCH(":",A34)-1)</f>
        <v>#VALUE!</v>
      </c>
      <c r="D34" s="15"/>
      <c r="E34" s="15" t="str">
        <f>IF(Table22[[#This Row],[Notes]]="","",LEFT(Table22[[#This Row],[Notes]],FIND(CHAR(10),Table22[[#This Row],[Notes]]&amp;CHAR(10))-1))</f>
        <v/>
      </c>
      <c r="F34" s="15" t="e">
        <f t="shared" si="2"/>
        <v>#VALUE!</v>
      </c>
      <c r="G34" s="20">
        <f t="shared" ca="1" si="3"/>
        <v>44510</v>
      </c>
      <c r="H34" s="15"/>
      <c r="I34" s="15"/>
      <c r="J34" s="21"/>
      <c r="K34" s="15"/>
      <c r="L34" s="15"/>
      <c r="M34" s="15"/>
      <c r="N34" s="15"/>
      <c r="O34" s="15"/>
      <c r="P34" s="15"/>
      <c r="Q34" s="15"/>
      <c r="R34" s="15"/>
      <c r="S34" s="15"/>
      <c r="T34" s="15"/>
      <c r="U34" s="15"/>
      <c r="V34" s="15"/>
      <c r="W34" s="15"/>
      <c r="X34" s="15"/>
      <c r="Y34" s="15"/>
      <c r="Z34" s="15"/>
      <c r="AA34" s="15"/>
      <c r="AB34" s="15"/>
    </row>
    <row r="35" spans="2:28" x14ac:dyDescent="0.25">
      <c r="B35" s="15" t="e">
        <f t="shared" si="0"/>
        <v>#VALUE!</v>
      </c>
      <c r="C35" s="15" t="e">
        <f t="shared" si="4"/>
        <v>#VALUE!</v>
      </c>
      <c r="D35" s="15"/>
      <c r="E35" s="15" t="str">
        <f>IF(Table22[[#This Row],[Notes]]="","",LEFT(Table22[[#This Row],[Notes]],FIND(CHAR(10),Table22[[#This Row],[Notes]]&amp;CHAR(10))-1))</f>
        <v/>
      </c>
      <c r="F35" s="15" t="e">
        <f t="shared" si="2"/>
        <v>#VALUE!</v>
      </c>
      <c r="G35" s="20">
        <f t="shared" ca="1" si="3"/>
        <v>44510</v>
      </c>
      <c r="H35" s="15"/>
      <c r="I35" s="15"/>
      <c r="J35" s="21"/>
      <c r="K35" s="15"/>
      <c r="L35" s="15"/>
      <c r="M35" s="15"/>
      <c r="N35" s="15"/>
      <c r="O35" s="15"/>
      <c r="P35" s="15"/>
      <c r="Q35" s="15"/>
      <c r="R35" s="15"/>
      <c r="S35" s="15"/>
      <c r="T35" s="15"/>
      <c r="U35" s="15"/>
      <c r="V35" s="15"/>
      <c r="W35" s="15"/>
      <c r="X35" s="15"/>
      <c r="Y35" s="15"/>
      <c r="Z35" s="15"/>
      <c r="AA35" s="15"/>
      <c r="AB35" s="15"/>
    </row>
    <row r="36" spans="2:28" x14ac:dyDescent="0.25">
      <c r="B36" s="15" t="e">
        <f t="shared" si="0"/>
        <v>#VALUE!</v>
      </c>
      <c r="C36" s="15" t="e">
        <f t="shared" si="4"/>
        <v>#VALUE!</v>
      </c>
      <c r="D36" s="15"/>
      <c r="E36" s="15" t="str">
        <f>IF(Table22[[#This Row],[Notes]]="","",LEFT(Table22[[#This Row],[Notes]],FIND(CHAR(10),Table22[[#This Row],[Notes]]&amp;CHAR(10))-1))</f>
        <v/>
      </c>
      <c r="F36" s="15" t="e">
        <f t="shared" si="2"/>
        <v>#VALUE!</v>
      </c>
      <c r="G36" s="20">
        <f t="shared" ca="1" si="3"/>
        <v>44510</v>
      </c>
      <c r="H36" s="15"/>
      <c r="I36" s="15"/>
      <c r="J36" s="21"/>
      <c r="K36" s="15"/>
      <c r="L36" s="15"/>
      <c r="M36" s="15"/>
      <c r="N36" s="15"/>
      <c r="O36" s="15"/>
      <c r="P36" s="15"/>
      <c r="Q36" s="15"/>
      <c r="R36" s="15"/>
      <c r="S36" s="15"/>
      <c r="T36" s="15"/>
      <c r="U36" s="15"/>
      <c r="V36" s="15"/>
      <c r="W36" s="15"/>
      <c r="X36" s="15"/>
      <c r="Y36" s="15"/>
      <c r="Z36" s="15"/>
      <c r="AA36" s="15"/>
      <c r="AB36" s="15"/>
    </row>
    <row r="37" spans="2:28" x14ac:dyDescent="0.25">
      <c r="B37" s="15" t="e">
        <f t="shared" si="0"/>
        <v>#VALUE!</v>
      </c>
      <c r="C37" s="15" t="e">
        <f t="shared" si="4"/>
        <v>#VALUE!</v>
      </c>
      <c r="D37" s="15"/>
      <c r="E37" s="15" t="str">
        <f>IF(Table22[[#This Row],[Notes]]="","",LEFT(Table22[[#This Row],[Notes]],FIND(CHAR(10),Table22[[#This Row],[Notes]]&amp;CHAR(10))-1))</f>
        <v/>
      </c>
      <c r="F37" s="15" t="e">
        <f t="shared" si="2"/>
        <v>#VALUE!</v>
      </c>
      <c r="G37" s="20">
        <f t="shared" ca="1" si="3"/>
        <v>44510</v>
      </c>
      <c r="H37" s="15"/>
      <c r="I37" s="15"/>
      <c r="J37" s="21"/>
      <c r="K37" s="15"/>
      <c r="L37" s="15"/>
      <c r="M37" s="15"/>
      <c r="N37" s="15"/>
      <c r="O37" s="15"/>
      <c r="P37" s="15"/>
      <c r="Q37" s="15"/>
      <c r="R37" s="15"/>
      <c r="S37" s="15"/>
      <c r="T37" s="15"/>
      <c r="U37" s="15"/>
      <c r="V37" s="15"/>
      <c r="W37" s="15"/>
      <c r="X37" s="15"/>
      <c r="Y37" s="15"/>
      <c r="Z37" s="15"/>
      <c r="AA37" s="15"/>
      <c r="AB37" s="15"/>
    </row>
    <row r="38" spans="2:28" x14ac:dyDescent="0.25">
      <c r="B38" s="15" t="e">
        <f t="shared" si="0"/>
        <v>#VALUE!</v>
      </c>
      <c r="C38" s="15" t="e">
        <f t="shared" si="4"/>
        <v>#VALUE!</v>
      </c>
      <c r="D38" s="15"/>
      <c r="E38" s="15" t="str">
        <f>IF(Table22[[#This Row],[Notes]]="","",LEFT(Table22[[#This Row],[Notes]],FIND(CHAR(10),Table22[[#This Row],[Notes]]&amp;CHAR(10))-1))</f>
        <v/>
      </c>
      <c r="F38" s="15" t="e">
        <f t="shared" si="2"/>
        <v>#VALUE!</v>
      </c>
      <c r="G38" s="20">
        <f t="shared" ca="1" si="3"/>
        <v>44510</v>
      </c>
      <c r="H38" s="15"/>
      <c r="I38" s="15"/>
      <c r="J38" s="21"/>
      <c r="K38" s="15"/>
      <c r="L38" s="15"/>
      <c r="M38" s="15"/>
      <c r="N38" s="15"/>
      <c r="O38" s="15"/>
      <c r="P38" s="15"/>
      <c r="Q38" s="15"/>
      <c r="R38" s="15"/>
      <c r="S38" s="15"/>
      <c r="T38" s="15"/>
      <c r="U38" s="15"/>
      <c r="V38" s="15"/>
      <c r="W38" s="15"/>
      <c r="X38" s="15"/>
      <c r="Y38" s="15"/>
      <c r="Z38" s="15"/>
      <c r="AA38" s="15"/>
      <c r="AB38" s="15"/>
    </row>
    <row r="39" spans="2:28" x14ac:dyDescent="0.25">
      <c r="B39" s="15" t="e">
        <f t="shared" si="0"/>
        <v>#VALUE!</v>
      </c>
      <c r="C39" s="15" t="e">
        <f t="shared" si="4"/>
        <v>#VALUE!</v>
      </c>
      <c r="D39" s="15"/>
      <c r="E39" s="15" t="str">
        <f>IF(Table22[[#This Row],[Notes]]="","",LEFT(Table22[[#This Row],[Notes]],FIND(CHAR(10),Table22[[#This Row],[Notes]]&amp;CHAR(10))-1))</f>
        <v/>
      </c>
      <c r="F39" s="15" t="e">
        <f t="shared" si="2"/>
        <v>#VALUE!</v>
      </c>
      <c r="G39" s="20">
        <f t="shared" ca="1" si="3"/>
        <v>44510</v>
      </c>
      <c r="H39" s="15"/>
      <c r="I39" s="15"/>
      <c r="J39" s="21"/>
      <c r="K39" s="15"/>
      <c r="L39" s="15"/>
      <c r="M39" s="15"/>
      <c r="N39" s="15"/>
      <c r="O39" s="15"/>
      <c r="P39" s="15"/>
      <c r="Q39" s="15"/>
      <c r="R39" s="15"/>
      <c r="S39" s="15"/>
      <c r="T39" s="15"/>
      <c r="U39" s="15"/>
      <c r="V39" s="15"/>
      <c r="W39" s="15"/>
      <c r="X39" s="15"/>
      <c r="Y39" s="15"/>
      <c r="Z39" s="15"/>
      <c r="AA39" s="15"/>
      <c r="AB39" s="15"/>
    </row>
    <row r="40" spans="2:28" x14ac:dyDescent="0.25">
      <c r="B40" s="15" t="e">
        <f t="shared" si="0"/>
        <v>#VALUE!</v>
      </c>
      <c r="C40" s="15" t="e">
        <f t="shared" si="4"/>
        <v>#VALUE!</v>
      </c>
      <c r="D40" s="15"/>
      <c r="E40" s="15" t="str">
        <f>IF(Table22[[#This Row],[Notes]]="","",LEFT(Table22[[#This Row],[Notes]],FIND(CHAR(10),Table22[[#This Row],[Notes]]&amp;CHAR(10))-1))</f>
        <v/>
      </c>
      <c r="F40" s="15" t="e">
        <f t="shared" si="2"/>
        <v>#VALUE!</v>
      </c>
      <c r="G40" s="20">
        <f t="shared" ca="1" si="3"/>
        <v>44510</v>
      </c>
      <c r="H40" s="15"/>
      <c r="I40" s="15"/>
      <c r="J40" s="21"/>
      <c r="K40" s="15"/>
      <c r="L40" s="15"/>
      <c r="M40" s="15"/>
      <c r="N40" s="15"/>
      <c r="O40" s="15"/>
      <c r="P40" s="15"/>
      <c r="Q40" s="15"/>
      <c r="R40" s="15"/>
      <c r="S40" s="15"/>
      <c r="T40" s="15"/>
      <c r="U40" s="15"/>
      <c r="V40" s="15"/>
      <c r="W40" s="15"/>
      <c r="X40" s="15"/>
      <c r="Y40" s="15"/>
      <c r="Z40" s="15"/>
      <c r="AA40" s="15"/>
      <c r="AB40" s="15"/>
    </row>
    <row r="41" spans="2:28" x14ac:dyDescent="0.25">
      <c r="B41" s="15" t="e">
        <f t="shared" si="0"/>
        <v>#VALUE!</v>
      </c>
      <c r="C41" s="15" t="e">
        <f t="shared" si="4"/>
        <v>#VALUE!</v>
      </c>
      <c r="D41" s="15"/>
      <c r="E41" s="15" t="str">
        <f>IF(Table22[[#This Row],[Notes]]="","",LEFT(Table22[[#This Row],[Notes]],FIND(CHAR(10),Table22[[#This Row],[Notes]]&amp;CHAR(10))-1))</f>
        <v/>
      </c>
      <c r="F41" s="15" t="e">
        <f t="shared" si="2"/>
        <v>#VALUE!</v>
      </c>
      <c r="G41" s="20">
        <f t="shared" ca="1" si="3"/>
        <v>44510</v>
      </c>
      <c r="H41" s="15"/>
      <c r="I41" s="15"/>
      <c r="J41" s="21"/>
      <c r="K41" s="15"/>
      <c r="L41" s="15"/>
      <c r="M41" s="15"/>
      <c r="N41" s="15"/>
      <c r="O41" s="15"/>
      <c r="P41" s="15"/>
      <c r="Q41" s="15"/>
      <c r="R41" s="15"/>
      <c r="S41" s="15"/>
      <c r="T41" s="15"/>
      <c r="U41" s="15"/>
      <c r="V41" s="15"/>
      <c r="W41" s="15"/>
      <c r="X41" s="15"/>
      <c r="Y41" s="15"/>
      <c r="Z41" s="15"/>
      <c r="AA41" s="15"/>
      <c r="AB41" s="15"/>
    </row>
    <row r="42" spans="2:28" x14ac:dyDescent="0.25">
      <c r="B42" s="15" t="e">
        <f t="shared" si="0"/>
        <v>#VALUE!</v>
      </c>
      <c r="C42" s="15" t="e">
        <f t="shared" si="4"/>
        <v>#VALUE!</v>
      </c>
      <c r="D42" s="15"/>
      <c r="E42" s="15" t="str">
        <f>IF(Table22[[#This Row],[Notes]]="","",LEFT(Table22[[#This Row],[Notes]],FIND(CHAR(10),Table22[[#This Row],[Notes]]&amp;CHAR(10))-1))</f>
        <v/>
      </c>
      <c r="F42" s="15" t="e">
        <f t="shared" si="2"/>
        <v>#VALUE!</v>
      </c>
      <c r="G42" s="20">
        <f t="shared" ca="1" si="3"/>
        <v>44510</v>
      </c>
      <c r="H42" s="15"/>
      <c r="I42" s="15"/>
      <c r="J42" s="21"/>
      <c r="K42" s="15"/>
      <c r="L42" s="15"/>
      <c r="M42" s="15"/>
      <c r="N42" s="15"/>
      <c r="O42" s="15"/>
      <c r="P42" s="15"/>
      <c r="Q42" s="15"/>
      <c r="R42" s="15"/>
      <c r="S42" s="15"/>
      <c r="T42" s="15"/>
      <c r="U42" s="15"/>
      <c r="V42" s="15"/>
      <c r="W42" s="15"/>
      <c r="X42" s="15"/>
      <c r="Y42" s="15"/>
      <c r="Z42" s="15"/>
      <c r="AA42" s="15"/>
      <c r="AB42" s="15"/>
    </row>
    <row r="43" spans="2:28" x14ac:dyDescent="0.25">
      <c r="B43" s="15" t="e">
        <f t="shared" si="0"/>
        <v>#VALUE!</v>
      </c>
      <c r="C43" s="15" t="e">
        <f t="shared" si="4"/>
        <v>#VALUE!</v>
      </c>
      <c r="D43" s="15"/>
      <c r="E43" s="15" t="str">
        <f>IF(Table22[[#This Row],[Notes]]="","",LEFT(Table22[[#This Row],[Notes]],FIND(CHAR(10),Table22[[#This Row],[Notes]]&amp;CHAR(10))-1))</f>
        <v/>
      </c>
      <c r="F43" s="15" t="e">
        <f t="shared" si="2"/>
        <v>#VALUE!</v>
      </c>
      <c r="G43" s="20">
        <f t="shared" ca="1" si="3"/>
        <v>44510</v>
      </c>
      <c r="H43" s="15"/>
      <c r="I43" s="15"/>
      <c r="J43" s="21"/>
      <c r="K43" s="15"/>
      <c r="L43" s="15"/>
      <c r="M43" s="15"/>
      <c r="N43" s="15"/>
      <c r="O43" s="15"/>
      <c r="P43" s="15"/>
      <c r="Q43" s="15"/>
      <c r="R43" s="15"/>
      <c r="S43" s="15"/>
      <c r="T43" s="15"/>
      <c r="U43" s="15"/>
      <c r="V43" s="15"/>
      <c r="W43" s="15"/>
      <c r="X43" s="15"/>
      <c r="Y43" s="15"/>
      <c r="Z43" s="15"/>
      <c r="AA43" s="15"/>
      <c r="AB43" s="15"/>
    </row>
    <row r="44" spans="2:28" x14ac:dyDescent="0.25">
      <c r="B44" s="15" t="e">
        <f t="shared" si="0"/>
        <v>#VALUE!</v>
      </c>
      <c r="C44" s="15" t="e">
        <f t="shared" si="4"/>
        <v>#VALUE!</v>
      </c>
      <c r="D44" s="15"/>
      <c r="E44" s="15" t="str">
        <f>IF(Table22[[#This Row],[Notes]]="","",LEFT(Table22[[#This Row],[Notes]],FIND(CHAR(10),Table22[[#This Row],[Notes]]&amp;CHAR(10))-1))</f>
        <v/>
      </c>
      <c r="F44" s="15" t="e">
        <f t="shared" si="2"/>
        <v>#VALUE!</v>
      </c>
      <c r="G44" s="20">
        <f t="shared" ca="1" si="3"/>
        <v>44510</v>
      </c>
      <c r="H44" s="15"/>
      <c r="I44" s="15"/>
      <c r="J44" s="21"/>
      <c r="K44" s="15"/>
      <c r="L44" s="15"/>
      <c r="M44" s="15"/>
      <c r="N44" s="15"/>
      <c r="O44" s="15"/>
      <c r="P44" s="15"/>
      <c r="Q44" s="15"/>
      <c r="R44" s="15"/>
      <c r="S44" s="15"/>
      <c r="T44" s="15"/>
      <c r="U44" s="15"/>
      <c r="V44" s="15"/>
      <c r="W44" s="15"/>
      <c r="X44" s="15"/>
      <c r="Y44" s="15"/>
      <c r="Z44" s="15"/>
      <c r="AA44" s="15"/>
      <c r="AB44" s="15"/>
    </row>
    <row r="45" spans="2:28" x14ac:dyDescent="0.25">
      <c r="B45" s="15" t="e">
        <f t="shared" si="0"/>
        <v>#VALUE!</v>
      </c>
      <c r="C45" s="15" t="e">
        <f t="shared" si="4"/>
        <v>#VALUE!</v>
      </c>
      <c r="D45" s="15"/>
      <c r="E45" s="15" t="str">
        <f>IF(Table22[[#This Row],[Notes]]="","",LEFT(Table22[[#This Row],[Notes]],FIND(CHAR(10),Table22[[#This Row],[Notes]]&amp;CHAR(10))-1))</f>
        <v/>
      </c>
      <c r="F45" s="15" t="e">
        <f t="shared" si="2"/>
        <v>#VALUE!</v>
      </c>
      <c r="G45" s="20">
        <f t="shared" ca="1" si="3"/>
        <v>44510</v>
      </c>
      <c r="H45" s="15"/>
      <c r="I45" s="15"/>
      <c r="J45" s="21"/>
      <c r="K45" s="15"/>
      <c r="L45" s="15"/>
      <c r="M45" s="15"/>
      <c r="N45" s="15"/>
      <c r="O45" s="15"/>
      <c r="P45" s="15"/>
      <c r="Q45" s="15"/>
      <c r="R45" s="15"/>
      <c r="S45" s="15"/>
      <c r="T45" s="15"/>
      <c r="U45" s="15"/>
      <c r="V45" s="15"/>
      <c r="W45" s="15"/>
      <c r="X45" s="15"/>
      <c r="Y45" s="15"/>
      <c r="Z45" s="15"/>
      <c r="AA45" s="15"/>
      <c r="AB45" s="15"/>
    </row>
    <row r="46" spans="2:28" x14ac:dyDescent="0.25">
      <c r="B46" s="15" t="e">
        <f t="shared" si="0"/>
        <v>#VALUE!</v>
      </c>
      <c r="C46" s="15" t="e">
        <f t="shared" si="4"/>
        <v>#VALUE!</v>
      </c>
      <c r="D46" s="15"/>
      <c r="E46" s="15" t="str">
        <f>IF(Table22[[#This Row],[Notes]]="","",LEFT(Table22[[#This Row],[Notes]],FIND(CHAR(10),Table22[[#This Row],[Notes]]&amp;CHAR(10))-1))</f>
        <v/>
      </c>
      <c r="F46" s="15" t="e">
        <f t="shared" si="2"/>
        <v>#VALUE!</v>
      </c>
      <c r="G46" s="20">
        <f t="shared" ca="1" si="3"/>
        <v>44510</v>
      </c>
      <c r="H46" s="15"/>
      <c r="I46" s="15"/>
      <c r="J46" s="21"/>
      <c r="K46" s="15"/>
      <c r="L46" s="15"/>
      <c r="M46" s="15"/>
      <c r="N46" s="15"/>
      <c r="O46" s="15"/>
      <c r="P46" s="15"/>
      <c r="Q46" s="15"/>
      <c r="R46" s="15"/>
      <c r="S46" s="15"/>
      <c r="T46" s="15"/>
      <c r="U46" s="15"/>
      <c r="V46" s="15"/>
      <c r="W46" s="15"/>
      <c r="X46" s="15"/>
      <c r="Y46" s="15"/>
      <c r="Z46" s="15"/>
      <c r="AA46" s="15"/>
      <c r="AB46" s="15"/>
    </row>
    <row r="47" spans="2:28" x14ac:dyDescent="0.25">
      <c r="B47" s="15" t="e">
        <f t="shared" si="0"/>
        <v>#VALUE!</v>
      </c>
      <c r="C47" s="15" t="e">
        <f t="shared" si="4"/>
        <v>#VALUE!</v>
      </c>
      <c r="D47" s="15"/>
      <c r="E47" s="15" t="str">
        <f>IF(Table22[[#This Row],[Notes]]="","",LEFT(Table22[[#This Row],[Notes]],FIND(CHAR(10),Table22[[#This Row],[Notes]]&amp;CHAR(10))-1))</f>
        <v/>
      </c>
      <c r="F47" s="15" t="e">
        <f t="shared" si="2"/>
        <v>#VALUE!</v>
      </c>
      <c r="G47" s="20">
        <f t="shared" ca="1" si="3"/>
        <v>44510</v>
      </c>
      <c r="H47" s="15"/>
      <c r="I47" s="15"/>
      <c r="J47" s="21"/>
      <c r="K47" s="15"/>
      <c r="L47" s="15"/>
      <c r="M47" s="15"/>
      <c r="N47" s="15"/>
      <c r="O47" s="15"/>
      <c r="P47" s="15"/>
      <c r="Q47" s="15"/>
      <c r="R47" s="15"/>
      <c r="S47" s="15"/>
      <c r="T47" s="15"/>
      <c r="U47" s="15"/>
      <c r="V47" s="15"/>
      <c r="W47" s="15"/>
      <c r="X47" s="15"/>
      <c r="Y47" s="15"/>
      <c r="Z47" s="15"/>
      <c r="AA47" s="15"/>
      <c r="AB47" s="15"/>
    </row>
    <row r="48" spans="2:28" x14ac:dyDescent="0.25">
      <c r="B48" s="15" t="e">
        <f t="shared" si="0"/>
        <v>#VALUE!</v>
      </c>
      <c r="C48" s="15" t="e">
        <f t="shared" si="4"/>
        <v>#VALUE!</v>
      </c>
      <c r="D48" s="15"/>
      <c r="E48" s="15" t="str">
        <f>IF(Table22[[#This Row],[Notes]]="","",LEFT(Table22[[#This Row],[Notes]],FIND(CHAR(10),Table22[[#This Row],[Notes]]&amp;CHAR(10))-1))</f>
        <v/>
      </c>
      <c r="F48" s="15" t="e">
        <f t="shared" si="2"/>
        <v>#VALUE!</v>
      </c>
      <c r="G48" s="20">
        <f t="shared" ca="1" si="3"/>
        <v>44510</v>
      </c>
      <c r="H48" s="15"/>
      <c r="I48" s="15"/>
      <c r="J48" s="21"/>
      <c r="K48" s="15"/>
      <c r="L48" s="15"/>
      <c r="M48" s="15"/>
      <c r="N48" s="15"/>
      <c r="O48" s="15"/>
      <c r="P48" s="15"/>
      <c r="Q48" s="15"/>
      <c r="R48" s="15"/>
      <c r="S48" s="15"/>
      <c r="T48" s="15"/>
      <c r="U48" s="15"/>
      <c r="V48" s="15"/>
      <c r="W48" s="15"/>
      <c r="X48" s="15"/>
      <c r="Y48" s="15"/>
      <c r="Z48" s="15"/>
      <c r="AA48" s="15"/>
      <c r="AB48" s="15"/>
    </row>
    <row r="49" spans="2:28" x14ac:dyDescent="0.25">
      <c r="B49" s="15" t="e">
        <f t="shared" si="0"/>
        <v>#VALUE!</v>
      </c>
      <c r="C49" s="15" t="e">
        <f t="shared" si="4"/>
        <v>#VALUE!</v>
      </c>
      <c r="D49" s="15"/>
      <c r="E49" s="15" t="str">
        <f>IF(Table22[[#This Row],[Notes]]="","",LEFT(Table22[[#This Row],[Notes]],FIND(CHAR(10),Table22[[#This Row],[Notes]]&amp;CHAR(10))-1))</f>
        <v/>
      </c>
      <c r="F49" s="15" t="e">
        <f t="shared" si="2"/>
        <v>#VALUE!</v>
      </c>
      <c r="G49" s="20">
        <f t="shared" ca="1" si="3"/>
        <v>44510</v>
      </c>
      <c r="H49" s="15"/>
      <c r="I49" s="15"/>
      <c r="J49" s="21"/>
      <c r="K49" s="15"/>
      <c r="L49" s="15"/>
      <c r="M49" s="15"/>
      <c r="N49" s="15"/>
      <c r="O49" s="15"/>
      <c r="P49" s="15"/>
      <c r="Q49" s="15"/>
      <c r="R49" s="15"/>
      <c r="S49" s="15"/>
      <c r="T49" s="15"/>
      <c r="U49" s="15"/>
      <c r="V49" s="15"/>
      <c r="W49" s="15"/>
      <c r="X49" s="15"/>
      <c r="Y49" s="15"/>
      <c r="Z49" s="15"/>
      <c r="AA49" s="15"/>
      <c r="AB49" s="15"/>
    </row>
    <row r="50" spans="2:28" x14ac:dyDescent="0.25">
      <c r="B50" s="15" t="e">
        <f t="shared" si="0"/>
        <v>#VALUE!</v>
      </c>
      <c r="C50" s="15" t="e">
        <f t="shared" si="4"/>
        <v>#VALUE!</v>
      </c>
      <c r="D50" s="15"/>
      <c r="E50" s="15" t="str">
        <f>IF(Table22[[#This Row],[Notes]]="","",LEFT(Table22[[#This Row],[Notes]],FIND(CHAR(10),Table22[[#This Row],[Notes]]&amp;CHAR(10))-1))</f>
        <v/>
      </c>
      <c r="F50" s="15" t="e">
        <f t="shared" si="2"/>
        <v>#VALUE!</v>
      </c>
      <c r="G50" s="20">
        <f t="shared" ca="1" si="3"/>
        <v>44510</v>
      </c>
      <c r="H50" s="15"/>
      <c r="I50" s="15"/>
      <c r="J50" s="21"/>
      <c r="K50" s="15"/>
      <c r="L50" s="15"/>
      <c r="M50" s="15"/>
      <c r="N50" s="15"/>
      <c r="O50" s="15"/>
      <c r="P50" s="15"/>
      <c r="Q50" s="15"/>
      <c r="R50" s="15"/>
      <c r="S50" s="15"/>
      <c r="T50" s="15"/>
      <c r="U50" s="15"/>
      <c r="V50" s="15"/>
      <c r="W50" s="15"/>
      <c r="X50" s="15"/>
      <c r="Y50" s="15"/>
      <c r="Z50" s="15"/>
      <c r="AA50" s="15"/>
      <c r="AB50" s="15"/>
    </row>
    <row r="51" spans="2:28" x14ac:dyDescent="0.25">
      <c r="B51" s="15" t="e">
        <f t="shared" si="0"/>
        <v>#VALUE!</v>
      </c>
      <c r="C51" s="15" t="e">
        <f t="shared" si="4"/>
        <v>#VALUE!</v>
      </c>
      <c r="D51" s="15"/>
      <c r="E51" s="15" t="str">
        <f>IF(Table22[[#This Row],[Notes]]="","",LEFT(Table22[[#This Row],[Notes]],FIND(CHAR(10),Table22[[#This Row],[Notes]]&amp;CHAR(10))-1))</f>
        <v/>
      </c>
      <c r="F51" s="15" t="e">
        <f t="shared" si="2"/>
        <v>#VALUE!</v>
      </c>
      <c r="G51" s="20">
        <f t="shared" ca="1" si="3"/>
        <v>44510</v>
      </c>
      <c r="H51" s="15"/>
      <c r="I51" s="15"/>
      <c r="J51" s="21"/>
      <c r="K51" s="15"/>
      <c r="L51" s="15"/>
      <c r="M51" s="15"/>
      <c r="N51" s="15"/>
      <c r="O51" s="15"/>
      <c r="P51" s="15"/>
      <c r="Q51" s="15"/>
      <c r="R51" s="15"/>
      <c r="S51" s="15"/>
      <c r="T51" s="15"/>
      <c r="U51" s="15"/>
      <c r="V51" s="15"/>
      <c r="W51" s="15"/>
      <c r="X51" s="15"/>
      <c r="Y51" s="15"/>
      <c r="Z51" s="15"/>
      <c r="AA51" s="15"/>
      <c r="AB51" s="15"/>
    </row>
    <row r="52" spans="2:28" x14ac:dyDescent="0.25">
      <c r="B52" s="15" t="e">
        <f t="shared" si="0"/>
        <v>#VALUE!</v>
      </c>
      <c r="C52" s="15" t="e">
        <f t="shared" si="4"/>
        <v>#VALUE!</v>
      </c>
      <c r="D52" s="15"/>
      <c r="E52" s="15" t="str">
        <f>IF(Table22[[#This Row],[Notes]]="","",LEFT(Table22[[#This Row],[Notes]],FIND(CHAR(10),Table22[[#This Row],[Notes]]&amp;CHAR(10))-1))</f>
        <v/>
      </c>
      <c r="F52" s="15" t="e">
        <f t="shared" si="2"/>
        <v>#VALUE!</v>
      </c>
      <c r="G52" s="20">
        <f t="shared" ca="1" si="3"/>
        <v>44510</v>
      </c>
      <c r="H52" s="15"/>
      <c r="I52" s="15"/>
      <c r="J52" s="21"/>
      <c r="K52" s="15"/>
      <c r="L52" s="15"/>
      <c r="M52" s="15"/>
      <c r="N52" s="15"/>
      <c r="O52" s="15"/>
      <c r="P52" s="15"/>
      <c r="Q52" s="15"/>
      <c r="R52" s="15"/>
      <c r="S52" s="15"/>
      <c r="T52" s="15"/>
      <c r="U52" s="15"/>
      <c r="V52" s="15"/>
      <c r="W52" s="15"/>
      <c r="X52" s="15"/>
      <c r="Y52" s="15"/>
      <c r="Z52" s="15"/>
      <c r="AA52" s="15"/>
      <c r="AB52" s="15"/>
    </row>
    <row r="53" spans="2:28" x14ac:dyDescent="0.25">
      <c r="B53" s="15" t="e">
        <f t="shared" si="0"/>
        <v>#VALUE!</v>
      </c>
      <c r="C53" s="15" t="e">
        <f t="shared" si="4"/>
        <v>#VALUE!</v>
      </c>
      <c r="D53" s="15"/>
      <c r="E53" s="15" t="str">
        <f>IF(Table22[[#This Row],[Notes]]="","",LEFT(Table22[[#This Row],[Notes]],FIND(CHAR(10),Table22[[#This Row],[Notes]]&amp;CHAR(10))-1))</f>
        <v/>
      </c>
      <c r="F53" s="15" t="e">
        <f t="shared" si="2"/>
        <v>#VALUE!</v>
      </c>
      <c r="G53" s="20">
        <f t="shared" ca="1" si="3"/>
        <v>44510</v>
      </c>
      <c r="H53" s="15"/>
      <c r="I53" s="15"/>
      <c r="J53" s="21"/>
      <c r="K53" s="15"/>
      <c r="L53" s="15"/>
      <c r="M53" s="15"/>
      <c r="N53" s="15"/>
      <c r="O53" s="15"/>
      <c r="P53" s="15"/>
      <c r="Q53" s="15"/>
      <c r="R53" s="15"/>
      <c r="S53" s="15"/>
      <c r="T53" s="15"/>
      <c r="U53" s="15"/>
      <c r="V53" s="15"/>
      <c r="W53" s="15"/>
      <c r="X53" s="15"/>
      <c r="Y53" s="15"/>
      <c r="Z53" s="15"/>
      <c r="AA53" s="15"/>
      <c r="AB53" s="15"/>
    </row>
    <row r="54" spans="2:28" x14ac:dyDescent="0.25">
      <c r="B54" s="15" t="e">
        <f t="shared" si="0"/>
        <v>#VALUE!</v>
      </c>
      <c r="C54" s="15" t="e">
        <f t="shared" si="4"/>
        <v>#VALUE!</v>
      </c>
      <c r="D54" s="15"/>
      <c r="E54" s="15" t="str">
        <f>IF(Table22[[#This Row],[Notes]]="","",LEFT(Table22[[#This Row],[Notes]],FIND(CHAR(10),Table22[[#This Row],[Notes]]&amp;CHAR(10))-1))</f>
        <v/>
      </c>
      <c r="F54" s="15" t="e">
        <f t="shared" si="2"/>
        <v>#VALUE!</v>
      </c>
      <c r="G54" s="20">
        <f t="shared" ca="1" si="3"/>
        <v>44510</v>
      </c>
      <c r="H54" s="15"/>
      <c r="I54" s="15"/>
      <c r="J54" s="21"/>
      <c r="K54" s="15"/>
      <c r="L54" s="15"/>
      <c r="M54" s="15"/>
      <c r="N54" s="15"/>
      <c r="O54" s="15"/>
      <c r="P54" s="15"/>
      <c r="Q54" s="15"/>
      <c r="R54" s="15"/>
      <c r="S54" s="15"/>
      <c r="T54" s="15"/>
      <c r="U54" s="15"/>
      <c r="V54" s="15"/>
      <c r="W54" s="15"/>
      <c r="X54" s="15"/>
      <c r="Y54" s="15"/>
      <c r="Z54" s="15"/>
      <c r="AA54" s="15"/>
      <c r="AB54" s="15"/>
    </row>
    <row r="55" spans="2:28" x14ac:dyDescent="0.25">
      <c r="B55" s="15" t="e">
        <f t="shared" si="0"/>
        <v>#VALUE!</v>
      </c>
      <c r="C55" s="15" t="e">
        <f t="shared" si="4"/>
        <v>#VALUE!</v>
      </c>
      <c r="D55" s="15"/>
      <c r="E55" s="15" t="str">
        <f>IF(Table22[[#This Row],[Notes]]="","",LEFT(Table22[[#This Row],[Notes]],FIND(CHAR(10),Table22[[#This Row],[Notes]]&amp;CHAR(10))-1))</f>
        <v/>
      </c>
      <c r="F55" s="15" t="e">
        <f t="shared" si="2"/>
        <v>#VALUE!</v>
      </c>
      <c r="G55" s="20">
        <f t="shared" ca="1" si="3"/>
        <v>44510</v>
      </c>
      <c r="H55" s="15"/>
      <c r="I55" s="15"/>
      <c r="J55" s="21"/>
      <c r="K55" s="15"/>
      <c r="L55" s="15"/>
      <c r="M55" s="15"/>
      <c r="N55" s="15"/>
      <c r="O55" s="15"/>
      <c r="P55" s="15"/>
      <c r="Q55" s="15"/>
      <c r="R55" s="15"/>
      <c r="S55" s="15"/>
      <c r="T55" s="15"/>
      <c r="U55" s="15"/>
      <c r="V55" s="15"/>
      <c r="W55" s="15"/>
      <c r="X55" s="15"/>
      <c r="Y55" s="15"/>
      <c r="Z55" s="15"/>
      <c r="AA55" s="15"/>
      <c r="AB55" s="15"/>
    </row>
    <row r="56" spans="2:28" x14ac:dyDescent="0.25">
      <c r="B56" s="15" t="e">
        <f t="shared" si="0"/>
        <v>#VALUE!</v>
      </c>
      <c r="C56" s="15" t="e">
        <f t="shared" si="4"/>
        <v>#VALUE!</v>
      </c>
      <c r="D56" s="15"/>
      <c r="E56" s="15" t="str">
        <f>IF(Table22[[#This Row],[Notes]]="","",LEFT(Table22[[#This Row],[Notes]],FIND(CHAR(10),Table22[[#This Row],[Notes]]&amp;CHAR(10))-1))</f>
        <v/>
      </c>
      <c r="F56" s="15" t="e">
        <f t="shared" si="2"/>
        <v>#VALUE!</v>
      </c>
      <c r="G56" s="20">
        <f t="shared" ca="1" si="3"/>
        <v>44510</v>
      </c>
      <c r="H56" s="15"/>
      <c r="I56" s="15"/>
      <c r="J56" s="21"/>
      <c r="K56" s="15"/>
      <c r="L56" s="15"/>
      <c r="M56" s="15"/>
      <c r="N56" s="15"/>
      <c r="O56" s="15"/>
      <c r="P56" s="15"/>
      <c r="Q56" s="15"/>
      <c r="R56" s="15"/>
      <c r="S56" s="15"/>
      <c r="T56" s="15"/>
      <c r="U56" s="15"/>
      <c r="V56" s="15"/>
      <c r="W56" s="15"/>
      <c r="X56" s="15"/>
      <c r="Y56" s="15"/>
      <c r="Z56" s="15"/>
      <c r="AA56" s="15"/>
      <c r="AB56" s="15"/>
    </row>
    <row r="57" spans="2:28" x14ac:dyDescent="0.25">
      <c r="B57" s="15" t="e">
        <f t="shared" si="0"/>
        <v>#VALUE!</v>
      </c>
      <c r="C57" s="15" t="e">
        <f t="shared" si="4"/>
        <v>#VALUE!</v>
      </c>
      <c r="D57" s="15"/>
      <c r="E57" s="15" t="str">
        <f>IF(Table22[[#This Row],[Notes]]="","",LEFT(Table22[[#This Row],[Notes]],FIND(CHAR(10),Table22[[#This Row],[Notes]]&amp;CHAR(10))-1))</f>
        <v/>
      </c>
      <c r="F57" s="15" t="e">
        <f t="shared" si="2"/>
        <v>#VALUE!</v>
      </c>
      <c r="G57" s="20">
        <f t="shared" ca="1" si="3"/>
        <v>44510</v>
      </c>
      <c r="H57" s="15"/>
      <c r="I57" s="15"/>
      <c r="J57" s="21"/>
      <c r="K57" s="15"/>
      <c r="L57" s="15"/>
      <c r="M57" s="15"/>
      <c r="N57" s="15"/>
      <c r="O57" s="15"/>
      <c r="P57" s="15"/>
      <c r="Q57" s="15"/>
      <c r="R57" s="15"/>
      <c r="S57" s="15"/>
      <c r="T57" s="15"/>
      <c r="U57" s="15"/>
      <c r="V57" s="15"/>
      <c r="W57" s="15"/>
      <c r="X57" s="15"/>
      <c r="Y57" s="15"/>
      <c r="Z57" s="15"/>
      <c r="AA57" s="15"/>
      <c r="AB57" s="15"/>
    </row>
    <row r="58" spans="2:28" x14ac:dyDescent="0.25">
      <c r="B58" s="15" t="e">
        <f t="shared" si="0"/>
        <v>#VALUE!</v>
      </c>
      <c r="C58" s="15" t="e">
        <f t="shared" si="4"/>
        <v>#VALUE!</v>
      </c>
      <c r="D58" s="15"/>
      <c r="E58" s="15" t="str">
        <f>IF(Table22[[#This Row],[Notes]]="","",LEFT(Table22[[#This Row],[Notes]],FIND(CHAR(10),Table22[[#This Row],[Notes]]&amp;CHAR(10))-1))</f>
        <v/>
      </c>
      <c r="F58" s="15" t="e">
        <f t="shared" si="2"/>
        <v>#VALUE!</v>
      </c>
      <c r="G58" s="20">
        <f t="shared" ca="1" si="3"/>
        <v>44510</v>
      </c>
      <c r="H58" s="15"/>
      <c r="I58" s="15"/>
      <c r="J58" s="21"/>
      <c r="K58" s="15"/>
      <c r="L58" s="15"/>
      <c r="M58" s="15"/>
      <c r="N58" s="15"/>
      <c r="O58" s="15"/>
      <c r="P58" s="15"/>
      <c r="Q58" s="15"/>
      <c r="R58" s="15"/>
      <c r="S58" s="15"/>
      <c r="T58" s="15"/>
      <c r="U58" s="15"/>
      <c r="V58" s="15"/>
      <c r="W58" s="15"/>
      <c r="X58" s="15"/>
      <c r="Y58" s="15"/>
      <c r="Z58" s="15"/>
      <c r="AA58" s="15"/>
      <c r="AB58" s="15"/>
    </row>
    <row r="59" spans="2:28" x14ac:dyDescent="0.25">
      <c r="B59" s="15" t="e">
        <f t="shared" si="0"/>
        <v>#VALUE!</v>
      </c>
      <c r="C59" s="15" t="e">
        <f t="shared" si="4"/>
        <v>#VALUE!</v>
      </c>
      <c r="D59" s="15"/>
      <c r="E59" s="15" t="str">
        <f>IF(Table22[[#This Row],[Notes]]="","",LEFT(Table22[[#This Row],[Notes]],FIND(CHAR(10),Table22[[#This Row],[Notes]]&amp;CHAR(10))-1))</f>
        <v/>
      </c>
      <c r="F59" s="15" t="e">
        <f t="shared" si="2"/>
        <v>#VALUE!</v>
      </c>
      <c r="G59" s="20">
        <f t="shared" ca="1" si="3"/>
        <v>44510</v>
      </c>
      <c r="H59" s="15"/>
      <c r="I59" s="15"/>
      <c r="J59" s="21"/>
      <c r="K59" s="15"/>
      <c r="L59" s="15"/>
      <c r="M59" s="15"/>
      <c r="N59" s="15"/>
      <c r="O59" s="15"/>
      <c r="P59" s="15"/>
      <c r="Q59" s="15"/>
      <c r="R59" s="15"/>
      <c r="S59" s="15"/>
      <c r="T59" s="15"/>
      <c r="U59" s="15"/>
      <c r="V59" s="15"/>
      <c r="W59" s="15"/>
      <c r="X59" s="15"/>
      <c r="Y59" s="15"/>
      <c r="Z59" s="15"/>
      <c r="AA59" s="15"/>
      <c r="AB59" s="15"/>
    </row>
    <row r="60" spans="2:28" x14ac:dyDescent="0.25">
      <c r="B60" s="15" t="e">
        <f t="shared" si="0"/>
        <v>#VALUE!</v>
      </c>
      <c r="C60" s="15" t="e">
        <f t="shared" si="4"/>
        <v>#VALUE!</v>
      </c>
      <c r="D60" s="15"/>
      <c r="E60" s="15" t="str">
        <f>IF(Table22[[#This Row],[Notes]]="","",LEFT(Table22[[#This Row],[Notes]],FIND(CHAR(10),Table22[[#This Row],[Notes]]&amp;CHAR(10))-1))</f>
        <v/>
      </c>
      <c r="F60" s="15" t="e">
        <f t="shared" si="2"/>
        <v>#VALUE!</v>
      </c>
      <c r="G60" s="20">
        <f t="shared" ca="1" si="3"/>
        <v>44510</v>
      </c>
      <c r="H60" s="15"/>
      <c r="I60" s="15"/>
      <c r="J60" s="21"/>
      <c r="K60" s="15"/>
      <c r="L60" s="15"/>
      <c r="M60" s="15"/>
      <c r="N60" s="15"/>
      <c r="O60" s="15"/>
      <c r="P60" s="15"/>
      <c r="Q60" s="15"/>
      <c r="R60" s="15"/>
      <c r="S60" s="15"/>
      <c r="T60" s="15"/>
      <c r="U60" s="15"/>
      <c r="V60" s="15"/>
      <c r="W60" s="15"/>
      <c r="X60" s="15"/>
      <c r="Y60" s="15"/>
      <c r="Z60" s="15"/>
      <c r="AA60" s="15"/>
      <c r="AB60" s="15"/>
    </row>
    <row r="61" spans="2:28" x14ac:dyDescent="0.25">
      <c r="B61" s="15" t="e">
        <f t="shared" si="0"/>
        <v>#VALUE!</v>
      </c>
      <c r="C61" s="15" t="e">
        <f t="shared" si="4"/>
        <v>#VALUE!</v>
      </c>
      <c r="D61" s="15"/>
      <c r="E61" s="15" t="str">
        <f>IF(Table22[[#This Row],[Notes]]="","",LEFT(Table22[[#This Row],[Notes]],FIND(CHAR(10),Table22[[#This Row],[Notes]]&amp;CHAR(10))-1))</f>
        <v/>
      </c>
      <c r="F61" s="15" t="e">
        <f t="shared" si="2"/>
        <v>#VALUE!</v>
      </c>
      <c r="G61" s="20">
        <f t="shared" ca="1" si="3"/>
        <v>44510</v>
      </c>
      <c r="H61" s="15"/>
      <c r="I61" s="15"/>
      <c r="J61" s="21"/>
      <c r="K61" s="15"/>
      <c r="L61" s="15"/>
      <c r="M61" s="15"/>
      <c r="N61" s="15"/>
      <c r="O61" s="15"/>
      <c r="P61" s="15"/>
      <c r="Q61" s="15"/>
      <c r="R61" s="15"/>
      <c r="S61" s="15"/>
      <c r="T61" s="15"/>
      <c r="U61" s="15"/>
      <c r="V61" s="15"/>
      <c r="W61" s="15"/>
      <c r="X61" s="15"/>
      <c r="Y61" s="15"/>
      <c r="Z61" s="15"/>
      <c r="AA61" s="15"/>
      <c r="AB61" s="15"/>
    </row>
    <row r="62" spans="2:28" x14ac:dyDescent="0.25">
      <c r="B62" s="15" t="e">
        <f t="shared" si="0"/>
        <v>#VALUE!</v>
      </c>
      <c r="C62" s="15" t="e">
        <f t="shared" si="4"/>
        <v>#VALUE!</v>
      </c>
      <c r="D62" s="15"/>
      <c r="E62" s="15" t="str">
        <f>IF(Table22[[#This Row],[Notes]]="","",LEFT(Table22[[#This Row],[Notes]],FIND(CHAR(10),Table22[[#This Row],[Notes]]&amp;CHAR(10))-1))</f>
        <v/>
      </c>
      <c r="F62" s="15" t="e">
        <f t="shared" si="2"/>
        <v>#VALUE!</v>
      </c>
      <c r="G62" s="20">
        <f t="shared" ca="1" si="3"/>
        <v>44510</v>
      </c>
      <c r="H62" s="15"/>
      <c r="I62" s="15"/>
      <c r="J62" s="21"/>
      <c r="K62" s="15"/>
      <c r="L62" s="15"/>
      <c r="M62" s="15"/>
      <c r="N62" s="15"/>
      <c r="O62" s="15"/>
      <c r="P62" s="15"/>
      <c r="Q62" s="15"/>
      <c r="R62" s="15"/>
      <c r="S62" s="15"/>
      <c r="T62" s="15"/>
      <c r="U62" s="15"/>
      <c r="V62" s="15"/>
      <c r="W62" s="15"/>
      <c r="X62" s="15"/>
      <c r="Y62" s="15"/>
      <c r="Z62" s="15"/>
      <c r="AA62" s="15"/>
      <c r="AB62" s="15"/>
    </row>
    <row r="63" spans="2:28" x14ac:dyDescent="0.25">
      <c r="B63" s="15" t="e">
        <f t="shared" si="0"/>
        <v>#VALUE!</v>
      </c>
      <c r="C63" s="15" t="e">
        <f t="shared" si="4"/>
        <v>#VALUE!</v>
      </c>
      <c r="D63" s="15"/>
      <c r="E63" s="15" t="str">
        <f>IF(Table22[[#This Row],[Notes]]="","",LEFT(Table22[[#This Row],[Notes]],FIND(CHAR(10),Table22[[#This Row],[Notes]]&amp;CHAR(10))-1))</f>
        <v/>
      </c>
      <c r="F63" s="15" t="e">
        <f t="shared" si="2"/>
        <v>#VALUE!</v>
      </c>
      <c r="G63" s="20">
        <f t="shared" ca="1" si="3"/>
        <v>44510</v>
      </c>
      <c r="H63" s="15"/>
      <c r="I63" s="15"/>
      <c r="J63" s="21"/>
      <c r="K63" s="15"/>
      <c r="L63" s="15"/>
      <c r="M63" s="15"/>
      <c r="N63" s="15"/>
      <c r="O63" s="15"/>
      <c r="P63" s="15"/>
      <c r="Q63" s="15"/>
      <c r="R63" s="15"/>
      <c r="S63" s="15"/>
      <c r="T63" s="15"/>
      <c r="U63" s="15"/>
      <c r="V63" s="15"/>
      <c r="W63" s="15"/>
      <c r="X63" s="15"/>
      <c r="Y63" s="15"/>
      <c r="Z63" s="15"/>
      <c r="AA63" s="15"/>
      <c r="AB63" s="15"/>
    </row>
    <row r="64" spans="2:28" x14ac:dyDescent="0.25">
      <c r="B64" s="15" t="e">
        <f t="shared" si="0"/>
        <v>#VALUE!</v>
      </c>
      <c r="C64" s="15" t="e">
        <f t="shared" si="4"/>
        <v>#VALUE!</v>
      </c>
      <c r="D64" s="15"/>
      <c r="E64" s="15" t="str">
        <f>IF(Table22[[#This Row],[Notes]]="","",LEFT(Table22[[#This Row],[Notes]],FIND(CHAR(10),Table22[[#This Row],[Notes]]&amp;CHAR(10))-1))</f>
        <v/>
      </c>
      <c r="F64" s="15" t="e">
        <f t="shared" si="2"/>
        <v>#VALUE!</v>
      </c>
      <c r="G64" s="20">
        <f t="shared" ca="1" si="3"/>
        <v>44510</v>
      </c>
      <c r="H64" s="15"/>
      <c r="I64" s="15"/>
      <c r="J64" s="21"/>
      <c r="K64" s="15"/>
      <c r="L64" s="15"/>
      <c r="M64" s="15"/>
      <c r="N64" s="15"/>
      <c r="O64" s="15"/>
      <c r="P64" s="15"/>
      <c r="Q64" s="15"/>
      <c r="R64" s="15"/>
      <c r="S64" s="15"/>
      <c r="T64" s="15"/>
      <c r="U64" s="15"/>
      <c r="V64" s="15"/>
      <c r="W64" s="15"/>
      <c r="X64" s="15"/>
      <c r="Y64" s="15"/>
      <c r="Z64" s="15"/>
      <c r="AA64" s="15"/>
      <c r="AB64" s="15"/>
    </row>
    <row r="65" spans="2:28" x14ac:dyDescent="0.25">
      <c r="B65" s="15" t="e">
        <f t="shared" si="0"/>
        <v>#VALUE!</v>
      </c>
      <c r="C65" s="15" t="e">
        <f t="shared" si="4"/>
        <v>#VALUE!</v>
      </c>
      <c r="D65" s="15"/>
      <c r="E65" s="15" t="str">
        <f>IF(Table22[[#This Row],[Notes]]="","",LEFT(Table22[[#This Row],[Notes]],FIND(CHAR(10),Table22[[#This Row],[Notes]]&amp;CHAR(10))-1))</f>
        <v/>
      </c>
      <c r="F65" s="15" t="e">
        <f t="shared" si="2"/>
        <v>#VALUE!</v>
      </c>
      <c r="G65" s="20">
        <f t="shared" ca="1" si="3"/>
        <v>44510</v>
      </c>
      <c r="H65" s="15"/>
      <c r="I65" s="15"/>
      <c r="J65" s="21"/>
      <c r="K65" s="15"/>
      <c r="L65" s="15"/>
      <c r="M65" s="15"/>
      <c r="N65" s="15"/>
      <c r="O65" s="15"/>
      <c r="P65" s="15"/>
      <c r="Q65" s="15"/>
      <c r="R65" s="15"/>
      <c r="S65" s="15"/>
      <c r="T65" s="15"/>
      <c r="U65" s="15"/>
      <c r="V65" s="15"/>
      <c r="W65" s="15"/>
      <c r="X65" s="15"/>
      <c r="Y65" s="15"/>
      <c r="Z65" s="15"/>
      <c r="AA65" s="15"/>
      <c r="AB65" s="15"/>
    </row>
    <row r="66" spans="2:28" x14ac:dyDescent="0.25">
      <c r="B66" s="15" t="e">
        <f t="shared" ref="B66:B129" si="5" xml:space="preserve"> MID(A66,SEARCH(":",A66)+2,SEARCH(":",A66,SEARCH(":",A66)+1)-SEARCH(":",A66)-3)</f>
        <v>#VALUE!</v>
      </c>
      <c r="C66" s="15" t="e">
        <f t="shared" ref="C66:C97" si="6">"partner:"&amp;MID(A66,SEARCH(":",A66)+1,SEARCH(":",A66,SEARCH(":",A66)+1)-SEARCH(":",A66)-1)</f>
        <v>#VALUE!</v>
      </c>
      <c r="D66" s="15"/>
      <c r="E66" s="15" t="str">
        <f>IF(Table22[[#This Row],[Notes]]="","",LEFT(Table22[[#This Row],[Notes]],FIND(CHAR(10),Table22[[#This Row],[Notes]]&amp;CHAR(10))-1))</f>
        <v/>
      </c>
      <c r="F66" s="15" t="e">
        <f t="shared" ref="F66:F129" si="7">DATEVALUE(SUBSTITUTE(LEFT(E66,SEARCH(" ",E66)-1),".","/"))</f>
        <v>#VALUE!</v>
      </c>
      <c r="G66" s="20">
        <f t="shared" ref="G66:G129" ca="1" si="8">IF(ISERROR(F66),TODAY(),F66)</f>
        <v>44510</v>
      </c>
      <c r="H66" s="15"/>
      <c r="I66" s="15"/>
      <c r="J66" s="21"/>
      <c r="K66" s="15"/>
      <c r="L66" s="15"/>
      <c r="M66" s="15"/>
      <c r="N66" s="15"/>
      <c r="O66" s="15"/>
      <c r="P66" s="15"/>
      <c r="Q66" s="15"/>
      <c r="R66" s="15"/>
      <c r="S66" s="15"/>
      <c r="T66" s="15"/>
      <c r="U66" s="15"/>
      <c r="V66" s="15"/>
      <c r="W66" s="15"/>
      <c r="X66" s="15"/>
      <c r="Y66" s="15"/>
      <c r="Z66" s="15"/>
      <c r="AA66" s="15"/>
      <c r="AB66" s="15"/>
    </row>
    <row r="67" spans="2:28" x14ac:dyDescent="0.25">
      <c r="B67" s="15" t="e">
        <f t="shared" si="5"/>
        <v>#VALUE!</v>
      </c>
      <c r="C67" s="15" t="e">
        <f t="shared" si="6"/>
        <v>#VALUE!</v>
      </c>
      <c r="D67" s="15"/>
      <c r="E67" s="15" t="str">
        <f>IF(Table22[[#This Row],[Notes]]="","",LEFT(Table22[[#This Row],[Notes]],FIND(CHAR(10),Table22[[#This Row],[Notes]]&amp;CHAR(10))-1))</f>
        <v/>
      </c>
      <c r="F67" s="15" t="e">
        <f t="shared" si="7"/>
        <v>#VALUE!</v>
      </c>
      <c r="G67" s="20">
        <f t="shared" ca="1" si="8"/>
        <v>44510</v>
      </c>
      <c r="H67" s="15"/>
      <c r="I67" s="15"/>
      <c r="J67" s="21"/>
      <c r="K67" s="15"/>
      <c r="L67" s="15"/>
      <c r="M67" s="15"/>
      <c r="N67" s="15"/>
      <c r="O67" s="15"/>
      <c r="P67" s="15"/>
      <c r="Q67" s="15"/>
      <c r="R67" s="15"/>
      <c r="S67" s="15"/>
      <c r="T67" s="15"/>
      <c r="U67" s="15"/>
      <c r="V67" s="15"/>
      <c r="W67" s="15"/>
      <c r="X67" s="15"/>
      <c r="Y67" s="15"/>
      <c r="Z67" s="15"/>
      <c r="AA67" s="15"/>
      <c r="AB67" s="15"/>
    </row>
    <row r="68" spans="2:28" x14ac:dyDescent="0.25">
      <c r="B68" s="15" t="e">
        <f t="shared" si="5"/>
        <v>#VALUE!</v>
      </c>
      <c r="C68" s="15" t="e">
        <f t="shared" si="6"/>
        <v>#VALUE!</v>
      </c>
      <c r="D68" s="15"/>
      <c r="E68" s="15" t="str">
        <f>IF(Table22[[#This Row],[Notes]]="","",LEFT(Table22[[#This Row],[Notes]],FIND(CHAR(10),Table22[[#This Row],[Notes]]&amp;CHAR(10))-1))</f>
        <v/>
      </c>
      <c r="F68" s="15" t="e">
        <f t="shared" si="7"/>
        <v>#VALUE!</v>
      </c>
      <c r="G68" s="20">
        <f t="shared" ca="1" si="8"/>
        <v>44510</v>
      </c>
      <c r="H68" s="15"/>
      <c r="I68" s="15"/>
      <c r="J68" s="21"/>
      <c r="K68" s="15"/>
      <c r="L68" s="15"/>
      <c r="M68" s="15"/>
      <c r="N68" s="15"/>
      <c r="O68" s="15"/>
      <c r="P68" s="15"/>
      <c r="Q68" s="15"/>
      <c r="R68" s="15"/>
      <c r="S68" s="15"/>
      <c r="T68" s="15"/>
      <c r="U68" s="15"/>
      <c r="V68" s="15"/>
      <c r="W68" s="15"/>
      <c r="X68" s="15"/>
      <c r="Y68" s="15"/>
      <c r="Z68" s="15"/>
      <c r="AA68" s="15"/>
      <c r="AB68" s="15"/>
    </row>
    <row r="69" spans="2:28" x14ac:dyDescent="0.25">
      <c r="B69" s="15" t="e">
        <f t="shared" si="5"/>
        <v>#VALUE!</v>
      </c>
      <c r="C69" s="15" t="e">
        <f t="shared" si="6"/>
        <v>#VALUE!</v>
      </c>
      <c r="D69" s="15"/>
      <c r="E69" s="15" t="str">
        <f>IF(Table22[[#This Row],[Notes]]="","",LEFT(Table22[[#This Row],[Notes]],FIND(CHAR(10),Table22[[#This Row],[Notes]]&amp;CHAR(10))-1))</f>
        <v/>
      </c>
      <c r="F69" s="15" t="e">
        <f t="shared" si="7"/>
        <v>#VALUE!</v>
      </c>
      <c r="G69" s="20">
        <f t="shared" ca="1" si="8"/>
        <v>44510</v>
      </c>
      <c r="H69" s="15"/>
      <c r="I69" s="15"/>
      <c r="J69" s="21"/>
      <c r="K69" s="15"/>
      <c r="L69" s="15"/>
      <c r="M69" s="15"/>
      <c r="N69" s="15"/>
      <c r="O69" s="15"/>
      <c r="P69" s="15"/>
      <c r="Q69" s="15"/>
      <c r="R69" s="15"/>
      <c r="S69" s="15"/>
      <c r="T69" s="15"/>
      <c r="U69" s="15"/>
      <c r="V69" s="15"/>
      <c r="W69" s="15"/>
      <c r="X69" s="15"/>
      <c r="Y69" s="15"/>
      <c r="Z69" s="15"/>
      <c r="AA69" s="15"/>
      <c r="AB69" s="15"/>
    </row>
    <row r="70" spans="2:28" x14ac:dyDescent="0.25">
      <c r="B70" s="15" t="e">
        <f t="shared" si="5"/>
        <v>#VALUE!</v>
      </c>
      <c r="C70" s="15" t="e">
        <f t="shared" si="6"/>
        <v>#VALUE!</v>
      </c>
      <c r="D70" s="15"/>
      <c r="E70" s="15" t="str">
        <f>IF(Table22[[#This Row],[Notes]]="","",LEFT(Table22[[#This Row],[Notes]],FIND(CHAR(10),Table22[[#This Row],[Notes]]&amp;CHAR(10))-1))</f>
        <v/>
      </c>
      <c r="F70" s="15" t="e">
        <f t="shared" si="7"/>
        <v>#VALUE!</v>
      </c>
      <c r="G70" s="20">
        <f t="shared" ca="1" si="8"/>
        <v>44510</v>
      </c>
      <c r="H70" s="15"/>
      <c r="I70" s="15"/>
      <c r="J70" s="21"/>
      <c r="K70" s="15"/>
      <c r="L70" s="15"/>
      <c r="M70" s="15"/>
      <c r="N70" s="15"/>
      <c r="O70" s="15"/>
      <c r="P70" s="15"/>
      <c r="Q70" s="15"/>
      <c r="R70" s="15"/>
      <c r="S70" s="15"/>
      <c r="T70" s="15"/>
      <c r="U70" s="15"/>
      <c r="V70" s="15"/>
      <c r="W70" s="15"/>
      <c r="X70" s="15"/>
      <c r="Y70" s="15"/>
      <c r="Z70" s="15"/>
      <c r="AA70" s="15"/>
      <c r="AB70" s="15"/>
    </row>
    <row r="71" spans="2:28" x14ac:dyDescent="0.25">
      <c r="B71" s="15" t="e">
        <f t="shared" si="5"/>
        <v>#VALUE!</v>
      </c>
      <c r="C71" s="15" t="e">
        <f t="shared" si="6"/>
        <v>#VALUE!</v>
      </c>
      <c r="D71" s="15"/>
      <c r="E71" s="15" t="str">
        <f>IF(Table22[[#This Row],[Notes]]="","",LEFT(Table22[[#This Row],[Notes]],FIND(CHAR(10),Table22[[#This Row],[Notes]]&amp;CHAR(10))-1))</f>
        <v/>
      </c>
      <c r="F71" s="15" t="e">
        <f t="shared" si="7"/>
        <v>#VALUE!</v>
      </c>
      <c r="G71" s="20">
        <f t="shared" ca="1" si="8"/>
        <v>44510</v>
      </c>
      <c r="H71" s="15"/>
      <c r="I71" s="15"/>
      <c r="J71" s="21"/>
      <c r="K71" s="15"/>
      <c r="L71" s="15"/>
      <c r="M71" s="15"/>
      <c r="N71" s="15"/>
      <c r="O71" s="15"/>
      <c r="P71" s="15"/>
      <c r="Q71" s="15"/>
      <c r="R71" s="15"/>
      <c r="S71" s="15"/>
      <c r="T71" s="15"/>
      <c r="U71" s="15"/>
      <c r="V71" s="15"/>
      <c r="W71" s="15"/>
      <c r="X71" s="15"/>
      <c r="Y71" s="15"/>
      <c r="Z71" s="15"/>
      <c r="AA71" s="15"/>
      <c r="AB71" s="15"/>
    </row>
    <row r="72" spans="2:28" x14ac:dyDescent="0.25">
      <c r="B72" s="15" t="e">
        <f t="shared" si="5"/>
        <v>#VALUE!</v>
      </c>
      <c r="C72" s="15" t="e">
        <f t="shared" si="6"/>
        <v>#VALUE!</v>
      </c>
      <c r="D72" s="15"/>
      <c r="E72" s="15" t="str">
        <f>IF(Table22[[#This Row],[Notes]]="","",LEFT(Table22[[#This Row],[Notes]],FIND(CHAR(10),Table22[[#This Row],[Notes]]&amp;CHAR(10))-1))</f>
        <v/>
      </c>
      <c r="F72" s="15" t="e">
        <f t="shared" si="7"/>
        <v>#VALUE!</v>
      </c>
      <c r="G72" s="20">
        <f t="shared" ca="1" si="8"/>
        <v>44510</v>
      </c>
      <c r="H72" s="15"/>
      <c r="I72" s="15"/>
      <c r="J72" s="21"/>
      <c r="K72" s="15"/>
      <c r="L72" s="15"/>
      <c r="M72" s="15"/>
      <c r="N72" s="15"/>
      <c r="O72" s="15"/>
      <c r="P72" s="15"/>
      <c r="Q72" s="15"/>
      <c r="R72" s="15"/>
      <c r="S72" s="15"/>
      <c r="T72" s="15"/>
      <c r="U72" s="15"/>
      <c r="V72" s="15"/>
      <c r="W72" s="15"/>
      <c r="X72" s="15"/>
      <c r="Y72" s="15"/>
      <c r="Z72" s="15"/>
      <c r="AA72" s="15"/>
      <c r="AB72" s="15"/>
    </row>
    <row r="73" spans="2:28" x14ac:dyDescent="0.25">
      <c r="B73" s="15" t="e">
        <f t="shared" si="5"/>
        <v>#VALUE!</v>
      </c>
      <c r="C73" s="15" t="e">
        <f t="shared" si="6"/>
        <v>#VALUE!</v>
      </c>
      <c r="D73" s="15"/>
      <c r="E73" s="15" t="str">
        <f>IF(Table22[[#This Row],[Notes]]="","",LEFT(Table22[[#This Row],[Notes]],FIND(CHAR(10),Table22[[#This Row],[Notes]]&amp;CHAR(10))-1))</f>
        <v/>
      </c>
      <c r="F73" s="15" t="e">
        <f t="shared" si="7"/>
        <v>#VALUE!</v>
      </c>
      <c r="G73" s="20">
        <f t="shared" ca="1" si="8"/>
        <v>44510</v>
      </c>
      <c r="H73" s="15"/>
      <c r="I73" s="15"/>
      <c r="J73" s="21"/>
      <c r="K73" s="15"/>
      <c r="L73" s="15"/>
      <c r="M73" s="15"/>
      <c r="N73" s="15"/>
      <c r="O73" s="15"/>
      <c r="P73" s="15"/>
      <c r="Q73" s="15"/>
      <c r="R73" s="15"/>
      <c r="S73" s="15"/>
      <c r="T73" s="15"/>
      <c r="U73" s="15"/>
      <c r="V73" s="15"/>
      <c r="W73" s="15"/>
      <c r="X73" s="15"/>
      <c r="Y73" s="15"/>
      <c r="Z73" s="15"/>
      <c r="AA73" s="15"/>
      <c r="AB73" s="15"/>
    </row>
    <row r="74" spans="2:28" x14ac:dyDescent="0.25">
      <c r="B74" s="15" t="e">
        <f t="shared" si="5"/>
        <v>#VALUE!</v>
      </c>
      <c r="C74" s="15" t="e">
        <f t="shared" si="6"/>
        <v>#VALUE!</v>
      </c>
      <c r="D74" s="15"/>
      <c r="E74" s="15" t="str">
        <f>IF(Table22[[#This Row],[Notes]]="","",LEFT(Table22[[#This Row],[Notes]],FIND(CHAR(10),Table22[[#This Row],[Notes]]&amp;CHAR(10))-1))</f>
        <v/>
      </c>
      <c r="F74" s="15" t="e">
        <f t="shared" si="7"/>
        <v>#VALUE!</v>
      </c>
      <c r="G74" s="20">
        <f t="shared" ca="1" si="8"/>
        <v>44510</v>
      </c>
      <c r="H74" s="15"/>
      <c r="I74" s="15"/>
      <c r="J74" s="21"/>
      <c r="K74" s="15"/>
      <c r="L74" s="15"/>
      <c r="M74" s="15"/>
      <c r="N74" s="15"/>
      <c r="O74" s="15"/>
      <c r="P74" s="15"/>
      <c r="Q74" s="15"/>
      <c r="R74" s="15"/>
      <c r="S74" s="15"/>
      <c r="T74" s="15"/>
      <c r="U74" s="15"/>
      <c r="V74" s="15"/>
      <c r="W74" s="15"/>
      <c r="X74" s="15"/>
      <c r="Y74" s="15"/>
      <c r="Z74" s="15"/>
      <c r="AA74" s="15"/>
      <c r="AB74" s="15"/>
    </row>
    <row r="75" spans="2:28" x14ac:dyDescent="0.25">
      <c r="B75" s="15" t="e">
        <f t="shared" si="5"/>
        <v>#VALUE!</v>
      </c>
      <c r="C75" s="15" t="e">
        <f t="shared" si="6"/>
        <v>#VALUE!</v>
      </c>
      <c r="D75" s="15"/>
      <c r="E75" s="15" t="str">
        <f>IF(Table22[[#This Row],[Notes]]="","",LEFT(Table22[[#This Row],[Notes]],FIND(CHAR(10),Table22[[#This Row],[Notes]]&amp;CHAR(10))-1))</f>
        <v/>
      </c>
      <c r="F75" s="15" t="e">
        <f t="shared" si="7"/>
        <v>#VALUE!</v>
      </c>
      <c r="G75" s="20">
        <f t="shared" ca="1" si="8"/>
        <v>44510</v>
      </c>
      <c r="H75" s="15"/>
      <c r="I75" s="15"/>
      <c r="J75" s="21"/>
      <c r="K75" s="15"/>
      <c r="L75" s="15"/>
      <c r="M75" s="15"/>
      <c r="N75" s="15"/>
      <c r="O75" s="15"/>
      <c r="P75" s="15"/>
      <c r="Q75" s="15"/>
      <c r="R75" s="15"/>
      <c r="S75" s="15"/>
      <c r="T75" s="15"/>
      <c r="U75" s="15"/>
      <c r="V75" s="15"/>
      <c r="W75" s="15"/>
      <c r="X75" s="15"/>
      <c r="Y75" s="15"/>
      <c r="Z75" s="15"/>
      <c r="AA75" s="15"/>
      <c r="AB75" s="15"/>
    </row>
    <row r="76" spans="2:28" x14ac:dyDescent="0.25">
      <c r="B76" s="15" t="e">
        <f t="shared" si="5"/>
        <v>#VALUE!</v>
      </c>
      <c r="C76" s="15" t="e">
        <f t="shared" si="6"/>
        <v>#VALUE!</v>
      </c>
      <c r="D76" s="15"/>
      <c r="E76" s="15" t="str">
        <f>IF(Table22[[#This Row],[Notes]]="","",LEFT(Table22[[#This Row],[Notes]],FIND(CHAR(10),Table22[[#This Row],[Notes]]&amp;CHAR(10))-1))</f>
        <v/>
      </c>
      <c r="F76" s="15" t="e">
        <f t="shared" si="7"/>
        <v>#VALUE!</v>
      </c>
      <c r="G76" s="20">
        <f t="shared" ca="1" si="8"/>
        <v>44510</v>
      </c>
      <c r="H76" s="15"/>
      <c r="I76" s="15"/>
      <c r="J76" s="21"/>
      <c r="K76" s="15"/>
      <c r="L76" s="15"/>
      <c r="M76" s="15"/>
      <c r="N76" s="15"/>
      <c r="O76" s="15"/>
      <c r="P76" s="15"/>
      <c r="Q76" s="15"/>
      <c r="R76" s="15"/>
      <c r="S76" s="15"/>
      <c r="T76" s="15"/>
      <c r="U76" s="15"/>
      <c r="V76" s="15"/>
      <c r="W76" s="15"/>
      <c r="X76" s="15"/>
      <c r="Y76" s="15"/>
      <c r="Z76" s="15"/>
      <c r="AA76" s="15"/>
      <c r="AB76" s="15"/>
    </row>
    <row r="77" spans="2:28" x14ac:dyDescent="0.25">
      <c r="B77" s="15" t="e">
        <f t="shared" si="5"/>
        <v>#VALUE!</v>
      </c>
      <c r="C77" s="15" t="e">
        <f t="shared" si="6"/>
        <v>#VALUE!</v>
      </c>
      <c r="D77" s="15"/>
      <c r="E77" s="15" t="str">
        <f>IF(Table22[[#This Row],[Notes]]="","",LEFT(Table22[[#This Row],[Notes]],FIND(CHAR(10),Table22[[#This Row],[Notes]]&amp;CHAR(10))-1))</f>
        <v/>
      </c>
      <c r="F77" s="15" t="e">
        <f t="shared" si="7"/>
        <v>#VALUE!</v>
      </c>
      <c r="G77" s="20">
        <f t="shared" ca="1" si="8"/>
        <v>44510</v>
      </c>
      <c r="H77" s="15"/>
      <c r="I77" s="15"/>
      <c r="J77" s="21"/>
      <c r="K77" s="15"/>
      <c r="L77" s="15"/>
      <c r="M77" s="15"/>
      <c r="N77" s="15"/>
      <c r="O77" s="15"/>
      <c r="P77" s="15"/>
      <c r="Q77" s="15"/>
      <c r="R77" s="15"/>
      <c r="S77" s="15"/>
      <c r="T77" s="15"/>
      <c r="U77" s="15"/>
      <c r="V77" s="15"/>
      <c r="W77" s="15"/>
      <c r="X77" s="15"/>
      <c r="Y77" s="15"/>
      <c r="Z77" s="15"/>
      <c r="AA77" s="15"/>
      <c r="AB77" s="15"/>
    </row>
    <row r="78" spans="2:28" x14ac:dyDescent="0.25">
      <c r="B78" s="15" t="e">
        <f t="shared" si="5"/>
        <v>#VALUE!</v>
      </c>
      <c r="C78" s="15" t="e">
        <f t="shared" si="6"/>
        <v>#VALUE!</v>
      </c>
      <c r="D78" s="15"/>
      <c r="E78" s="15" t="str">
        <f>IF(Table22[[#This Row],[Notes]]="","",LEFT(Table22[[#This Row],[Notes]],FIND(CHAR(10),Table22[[#This Row],[Notes]]&amp;CHAR(10))-1))</f>
        <v/>
      </c>
      <c r="F78" s="15" t="e">
        <f t="shared" si="7"/>
        <v>#VALUE!</v>
      </c>
      <c r="G78" s="20">
        <f t="shared" ca="1" si="8"/>
        <v>44510</v>
      </c>
      <c r="H78" s="15"/>
      <c r="I78" s="15"/>
      <c r="J78" s="21"/>
      <c r="K78" s="15"/>
      <c r="L78" s="15"/>
      <c r="M78" s="15"/>
      <c r="N78" s="15"/>
      <c r="O78" s="15"/>
      <c r="P78" s="15"/>
      <c r="Q78" s="15"/>
      <c r="R78" s="15"/>
      <c r="S78" s="15"/>
      <c r="T78" s="15"/>
      <c r="U78" s="15"/>
      <c r="V78" s="15"/>
      <c r="W78" s="15"/>
      <c r="X78" s="15"/>
      <c r="Y78" s="15"/>
      <c r="Z78" s="15"/>
      <c r="AA78" s="15"/>
      <c r="AB78" s="15"/>
    </row>
    <row r="79" spans="2:28" x14ac:dyDescent="0.25">
      <c r="B79" s="15" t="e">
        <f t="shared" si="5"/>
        <v>#VALUE!</v>
      </c>
      <c r="C79" s="15" t="e">
        <f t="shared" si="6"/>
        <v>#VALUE!</v>
      </c>
      <c r="D79" s="15"/>
      <c r="E79" s="15" t="str">
        <f>IF(Table22[[#This Row],[Notes]]="","",LEFT(Table22[[#This Row],[Notes]],FIND(CHAR(10),Table22[[#This Row],[Notes]]&amp;CHAR(10))-1))</f>
        <v/>
      </c>
      <c r="F79" s="15" t="e">
        <f t="shared" si="7"/>
        <v>#VALUE!</v>
      </c>
      <c r="G79" s="20">
        <f t="shared" ca="1" si="8"/>
        <v>44510</v>
      </c>
      <c r="H79" s="15"/>
      <c r="I79" s="15"/>
      <c r="J79" s="21"/>
      <c r="K79" s="15"/>
      <c r="L79" s="15"/>
      <c r="M79" s="15"/>
      <c r="N79" s="15"/>
      <c r="O79" s="15"/>
      <c r="P79" s="15"/>
      <c r="Q79" s="15"/>
      <c r="R79" s="15"/>
      <c r="S79" s="15"/>
      <c r="T79" s="15"/>
      <c r="U79" s="15"/>
      <c r="V79" s="15"/>
      <c r="W79" s="15"/>
      <c r="X79" s="15"/>
      <c r="Y79" s="15"/>
      <c r="Z79" s="15"/>
      <c r="AA79" s="15"/>
      <c r="AB79" s="15"/>
    </row>
    <row r="80" spans="2:28" x14ac:dyDescent="0.25">
      <c r="B80" s="15" t="e">
        <f t="shared" si="5"/>
        <v>#VALUE!</v>
      </c>
      <c r="C80" s="15" t="e">
        <f t="shared" si="6"/>
        <v>#VALUE!</v>
      </c>
      <c r="D80" s="15"/>
      <c r="E80" s="15" t="str">
        <f>IF(Table22[[#This Row],[Notes]]="","",LEFT(Table22[[#This Row],[Notes]],FIND(CHAR(10),Table22[[#This Row],[Notes]]&amp;CHAR(10))-1))</f>
        <v/>
      </c>
      <c r="F80" s="15" t="e">
        <f t="shared" si="7"/>
        <v>#VALUE!</v>
      </c>
      <c r="G80" s="20">
        <f t="shared" ca="1" si="8"/>
        <v>44510</v>
      </c>
      <c r="H80" s="15"/>
      <c r="I80" s="15"/>
      <c r="J80" s="21"/>
      <c r="K80" s="15"/>
      <c r="L80" s="15"/>
      <c r="M80" s="15"/>
      <c r="N80" s="15"/>
      <c r="O80" s="15"/>
      <c r="P80" s="15"/>
      <c r="Q80" s="15"/>
      <c r="R80" s="15"/>
      <c r="S80" s="15"/>
      <c r="T80" s="15"/>
      <c r="U80" s="15"/>
      <c r="V80" s="15"/>
      <c r="W80" s="15"/>
      <c r="X80" s="15"/>
      <c r="Y80" s="15"/>
      <c r="Z80" s="15"/>
      <c r="AA80" s="15"/>
      <c r="AB80" s="15"/>
    </row>
    <row r="81" spans="2:28" x14ac:dyDescent="0.25">
      <c r="B81" s="15" t="e">
        <f t="shared" si="5"/>
        <v>#VALUE!</v>
      </c>
      <c r="C81" s="15" t="e">
        <f t="shared" si="6"/>
        <v>#VALUE!</v>
      </c>
      <c r="D81" s="15"/>
      <c r="E81" s="15" t="str">
        <f>IF(Table22[[#This Row],[Notes]]="","",LEFT(Table22[[#This Row],[Notes]],FIND(CHAR(10),Table22[[#This Row],[Notes]]&amp;CHAR(10))-1))</f>
        <v/>
      </c>
      <c r="F81" s="15" t="e">
        <f t="shared" si="7"/>
        <v>#VALUE!</v>
      </c>
      <c r="G81" s="20">
        <f t="shared" ca="1" si="8"/>
        <v>44510</v>
      </c>
      <c r="H81" s="15"/>
      <c r="I81" s="15"/>
      <c r="J81" s="21"/>
      <c r="K81" s="15"/>
      <c r="L81" s="15"/>
      <c r="M81" s="15"/>
      <c r="N81" s="15"/>
      <c r="O81" s="15"/>
      <c r="P81" s="15"/>
      <c r="Q81" s="15"/>
      <c r="R81" s="15"/>
      <c r="S81" s="15"/>
      <c r="T81" s="15"/>
      <c r="U81" s="15"/>
      <c r="V81" s="15"/>
      <c r="W81" s="15"/>
      <c r="X81" s="15"/>
      <c r="Y81" s="15"/>
      <c r="Z81" s="15"/>
      <c r="AA81" s="15"/>
      <c r="AB81" s="15"/>
    </row>
    <row r="82" spans="2:28" x14ac:dyDescent="0.25">
      <c r="B82" s="15" t="e">
        <f t="shared" si="5"/>
        <v>#VALUE!</v>
      </c>
      <c r="C82" s="15" t="e">
        <f t="shared" si="6"/>
        <v>#VALUE!</v>
      </c>
      <c r="D82" s="15"/>
      <c r="E82" s="15" t="str">
        <f>IF(Table22[[#This Row],[Notes]]="","",LEFT(Table22[[#This Row],[Notes]],FIND(CHAR(10),Table22[[#This Row],[Notes]]&amp;CHAR(10))-1))</f>
        <v/>
      </c>
      <c r="F82" s="15" t="e">
        <f t="shared" si="7"/>
        <v>#VALUE!</v>
      </c>
      <c r="G82" s="20">
        <f t="shared" ca="1" si="8"/>
        <v>44510</v>
      </c>
      <c r="H82" s="15"/>
      <c r="I82" s="15"/>
      <c r="J82" s="21"/>
      <c r="K82" s="15"/>
      <c r="L82" s="15"/>
      <c r="M82" s="15"/>
      <c r="N82" s="15"/>
      <c r="O82" s="15"/>
      <c r="P82" s="15"/>
      <c r="Q82" s="15"/>
      <c r="R82" s="15"/>
      <c r="S82" s="15"/>
      <c r="T82" s="15"/>
      <c r="U82" s="15"/>
      <c r="V82" s="15"/>
      <c r="W82" s="15"/>
      <c r="X82" s="15"/>
      <c r="Y82" s="15"/>
      <c r="Z82" s="15"/>
      <c r="AA82" s="15"/>
      <c r="AB82" s="15"/>
    </row>
    <row r="83" spans="2:28" x14ac:dyDescent="0.25">
      <c r="B83" s="15" t="e">
        <f t="shared" si="5"/>
        <v>#VALUE!</v>
      </c>
      <c r="C83" s="15" t="e">
        <f t="shared" si="6"/>
        <v>#VALUE!</v>
      </c>
      <c r="D83" s="15"/>
      <c r="E83" s="15" t="str">
        <f>IF(Table22[[#This Row],[Notes]]="","",LEFT(Table22[[#This Row],[Notes]],FIND(CHAR(10),Table22[[#This Row],[Notes]]&amp;CHAR(10))-1))</f>
        <v/>
      </c>
      <c r="F83" s="15" t="e">
        <f t="shared" si="7"/>
        <v>#VALUE!</v>
      </c>
      <c r="G83" s="20">
        <f t="shared" ca="1" si="8"/>
        <v>44510</v>
      </c>
      <c r="H83" s="15"/>
      <c r="I83" s="15"/>
      <c r="J83" s="21"/>
      <c r="K83" s="15"/>
      <c r="L83" s="15"/>
      <c r="M83" s="15"/>
      <c r="N83" s="15"/>
      <c r="O83" s="15"/>
      <c r="P83" s="15"/>
      <c r="Q83" s="15"/>
      <c r="R83" s="15"/>
      <c r="S83" s="15"/>
      <c r="T83" s="15"/>
      <c r="U83" s="15"/>
      <c r="V83" s="15"/>
      <c r="W83" s="15"/>
      <c r="X83" s="15"/>
      <c r="Y83" s="15"/>
      <c r="Z83" s="15"/>
      <c r="AA83" s="15"/>
      <c r="AB83" s="15"/>
    </row>
    <row r="84" spans="2:28" x14ac:dyDescent="0.25">
      <c r="B84" s="15" t="e">
        <f t="shared" si="5"/>
        <v>#VALUE!</v>
      </c>
      <c r="C84" s="15" t="e">
        <f t="shared" si="6"/>
        <v>#VALUE!</v>
      </c>
      <c r="D84" s="15"/>
      <c r="E84" s="15" t="str">
        <f>IF(Table22[[#This Row],[Notes]]="","",LEFT(Table22[[#This Row],[Notes]],FIND(CHAR(10),Table22[[#This Row],[Notes]]&amp;CHAR(10))-1))</f>
        <v/>
      </c>
      <c r="F84" s="15" t="e">
        <f t="shared" si="7"/>
        <v>#VALUE!</v>
      </c>
      <c r="G84" s="20">
        <f t="shared" ca="1" si="8"/>
        <v>44510</v>
      </c>
      <c r="H84" s="15"/>
      <c r="I84" s="15"/>
      <c r="J84" s="21"/>
      <c r="K84" s="15"/>
      <c r="L84" s="15"/>
      <c r="M84" s="15"/>
      <c r="N84" s="15"/>
      <c r="O84" s="15"/>
      <c r="P84" s="15"/>
      <c r="Q84" s="15"/>
      <c r="R84" s="15"/>
      <c r="S84" s="15"/>
      <c r="T84" s="15"/>
      <c r="U84" s="15"/>
      <c r="V84" s="15"/>
      <c r="W84" s="15"/>
      <c r="X84" s="15"/>
      <c r="Y84" s="15"/>
      <c r="Z84" s="15"/>
      <c r="AA84" s="15"/>
      <c r="AB84" s="15"/>
    </row>
    <row r="85" spans="2:28" x14ac:dyDescent="0.25">
      <c r="B85" s="15" t="e">
        <f t="shared" si="5"/>
        <v>#VALUE!</v>
      </c>
      <c r="C85" s="15" t="e">
        <f t="shared" si="6"/>
        <v>#VALUE!</v>
      </c>
      <c r="D85" s="15"/>
      <c r="E85" s="15" t="str">
        <f>IF(Table22[[#This Row],[Notes]]="","",LEFT(Table22[[#This Row],[Notes]],FIND(CHAR(10),Table22[[#This Row],[Notes]]&amp;CHAR(10))-1))</f>
        <v/>
      </c>
      <c r="F85" s="15" t="e">
        <f t="shared" si="7"/>
        <v>#VALUE!</v>
      </c>
      <c r="G85" s="20">
        <f t="shared" ca="1" si="8"/>
        <v>44510</v>
      </c>
      <c r="H85" s="15"/>
      <c r="I85" s="15"/>
      <c r="J85" s="21"/>
      <c r="K85" s="15"/>
      <c r="L85" s="15"/>
      <c r="M85" s="15"/>
      <c r="N85" s="15"/>
      <c r="O85" s="15"/>
      <c r="P85" s="15"/>
      <c r="Q85" s="15"/>
      <c r="R85" s="15"/>
      <c r="S85" s="15"/>
      <c r="T85" s="15"/>
      <c r="U85" s="15"/>
      <c r="V85" s="15"/>
      <c r="W85" s="15"/>
      <c r="X85" s="15"/>
      <c r="Y85" s="15"/>
      <c r="Z85" s="15"/>
      <c r="AA85" s="15"/>
      <c r="AB85" s="15"/>
    </row>
    <row r="86" spans="2:28" x14ac:dyDescent="0.25">
      <c r="B86" s="15" t="e">
        <f t="shared" si="5"/>
        <v>#VALUE!</v>
      </c>
      <c r="C86" s="15" t="e">
        <f t="shared" si="6"/>
        <v>#VALUE!</v>
      </c>
      <c r="D86" s="15"/>
      <c r="E86" s="15" t="str">
        <f>IF(Table22[[#This Row],[Notes]]="","",LEFT(Table22[[#This Row],[Notes]],FIND(CHAR(10),Table22[[#This Row],[Notes]]&amp;CHAR(10))-1))</f>
        <v/>
      </c>
      <c r="F86" s="15" t="e">
        <f t="shared" si="7"/>
        <v>#VALUE!</v>
      </c>
      <c r="G86" s="20">
        <f t="shared" ca="1" si="8"/>
        <v>44510</v>
      </c>
      <c r="H86" s="15"/>
      <c r="I86" s="15"/>
      <c r="J86" s="21"/>
      <c r="K86" s="15"/>
      <c r="L86" s="15"/>
      <c r="M86" s="15"/>
      <c r="N86" s="15"/>
      <c r="O86" s="15"/>
      <c r="P86" s="15"/>
      <c r="Q86" s="15"/>
      <c r="R86" s="15"/>
      <c r="S86" s="15"/>
      <c r="T86" s="15"/>
      <c r="U86" s="15"/>
      <c r="V86" s="15"/>
      <c r="W86" s="15"/>
      <c r="X86" s="15"/>
      <c r="Y86" s="15"/>
      <c r="Z86" s="15"/>
      <c r="AA86" s="15"/>
      <c r="AB86" s="15"/>
    </row>
    <row r="87" spans="2:28" x14ac:dyDescent="0.25">
      <c r="B87" s="15" t="e">
        <f t="shared" si="5"/>
        <v>#VALUE!</v>
      </c>
      <c r="C87" s="15" t="e">
        <f t="shared" si="6"/>
        <v>#VALUE!</v>
      </c>
      <c r="D87" s="15"/>
      <c r="E87" s="15" t="str">
        <f>IF(Table22[[#This Row],[Notes]]="","",LEFT(Table22[[#This Row],[Notes]],FIND(CHAR(10),Table22[[#This Row],[Notes]]&amp;CHAR(10))-1))</f>
        <v/>
      </c>
      <c r="F87" s="15" t="e">
        <f t="shared" si="7"/>
        <v>#VALUE!</v>
      </c>
      <c r="G87" s="20">
        <f t="shared" ca="1" si="8"/>
        <v>44510</v>
      </c>
      <c r="H87" s="15"/>
      <c r="I87" s="15"/>
      <c r="J87" s="21"/>
      <c r="K87" s="15"/>
      <c r="L87" s="15"/>
      <c r="M87" s="15"/>
      <c r="N87" s="15"/>
      <c r="O87" s="15"/>
      <c r="P87" s="15"/>
      <c r="Q87" s="15"/>
      <c r="R87" s="15"/>
      <c r="S87" s="15"/>
      <c r="T87" s="15"/>
      <c r="U87" s="15"/>
      <c r="V87" s="15"/>
      <c r="W87" s="15"/>
      <c r="X87" s="15"/>
      <c r="Y87" s="15"/>
      <c r="Z87" s="15"/>
      <c r="AA87" s="15"/>
      <c r="AB87" s="15"/>
    </row>
    <row r="88" spans="2:28" x14ac:dyDescent="0.25">
      <c r="B88" s="15" t="e">
        <f t="shared" si="5"/>
        <v>#VALUE!</v>
      </c>
      <c r="C88" s="15" t="e">
        <f t="shared" si="6"/>
        <v>#VALUE!</v>
      </c>
      <c r="D88" s="15"/>
      <c r="E88" s="15" t="str">
        <f>IF(Table22[[#This Row],[Notes]]="","",LEFT(Table22[[#This Row],[Notes]],FIND(CHAR(10),Table22[[#This Row],[Notes]]&amp;CHAR(10))-1))</f>
        <v/>
      </c>
      <c r="F88" s="15" t="e">
        <f t="shared" si="7"/>
        <v>#VALUE!</v>
      </c>
      <c r="G88" s="20">
        <f t="shared" ca="1" si="8"/>
        <v>44510</v>
      </c>
      <c r="H88" s="15"/>
      <c r="I88" s="15"/>
      <c r="J88" s="21"/>
      <c r="K88" s="15"/>
      <c r="L88" s="15"/>
      <c r="M88" s="15"/>
      <c r="N88" s="15"/>
      <c r="O88" s="15"/>
      <c r="P88" s="15"/>
      <c r="Q88" s="15"/>
      <c r="R88" s="15"/>
      <c r="S88" s="15"/>
      <c r="T88" s="15"/>
      <c r="U88" s="15"/>
      <c r="V88" s="15"/>
      <c r="W88" s="15"/>
      <c r="X88" s="15"/>
      <c r="Y88" s="15"/>
      <c r="Z88" s="15"/>
      <c r="AA88" s="15"/>
      <c r="AB88" s="15"/>
    </row>
    <row r="89" spans="2:28" x14ac:dyDescent="0.25">
      <c r="B89" s="15" t="e">
        <f t="shared" si="5"/>
        <v>#VALUE!</v>
      </c>
      <c r="C89" s="15" t="e">
        <f t="shared" si="6"/>
        <v>#VALUE!</v>
      </c>
      <c r="D89" s="15"/>
      <c r="E89" s="15" t="str">
        <f>IF(Table22[[#This Row],[Notes]]="","",LEFT(Table22[[#This Row],[Notes]],FIND(CHAR(10),Table22[[#This Row],[Notes]]&amp;CHAR(10))-1))</f>
        <v/>
      </c>
      <c r="F89" s="15" t="e">
        <f t="shared" si="7"/>
        <v>#VALUE!</v>
      </c>
      <c r="G89" s="20">
        <f t="shared" ca="1" si="8"/>
        <v>44510</v>
      </c>
      <c r="H89" s="15"/>
      <c r="I89" s="15"/>
      <c r="J89" s="21"/>
      <c r="K89" s="15"/>
      <c r="L89" s="15"/>
      <c r="M89" s="15"/>
      <c r="N89" s="15"/>
      <c r="O89" s="15"/>
      <c r="P89" s="15"/>
      <c r="Q89" s="15"/>
      <c r="R89" s="15"/>
      <c r="S89" s="15"/>
      <c r="T89" s="15"/>
      <c r="U89" s="15"/>
      <c r="V89" s="15"/>
      <c r="W89" s="15"/>
      <c r="X89" s="15"/>
      <c r="Y89" s="15"/>
      <c r="Z89" s="15"/>
      <c r="AA89" s="15"/>
      <c r="AB89" s="15"/>
    </row>
    <row r="90" spans="2:28" x14ac:dyDescent="0.25">
      <c r="B90" s="15" t="e">
        <f t="shared" si="5"/>
        <v>#VALUE!</v>
      </c>
      <c r="C90" s="15" t="e">
        <f t="shared" si="6"/>
        <v>#VALUE!</v>
      </c>
      <c r="D90" s="15"/>
      <c r="E90" s="15" t="str">
        <f>IF(Table22[[#This Row],[Notes]]="","",LEFT(Table22[[#This Row],[Notes]],FIND(CHAR(10),Table22[[#This Row],[Notes]]&amp;CHAR(10))-1))</f>
        <v/>
      </c>
      <c r="F90" s="15" t="e">
        <f t="shared" si="7"/>
        <v>#VALUE!</v>
      </c>
      <c r="G90" s="20">
        <f t="shared" ca="1" si="8"/>
        <v>44510</v>
      </c>
      <c r="H90" s="15"/>
      <c r="I90" s="15"/>
      <c r="J90" s="21"/>
      <c r="K90" s="15"/>
      <c r="L90" s="15"/>
      <c r="M90" s="15"/>
      <c r="N90" s="15"/>
      <c r="O90" s="15"/>
      <c r="P90" s="15"/>
      <c r="Q90" s="15"/>
      <c r="R90" s="15"/>
      <c r="S90" s="15"/>
      <c r="T90" s="15"/>
      <c r="U90" s="15"/>
      <c r="V90" s="15"/>
      <c r="W90" s="15"/>
      <c r="X90" s="15"/>
      <c r="Y90" s="15"/>
      <c r="Z90" s="15"/>
      <c r="AA90" s="15"/>
      <c r="AB90" s="15"/>
    </row>
    <row r="91" spans="2:28" x14ac:dyDescent="0.25">
      <c r="B91" s="15" t="e">
        <f t="shared" si="5"/>
        <v>#VALUE!</v>
      </c>
      <c r="C91" s="15" t="e">
        <f t="shared" si="6"/>
        <v>#VALUE!</v>
      </c>
      <c r="D91" s="15"/>
      <c r="E91" s="15" t="str">
        <f>IF(Table22[[#This Row],[Notes]]="","",LEFT(Table22[[#This Row],[Notes]],FIND(CHAR(10),Table22[[#This Row],[Notes]]&amp;CHAR(10))-1))</f>
        <v/>
      </c>
      <c r="F91" s="15" t="e">
        <f t="shared" si="7"/>
        <v>#VALUE!</v>
      </c>
      <c r="G91" s="20">
        <f t="shared" ca="1" si="8"/>
        <v>44510</v>
      </c>
      <c r="H91" s="15"/>
      <c r="I91" s="15"/>
      <c r="J91" s="21"/>
      <c r="K91" s="15"/>
      <c r="L91" s="15"/>
      <c r="M91" s="15"/>
      <c r="N91" s="15"/>
      <c r="O91" s="15"/>
      <c r="P91" s="15"/>
      <c r="Q91" s="15"/>
      <c r="R91" s="15"/>
      <c r="S91" s="15"/>
      <c r="T91" s="15"/>
      <c r="U91" s="15"/>
      <c r="V91" s="15"/>
      <c r="W91" s="15"/>
      <c r="X91" s="15"/>
      <c r="Y91" s="15"/>
      <c r="Z91" s="15"/>
      <c r="AA91" s="15"/>
      <c r="AB91" s="15"/>
    </row>
    <row r="92" spans="2:28" x14ac:dyDescent="0.25">
      <c r="B92" s="15" t="e">
        <f t="shared" si="5"/>
        <v>#VALUE!</v>
      </c>
      <c r="C92" s="15" t="e">
        <f t="shared" si="6"/>
        <v>#VALUE!</v>
      </c>
      <c r="D92" s="15"/>
      <c r="E92" s="15" t="str">
        <f>IF(Table22[[#This Row],[Notes]]="","",LEFT(Table22[[#This Row],[Notes]],FIND(CHAR(10),Table22[[#This Row],[Notes]]&amp;CHAR(10))-1))</f>
        <v/>
      </c>
      <c r="F92" s="15" t="e">
        <f t="shared" si="7"/>
        <v>#VALUE!</v>
      </c>
      <c r="G92" s="20">
        <f t="shared" ca="1" si="8"/>
        <v>44510</v>
      </c>
      <c r="H92" s="15"/>
      <c r="I92" s="15"/>
      <c r="J92" s="21"/>
      <c r="K92" s="15"/>
      <c r="L92" s="15"/>
      <c r="M92" s="15"/>
      <c r="N92" s="15"/>
      <c r="O92" s="15"/>
      <c r="P92" s="15"/>
      <c r="Q92" s="15"/>
      <c r="R92" s="15"/>
      <c r="S92" s="15"/>
      <c r="T92" s="15"/>
      <c r="U92" s="15"/>
      <c r="V92" s="15"/>
      <c r="W92" s="15"/>
      <c r="X92" s="15"/>
      <c r="Y92" s="15"/>
      <c r="Z92" s="15"/>
      <c r="AA92" s="15"/>
      <c r="AB92" s="15"/>
    </row>
    <row r="93" spans="2:28" x14ac:dyDescent="0.25">
      <c r="B93" s="15" t="e">
        <f t="shared" si="5"/>
        <v>#VALUE!</v>
      </c>
      <c r="C93" s="15" t="e">
        <f t="shared" si="6"/>
        <v>#VALUE!</v>
      </c>
      <c r="D93" s="15"/>
      <c r="E93" s="15" t="str">
        <f>IF(Table22[[#This Row],[Notes]]="","",LEFT(Table22[[#This Row],[Notes]],FIND(CHAR(10),Table22[[#This Row],[Notes]]&amp;CHAR(10))-1))</f>
        <v/>
      </c>
      <c r="F93" s="15" t="e">
        <f t="shared" si="7"/>
        <v>#VALUE!</v>
      </c>
      <c r="G93" s="20">
        <f t="shared" ca="1" si="8"/>
        <v>44510</v>
      </c>
      <c r="H93" s="15"/>
      <c r="I93" s="15"/>
      <c r="J93" s="21"/>
      <c r="K93" s="15"/>
      <c r="L93" s="15"/>
      <c r="M93" s="15"/>
      <c r="N93" s="15"/>
      <c r="O93" s="15"/>
      <c r="P93" s="15"/>
      <c r="Q93" s="15"/>
      <c r="R93" s="15"/>
      <c r="S93" s="15"/>
      <c r="T93" s="15"/>
      <c r="U93" s="15"/>
      <c r="V93" s="15"/>
      <c r="W93" s="15"/>
      <c r="X93" s="15"/>
      <c r="Y93" s="15"/>
      <c r="Z93" s="15"/>
      <c r="AA93" s="15"/>
      <c r="AB93" s="15"/>
    </row>
    <row r="94" spans="2:28" x14ac:dyDescent="0.25">
      <c r="B94" s="15" t="e">
        <f t="shared" si="5"/>
        <v>#VALUE!</v>
      </c>
      <c r="C94" s="15" t="e">
        <f t="shared" si="6"/>
        <v>#VALUE!</v>
      </c>
      <c r="D94" s="15"/>
      <c r="E94" s="15" t="str">
        <f>IF(Table22[[#This Row],[Notes]]="","",LEFT(Table22[[#This Row],[Notes]],FIND(CHAR(10),Table22[[#This Row],[Notes]]&amp;CHAR(10))-1))</f>
        <v/>
      </c>
      <c r="F94" s="15" t="e">
        <f t="shared" si="7"/>
        <v>#VALUE!</v>
      </c>
      <c r="G94" s="20">
        <f t="shared" ca="1" si="8"/>
        <v>44510</v>
      </c>
      <c r="H94" s="15"/>
      <c r="I94" s="15"/>
      <c r="J94" s="21"/>
      <c r="K94" s="15"/>
      <c r="L94" s="15"/>
      <c r="M94" s="15"/>
      <c r="N94" s="15"/>
      <c r="O94" s="15"/>
      <c r="P94" s="15"/>
      <c r="Q94" s="15"/>
      <c r="R94" s="15"/>
      <c r="S94" s="15"/>
      <c r="T94" s="15"/>
      <c r="U94" s="15"/>
      <c r="V94" s="15"/>
      <c r="W94" s="15"/>
      <c r="X94" s="15"/>
      <c r="Y94" s="15"/>
      <c r="Z94" s="15"/>
      <c r="AA94" s="15"/>
      <c r="AB94" s="15"/>
    </row>
    <row r="95" spans="2:28" x14ac:dyDescent="0.25">
      <c r="B95" s="15" t="e">
        <f t="shared" si="5"/>
        <v>#VALUE!</v>
      </c>
      <c r="C95" s="15" t="e">
        <f t="shared" si="6"/>
        <v>#VALUE!</v>
      </c>
      <c r="D95" s="15"/>
      <c r="E95" s="15" t="str">
        <f>IF(Table22[[#This Row],[Notes]]="","",LEFT(Table22[[#This Row],[Notes]],FIND(CHAR(10),Table22[[#This Row],[Notes]]&amp;CHAR(10))-1))</f>
        <v/>
      </c>
      <c r="F95" s="15" t="e">
        <f t="shared" si="7"/>
        <v>#VALUE!</v>
      </c>
      <c r="G95" s="20">
        <f t="shared" ca="1" si="8"/>
        <v>44510</v>
      </c>
      <c r="H95" s="15"/>
      <c r="I95" s="15"/>
      <c r="J95" s="21"/>
      <c r="K95" s="15"/>
      <c r="L95" s="15"/>
      <c r="M95" s="15"/>
      <c r="N95" s="15"/>
      <c r="O95" s="15"/>
      <c r="P95" s="15"/>
      <c r="Q95" s="15"/>
      <c r="R95" s="15"/>
      <c r="S95" s="15"/>
      <c r="T95" s="15"/>
      <c r="U95" s="15"/>
      <c r="V95" s="15"/>
      <c r="W95" s="15"/>
      <c r="X95" s="15"/>
      <c r="Y95" s="15"/>
      <c r="Z95" s="15"/>
      <c r="AA95" s="15"/>
      <c r="AB95" s="15"/>
    </row>
    <row r="96" spans="2:28" x14ac:dyDescent="0.25">
      <c r="B96" s="15" t="e">
        <f t="shared" si="5"/>
        <v>#VALUE!</v>
      </c>
      <c r="C96" s="15" t="e">
        <f t="shared" si="6"/>
        <v>#VALUE!</v>
      </c>
      <c r="D96" s="15"/>
      <c r="E96" s="15" t="str">
        <f>IF(Table22[[#This Row],[Notes]]="","",LEFT(Table22[[#This Row],[Notes]],FIND(CHAR(10),Table22[[#This Row],[Notes]]&amp;CHAR(10))-1))</f>
        <v/>
      </c>
      <c r="F96" s="15" t="e">
        <f t="shared" si="7"/>
        <v>#VALUE!</v>
      </c>
      <c r="G96" s="20">
        <f t="shared" ca="1" si="8"/>
        <v>44510</v>
      </c>
      <c r="H96" s="15"/>
      <c r="I96" s="15"/>
      <c r="J96" s="21"/>
      <c r="K96" s="15"/>
      <c r="L96" s="15"/>
      <c r="M96" s="15"/>
      <c r="N96" s="15"/>
      <c r="O96" s="15"/>
      <c r="P96" s="15"/>
      <c r="Q96" s="15"/>
      <c r="R96" s="15"/>
      <c r="S96" s="15"/>
      <c r="T96" s="15"/>
      <c r="U96" s="15"/>
      <c r="V96" s="15"/>
      <c r="W96" s="15"/>
      <c r="X96" s="15"/>
      <c r="Y96" s="15"/>
      <c r="Z96" s="15"/>
      <c r="AA96" s="15"/>
      <c r="AB96" s="15"/>
    </row>
    <row r="97" spans="2:28" x14ac:dyDescent="0.25">
      <c r="B97" s="15" t="e">
        <f t="shared" si="5"/>
        <v>#VALUE!</v>
      </c>
      <c r="C97" s="15" t="e">
        <f t="shared" si="6"/>
        <v>#VALUE!</v>
      </c>
      <c r="D97" s="15"/>
      <c r="E97" s="15" t="str">
        <f>IF(Table22[[#This Row],[Notes]]="","",LEFT(Table22[[#This Row],[Notes]],FIND(CHAR(10),Table22[[#This Row],[Notes]]&amp;CHAR(10))-1))</f>
        <v/>
      </c>
      <c r="F97" s="15" t="e">
        <f t="shared" si="7"/>
        <v>#VALUE!</v>
      </c>
      <c r="G97" s="20">
        <f t="shared" ca="1" si="8"/>
        <v>44510</v>
      </c>
      <c r="H97" s="15"/>
      <c r="I97" s="15"/>
      <c r="J97" s="21"/>
      <c r="K97" s="15"/>
      <c r="L97" s="15"/>
      <c r="M97" s="15"/>
      <c r="N97" s="15"/>
      <c r="O97" s="15"/>
      <c r="P97" s="15"/>
      <c r="Q97" s="15"/>
      <c r="R97" s="15"/>
      <c r="S97" s="15"/>
      <c r="T97" s="15"/>
      <c r="U97" s="15"/>
      <c r="V97" s="15"/>
      <c r="W97" s="15"/>
      <c r="X97" s="15"/>
      <c r="Y97" s="15"/>
      <c r="Z97" s="15"/>
      <c r="AA97" s="15"/>
      <c r="AB97" s="15"/>
    </row>
    <row r="98" spans="2:28" x14ac:dyDescent="0.25">
      <c r="B98" s="15" t="e">
        <f t="shared" si="5"/>
        <v>#VALUE!</v>
      </c>
      <c r="C98" s="15" t="e">
        <f t="shared" ref="C98:C129" si="9">"partner:"&amp;MID(A98,SEARCH(":",A98)+1,SEARCH(":",A98,SEARCH(":",A98)+1)-SEARCH(":",A98)-1)</f>
        <v>#VALUE!</v>
      </c>
      <c r="D98" s="15"/>
      <c r="E98" s="15" t="str">
        <f>IF(Table22[[#This Row],[Notes]]="","",LEFT(Table22[[#This Row],[Notes]],FIND(CHAR(10),Table22[[#This Row],[Notes]]&amp;CHAR(10))-1))</f>
        <v/>
      </c>
      <c r="F98" s="15" t="e">
        <f t="shared" si="7"/>
        <v>#VALUE!</v>
      </c>
      <c r="G98" s="20">
        <f t="shared" ca="1" si="8"/>
        <v>44510</v>
      </c>
      <c r="H98" s="15"/>
      <c r="I98" s="15"/>
      <c r="J98" s="21"/>
      <c r="K98" s="15"/>
      <c r="L98" s="15"/>
      <c r="M98" s="15"/>
      <c r="N98" s="15"/>
      <c r="O98" s="15"/>
      <c r="P98" s="15"/>
      <c r="Q98" s="15"/>
      <c r="R98" s="15"/>
      <c r="S98" s="15"/>
      <c r="T98" s="15"/>
      <c r="U98" s="15"/>
      <c r="V98" s="15"/>
      <c r="W98" s="15"/>
      <c r="X98" s="15"/>
      <c r="Y98" s="15"/>
      <c r="Z98" s="15"/>
      <c r="AA98" s="15"/>
      <c r="AB98" s="15"/>
    </row>
    <row r="99" spans="2:28" x14ac:dyDescent="0.25">
      <c r="B99" s="15" t="e">
        <f t="shared" si="5"/>
        <v>#VALUE!</v>
      </c>
      <c r="C99" s="15" t="e">
        <f t="shared" si="9"/>
        <v>#VALUE!</v>
      </c>
      <c r="D99" s="15"/>
      <c r="E99" s="15" t="str">
        <f>IF(Table22[[#This Row],[Notes]]="","",LEFT(Table22[[#This Row],[Notes]],FIND(CHAR(10),Table22[[#This Row],[Notes]]&amp;CHAR(10))-1))</f>
        <v/>
      </c>
      <c r="F99" s="15" t="e">
        <f t="shared" si="7"/>
        <v>#VALUE!</v>
      </c>
      <c r="G99" s="20">
        <f t="shared" ca="1" si="8"/>
        <v>44510</v>
      </c>
      <c r="H99" s="15"/>
      <c r="I99" s="15"/>
      <c r="J99" s="21"/>
      <c r="K99" s="15"/>
      <c r="L99" s="15"/>
      <c r="M99" s="15"/>
      <c r="N99" s="15"/>
      <c r="O99" s="15"/>
      <c r="P99" s="15"/>
      <c r="Q99" s="15"/>
      <c r="R99" s="15"/>
      <c r="S99" s="15"/>
      <c r="T99" s="15"/>
      <c r="U99" s="15"/>
      <c r="V99" s="15"/>
      <c r="W99" s="15"/>
      <c r="X99" s="15"/>
      <c r="Y99" s="15"/>
      <c r="Z99" s="15"/>
      <c r="AA99" s="15"/>
      <c r="AB99" s="15"/>
    </row>
    <row r="100" spans="2:28" x14ac:dyDescent="0.25">
      <c r="B100" s="15" t="e">
        <f t="shared" si="5"/>
        <v>#VALUE!</v>
      </c>
      <c r="C100" s="15" t="e">
        <f t="shared" si="9"/>
        <v>#VALUE!</v>
      </c>
      <c r="D100" s="15"/>
      <c r="E100" s="15" t="str">
        <f>IF(Table22[[#This Row],[Notes]]="","",LEFT(Table22[[#This Row],[Notes]],FIND(CHAR(10),Table22[[#This Row],[Notes]]&amp;CHAR(10))-1))</f>
        <v/>
      </c>
      <c r="F100" s="15" t="e">
        <f t="shared" si="7"/>
        <v>#VALUE!</v>
      </c>
      <c r="G100" s="20">
        <f t="shared" ca="1" si="8"/>
        <v>44510</v>
      </c>
      <c r="H100" s="15"/>
      <c r="I100" s="15"/>
      <c r="J100" s="21"/>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5"/>
        <v>#VALUE!</v>
      </c>
      <c r="C101" s="15" t="e">
        <f t="shared" si="9"/>
        <v>#VALUE!</v>
      </c>
      <c r="D101" s="15"/>
      <c r="E101" s="15"/>
      <c r="F101" s="15" t="e">
        <f t="shared" si="7"/>
        <v>#VALUE!</v>
      </c>
      <c r="G101" s="20">
        <f t="shared" ca="1" si="8"/>
        <v>44510</v>
      </c>
      <c r="H101" s="15"/>
      <c r="I101" s="15"/>
      <c r="J101" s="21"/>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5"/>
        <v>#VALUE!</v>
      </c>
      <c r="C102" s="15" t="e">
        <f t="shared" si="9"/>
        <v>#VALUE!</v>
      </c>
      <c r="D102" s="15"/>
      <c r="E102" s="15"/>
      <c r="F102" s="15" t="e">
        <f t="shared" si="7"/>
        <v>#VALUE!</v>
      </c>
      <c r="G102" s="20">
        <f t="shared" ca="1" si="8"/>
        <v>44510</v>
      </c>
      <c r="H102" s="15"/>
      <c r="I102" s="15"/>
      <c r="J102" s="21"/>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5"/>
        <v>#VALUE!</v>
      </c>
      <c r="C103" s="15" t="e">
        <f t="shared" si="9"/>
        <v>#VALUE!</v>
      </c>
      <c r="D103" s="15"/>
      <c r="E103" s="15"/>
      <c r="F103" s="15" t="e">
        <f t="shared" si="7"/>
        <v>#VALUE!</v>
      </c>
      <c r="G103" s="20">
        <f t="shared" ca="1" si="8"/>
        <v>44510</v>
      </c>
      <c r="H103" s="15"/>
      <c r="I103" s="15"/>
      <c r="J103" s="21"/>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5"/>
        <v>#VALUE!</v>
      </c>
      <c r="C104" s="15" t="e">
        <f t="shared" si="9"/>
        <v>#VALUE!</v>
      </c>
      <c r="D104" s="15"/>
      <c r="E104" s="15"/>
      <c r="F104" s="15" t="e">
        <f t="shared" si="7"/>
        <v>#VALUE!</v>
      </c>
      <c r="G104" s="20">
        <f t="shared" ca="1" si="8"/>
        <v>44510</v>
      </c>
      <c r="H104" s="15"/>
      <c r="I104" s="15"/>
      <c r="J104" s="21"/>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5"/>
        <v>#VALUE!</v>
      </c>
      <c r="C105" s="15" t="e">
        <f t="shared" si="9"/>
        <v>#VALUE!</v>
      </c>
      <c r="D105" s="15"/>
      <c r="E105" s="15"/>
      <c r="F105" s="15" t="e">
        <f t="shared" si="7"/>
        <v>#VALUE!</v>
      </c>
      <c r="G105" s="20">
        <f t="shared" ca="1" si="8"/>
        <v>44510</v>
      </c>
      <c r="H105" s="15"/>
      <c r="I105" s="15"/>
      <c r="J105" s="21"/>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5"/>
        <v>#VALUE!</v>
      </c>
      <c r="C106" s="15" t="e">
        <f t="shared" si="9"/>
        <v>#VALUE!</v>
      </c>
      <c r="D106" s="15"/>
      <c r="E106" s="15"/>
      <c r="F106" s="15" t="e">
        <f t="shared" si="7"/>
        <v>#VALUE!</v>
      </c>
      <c r="G106" s="20">
        <f t="shared" ca="1" si="8"/>
        <v>44510</v>
      </c>
      <c r="H106" s="15"/>
      <c r="I106" s="15"/>
      <c r="J106" s="21"/>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5"/>
        <v>#VALUE!</v>
      </c>
      <c r="C107" s="15" t="e">
        <f t="shared" si="9"/>
        <v>#VALUE!</v>
      </c>
      <c r="D107" s="15"/>
      <c r="E107" s="15"/>
      <c r="F107" s="15" t="e">
        <f t="shared" si="7"/>
        <v>#VALUE!</v>
      </c>
      <c r="G107" s="20">
        <f t="shared" ca="1" si="8"/>
        <v>44510</v>
      </c>
      <c r="H107" s="15"/>
      <c r="I107" s="15"/>
      <c r="J107" s="21"/>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5"/>
        <v>#VALUE!</v>
      </c>
      <c r="C108" s="15" t="e">
        <f t="shared" si="9"/>
        <v>#VALUE!</v>
      </c>
      <c r="D108" s="15"/>
      <c r="E108" s="15"/>
      <c r="F108" s="15" t="e">
        <f t="shared" si="7"/>
        <v>#VALUE!</v>
      </c>
      <c r="G108" s="20">
        <f t="shared" ca="1" si="8"/>
        <v>44510</v>
      </c>
      <c r="H108" s="15"/>
      <c r="I108" s="15"/>
      <c r="J108" s="21"/>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5"/>
        <v>#VALUE!</v>
      </c>
      <c r="C109" s="15" t="e">
        <f t="shared" si="9"/>
        <v>#VALUE!</v>
      </c>
      <c r="D109" s="15"/>
      <c r="E109" s="15"/>
      <c r="F109" s="15" t="e">
        <f t="shared" si="7"/>
        <v>#VALUE!</v>
      </c>
      <c r="G109" s="20">
        <f t="shared" ca="1" si="8"/>
        <v>44510</v>
      </c>
      <c r="H109" s="15"/>
      <c r="I109" s="15"/>
      <c r="J109" s="21"/>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5"/>
        <v>#VALUE!</v>
      </c>
      <c r="C110" s="15" t="e">
        <f t="shared" si="9"/>
        <v>#VALUE!</v>
      </c>
      <c r="D110" s="15"/>
      <c r="E110" s="15"/>
      <c r="F110" s="15" t="e">
        <f t="shared" si="7"/>
        <v>#VALUE!</v>
      </c>
      <c r="G110" s="20">
        <f t="shared" ca="1" si="8"/>
        <v>44510</v>
      </c>
      <c r="H110" s="15"/>
      <c r="I110" s="15"/>
      <c r="J110" s="21"/>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5"/>
        <v>#VALUE!</v>
      </c>
      <c r="C111" s="15" t="e">
        <f t="shared" si="9"/>
        <v>#VALUE!</v>
      </c>
      <c r="D111" s="15"/>
      <c r="E111" s="15"/>
      <c r="F111" s="15" t="e">
        <f t="shared" si="7"/>
        <v>#VALUE!</v>
      </c>
      <c r="G111" s="20">
        <f t="shared" ca="1" si="8"/>
        <v>44510</v>
      </c>
      <c r="H111" s="15"/>
      <c r="I111" s="15"/>
      <c r="J111" s="21"/>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5"/>
        <v>#VALUE!</v>
      </c>
      <c r="C112" s="15" t="e">
        <f t="shared" si="9"/>
        <v>#VALUE!</v>
      </c>
      <c r="D112" s="15"/>
      <c r="E112" s="15"/>
      <c r="F112" s="15" t="e">
        <f t="shared" si="7"/>
        <v>#VALUE!</v>
      </c>
      <c r="G112" s="20">
        <f t="shared" ca="1" si="8"/>
        <v>44510</v>
      </c>
      <c r="H112" s="15"/>
      <c r="I112" s="15"/>
      <c r="J112" s="21"/>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5"/>
        <v>#VALUE!</v>
      </c>
      <c r="C113" s="15" t="e">
        <f t="shared" si="9"/>
        <v>#VALUE!</v>
      </c>
      <c r="D113" s="15"/>
      <c r="E113" s="15"/>
      <c r="F113" s="15" t="e">
        <f t="shared" si="7"/>
        <v>#VALUE!</v>
      </c>
      <c r="G113" s="20">
        <f t="shared" ca="1" si="8"/>
        <v>44510</v>
      </c>
      <c r="H113" s="15"/>
      <c r="I113" s="15"/>
      <c r="J113" s="21"/>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5"/>
        <v>#VALUE!</v>
      </c>
      <c r="C114" s="15" t="e">
        <f t="shared" si="9"/>
        <v>#VALUE!</v>
      </c>
      <c r="D114" s="15"/>
      <c r="E114" s="15"/>
      <c r="F114" s="15" t="e">
        <f t="shared" si="7"/>
        <v>#VALUE!</v>
      </c>
      <c r="G114" s="20">
        <f t="shared" ca="1" si="8"/>
        <v>44510</v>
      </c>
      <c r="H114" s="15"/>
      <c r="I114" s="15"/>
      <c r="J114" s="21"/>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5"/>
        <v>#VALUE!</v>
      </c>
      <c r="C115" s="15" t="e">
        <f t="shared" si="9"/>
        <v>#VALUE!</v>
      </c>
      <c r="D115" s="15"/>
      <c r="E115" s="15"/>
      <c r="F115" s="15" t="e">
        <f t="shared" si="7"/>
        <v>#VALUE!</v>
      </c>
      <c r="G115" s="20">
        <f t="shared" ca="1" si="8"/>
        <v>44510</v>
      </c>
      <c r="H115" s="15"/>
      <c r="I115" s="15"/>
      <c r="J115" s="21"/>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5"/>
        <v>#VALUE!</v>
      </c>
      <c r="C116" s="15" t="e">
        <f t="shared" si="9"/>
        <v>#VALUE!</v>
      </c>
      <c r="D116" s="15"/>
      <c r="E116" s="15"/>
      <c r="F116" s="15" t="e">
        <f t="shared" si="7"/>
        <v>#VALUE!</v>
      </c>
      <c r="G116" s="20">
        <f t="shared" ca="1" si="8"/>
        <v>44510</v>
      </c>
      <c r="H116" s="15"/>
      <c r="I116" s="15"/>
      <c r="J116" s="21"/>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5"/>
        <v>#VALUE!</v>
      </c>
      <c r="C117" s="15" t="e">
        <f t="shared" si="9"/>
        <v>#VALUE!</v>
      </c>
      <c r="D117" s="15"/>
      <c r="E117" s="15"/>
      <c r="F117" s="15" t="e">
        <f t="shared" si="7"/>
        <v>#VALUE!</v>
      </c>
      <c r="G117" s="20">
        <f t="shared" ca="1" si="8"/>
        <v>44510</v>
      </c>
      <c r="H117" s="15"/>
      <c r="I117" s="15"/>
      <c r="J117" s="21"/>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5"/>
        <v>#VALUE!</v>
      </c>
      <c r="C118" s="15" t="e">
        <f t="shared" si="9"/>
        <v>#VALUE!</v>
      </c>
      <c r="D118" s="15"/>
      <c r="E118" s="15"/>
      <c r="F118" s="15" t="e">
        <f t="shared" si="7"/>
        <v>#VALUE!</v>
      </c>
      <c r="G118" s="20">
        <f t="shared" ca="1" si="8"/>
        <v>44510</v>
      </c>
      <c r="H118" s="15"/>
      <c r="I118" s="15"/>
      <c r="J118" s="21"/>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5"/>
        <v>#VALUE!</v>
      </c>
      <c r="C119" s="15" t="e">
        <f t="shared" si="9"/>
        <v>#VALUE!</v>
      </c>
      <c r="D119" s="15"/>
      <c r="E119" s="15"/>
      <c r="F119" s="15" t="e">
        <f t="shared" si="7"/>
        <v>#VALUE!</v>
      </c>
      <c r="G119" s="20">
        <f t="shared" ca="1" si="8"/>
        <v>44510</v>
      </c>
      <c r="H119" s="15"/>
      <c r="I119" s="15"/>
      <c r="J119" s="21"/>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5"/>
        <v>#VALUE!</v>
      </c>
      <c r="C120" s="15" t="e">
        <f t="shared" si="9"/>
        <v>#VALUE!</v>
      </c>
      <c r="D120" s="15"/>
      <c r="E120" s="15"/>
      <c r="F120" s="15" t="e">
        <f t="shared" si="7"/>
        <v>#VALUE!</v>
      </c>
      <c r="G120" s="20">
        <f t="shared" ca="1" si="8"/>
        <v>44510</v>
      </c>
      <c r="H120" s="15"/>
      <c r="I120" s="15"/>
      <c r="J120" s="21"/>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5"/>
        <v>#VALUE!</v>
      </c>
      <c r="C121" s="15" t="e">
        <f t="shared" si="9"/>
        <v>#VALUE!</v>
      </c>
      <c r="D121" s="15"/>
      <c r="E121" s="15"/>
      <c r="F121" s="15" t="e">
        <f t="shared" si="7"/>
        <v>#VALUE!</v>
      </c>
      <c r="G121" s="20">
        <f t="shared" ca="1" si="8"/>
        <v>44510</v>
      </c>
      <c r="H121" s="15"/>
      <c r="I121" s="15"/>
      <c r="J121" s="21"/>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5"/>
        <v>#VALUE!</v>
      </c>
      <c r="C122" s="15" t="e">
        <f t="shared" si="9"/>
        <v>#VALUE!</v>
      </c>
      <c r="D122" s="15"/>
      <c r="E122" s="15"/>
      <c r="F122" s="15" t="e">
        <f t="shared" si="7"/>
        <v>#VALUE!</v>
      </c>
      <c r="G122" s="20">
        <f t="shared" ca="1" si="8"/>
        <v>44510</v>
      </c>
      <c r="H122" s="15"/>
      <c r="I122" s="15"/>
      <c r="J122" s="21"/>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5"/>
        <v>#VALUE!</v>
      </c>
      <c r="C123" s="15" t="e">
        <f t="shared" si="9"/>
        <v>#VALUE!</v>
      </c>
      <c r="D123" s="15"/>
      <c r="E123" s="15"/>
      <c r="F123" s="15" t="e">
        <f t="shared" si="7"/>
        <v>#VALUE!</v>
      </c>
      <c r="G123" s="20">
        <f t="shared" ca="1" si="8"/>
        <v>44510</v>
      </c>
      <c r="H123" s="15"/>
      <c r="I123" s="15"/>
      <c r="J123" s="21"/>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5"/>
        <v>#VALUE!</v>
      </c>
      <c r="C124" s="15" t="e">
        <f t="shared" si="9"/>
        <v>#VALUE!</v>
      </c>
      <c r="D124" s="15"/>
      <c r="E124" s="15"/>
      <c r="F124" s="15" t="e">
        <f t="shared" si="7"/>
        <v>#VALUE!</v>
      </c>
      <c r="G124" s="20">
        <f t="shared" ca="1" si="8"/>
        <v>44510</v>
      </c>
      <c r="H124" s="15"/>
      <c r="I124" s="15"/>
      <c r="J124" s="21"/>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5"/>
        <v>#VALUE!</v>
      </c>
      <c r="C125" s="15" t="e">
        <f t="shared" si="9"/>
        <v>#VALUE!</v>
      </c>
      <c r="D125" s="15"/>
      <c r="E125" s="15"/>
      <c r="F125" s="15" t="e">
        <f t="shared" si="7"/>
        <v>#VALUE!</v>
      </c>
      <c r="G125" s="20">
        <f t="shared" ca="1" si="8"/>
        <v>44510</v>
      </c>
      <c r="H125" s="15"/>
      <c r="I125" s="15"/>
      <c r="J125" s="21"/>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5"/>
        <v>#VALUE!</v>
      </c>
      <c r="C126" s="15" t="e">
        <f t="shared" si="9"/>
        <v>#VALUE!</v>
      </c>
      <c r="D126" s="15"/>
      <c r="E126" s="15"/>
      <c r="F126" s="15" t="e">
        <f t="shared" si="7"/>
        <v>#VALUE!</v>
      </c>
      <c r="G126" s="20">
        <f t="shared" ca="1" si="8"/>
        <v>44510</v>
      </c>
      <c r="H126" s="15"/>
      <c r="I126" s="15"/>
      <c r="J126" s="21"/>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5"/>
        <v>#VALUE!</v>
      </c>
      <c r="C127" s="15" t="e">
        <f t="shared" si="9"/>
        <v>#VALUE!</v>
      </c>
      <c r="D127" s="15"/>
      <c r="E127" s="15"/>
      <c r="F127" s="15" t="e">
        <f t="shared" si="7"/>
        <v>#VALUE!</v>
      </c>
      <c r="G127" s="20">
        <f t="shared" ca="1" si="8"/>
        <v>44510</v>
      </c>
      <c r="H127" s="15"/>
      <c r="I127" s="15"/>
      <c r="J127" s="21"/>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5"/>
        <v>#VALUE!</v>
      </c>
      <c r="C128" s="15" t="e">
        <f t="shared" si="9"/>
        <v>#VALUE!</v>
      </c>
      <c r="D128" s="15"/>
      <c r="E128" s="15"/>
      <c r="F128" s="15" t="e">
        <f t="shared" si="7"/>
        <v>#VALUE!</v>
      </c>
      <c r="G128" s="20">
        <f t="shared" ca="1" si="8"/>
        <v>44510</v>
      </c>
      <c r="H128" s="15"/>
      <c r="I128" s="15"/>
      <c r="J128" s="21"/>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5"/>
        <v>#VALUE!</v>
      </c>
      <c r="C129" s="15" t="e">
        <f t="shared" si="9"/>
        <v>#VALUE!</v>
      </c>
      <c r="D129" s="15"/>
      <c r="E129" s="15"/>
      <c r="F129" s="15" t="e">
        <f t="shared" si="7"/>
        <v>#VALUE!</v>
      </c>
      <c r="G129" s="20">
        <f t="shared" ca="1" si="8"/>
        <v>44510</v>
      </c>
      <c r="H129" s="15"/>
      <c r="I129" s="15"/>
      <c r="J129" s="21"/>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36" si="10" xml:space="preserve"> MID(A130,SEARCH(":",A130)+2,SEARCH(":",A130,SEARCH(":",A130)+1)-SEARCH(":",A130)-3)</f>
        <v>#VALUE!</v>
      </c>
      <c r="C130" s="15" t="e">
        <f t="shared" ref="C130:C136" si="11">"partner:"&amp;MID(A130,SEARCH(":",A130)+1,SEARCH(":",A130,SEARCH(":",A130)+1)-SEARCH(":",A130)-1)</f>
        <v>#VALUE!</v>
      </c>
      <c r="D130" s="15"/>
      <c r="E130" s="15"/>
      <c r="F130" s="15" t="e">
        <f t="shared" ref="F130:F136" si="12">DATEVALUE(SUBSTITUTE(LEFT(E130,SEARCH(" ",E130)-1),".","/"))</f>
        <v>#VALUE!</v>
      </c>
      <c r="G130" s="20">
        <f t="shared" ref="G130:G134" ca="1" si="13">IF(ISERROR(F130),TODAY(),F130)</f>
        <v>44510</v>
      </c>
      <c r="H130" s="15"/>
      <c r="I130" s="15"/>
      <c r="J130" s="21"/>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10"/>
        <v>#VALUE!</v>
      </c>
      <c r="C131" s="15" t="e">
        <f t="shared" si="11"/>
        <v>#VALUE!</v>
      </c>
      <c r="D131" s="15"/>
      <c r="E131" s="15"/>
      <c r="F131" s="15" t="e">
        <f t="shared" si="12"/>
        <v>#VALUE!</v>
      </c>
      <c r="G131" s="20">
        <f t="shared" ca="1" si="13"/>
        <v>44510</v>
      </c>
      <c r="H131" s="15"/>
      <c r="I131" s="15"/>
      <c r="J131" s="21"/>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10"/>
        <v>#VALUE!</v>
      </c>
      <c r="C132" s="15" t="e">
        <f t="shared" si="11"/>
        <v>#VALUE!</v>
      </c>
      <c r="D132" s="15"/>
      <c r="E132" s="15"/>
      <c r="F132" s="15" t="e">
        <f t="shared" si="12"/>
        <v>#VALUE!</v>
      </c>
      <c r="G132" s="20">
        <f t="shared" ca="1" si="13"/>
        <v>44510</v>
      </c>
      <c r="H132" s="15"/>
      <c r="I132" s="15"/>
      <c r="J132" s="21"/>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10"/>
        <v>#VALUE!</v>
      </c>
      <c r="C133" s="15" t="e">
        <f t="shared" si="11"/>
        <v>#VALUE!</v>
      </c>
      <c r="D133" s="15"/>
      <c r="E133" s="15"/>
      <c r="F133" s="15" t="e">
        <f t="shared" si="12"/>
        <v>#VALUE!</v>
      </c>
      <c r="G133" s="20">
        <f t="shared" ca="1" si="13"/>
        <v>44510</v>
      </c>
      <c r="H133" s="15"/>
      <c r="I133" s="15"/>
      <c r="J133" s="21"/>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10"/>
        <v>#VALUE!</v>
      </c>
      <c r="C134" s="15" t="e">
        <f t="shared" si="11"/>
        <v>#VALUE!</v>
      </c>
      <c r="D134" s="15"/>
      <c r="E134" s="15"/>
      <c r="F134" s="15" t="e">
        <f t="shared" si="12"/>
        <v>#VALUE!</v>
      </c>
      <c r="G134" s="20">
        <f t="shared" ca="1" si="13"/>
        <v>44510</v>
      </c>
      <c r="H134" s="15"/>
      <c r="I134" s="15"/>
      <c r="J134" s="21"/>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10"/>
        <v>#VALUE!</v>
      </c>
      <c r="C135" s="15" t="e">
        <f t="shared" si="11"/>
        <v>#VALUE!</v>
      </c>
      <c r="D135" s="15"/>
      <c r="E135" s="15"/>
      <c r="F135" s="15" t="e">
        <f t="shared" si="12"/>
        <v>#VALUE!</v>
      </c>
      <c r="G135" s="20"/>
      <c r="H135" s="15"/>
      <c r="I135" s="15"/>
      <c r="J135" s="21"/>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10"/>
        <v>#VALUE!</v>
      </c>
      <c r="C136" s="15" t="e">
        <f t="shared" si="11"/>
        <v>#VALUE!</v>
      </c>
      <c r="D136" s="15"/>
      <c r="E136" s="15"/>
      <c r="F136" s="15" t="e">
        <f t="shared" si="12"/>
        <v>#VALUE!</v>
      </c>
      <c r="G136" s="20"/>
      <c r="H136" s="15"/>
      <c r="I136" s="15"/>
      <c r="J136" s="21"/>
      <c r="K136" s="15"/>
      <c r="L136" s="15"/>
      <c r="M136" s="15"/>
      <c r="N136" s="15"/>
      <c r="O136" s="15"/>
      <c r="P136" s="15"/>
      <c r="Q136" s="15"/>
      <c r="R136" s="15"/>
      <c r="S136" s="15"/>
      <c r="T136" s="15"/>
      <c r="U136" s="15"/>
      <c r="V136" s="15"/>
      <c r="W136" s="15"/>
      <c r="X136" s="15"/>
      <c r="Y136" s="15"/>
      <c r="Z136" s="15"/>
      <c r="AA136" s="15"/>
      <c r="AB136" s="15"/>
    </row>
  </sheetData>
  <conditionalFormatting sqref="G1:G1048576">
    <cfRule type="expression" dxfId="13" priority="2">
      <formula>TODAY()-G1&gt;=7</formula>
    </cfRule>
    <cfRule type="expression" dxfId="12" priority="3">
      <formula>TODAY()-G1&gt;=5</formula>
    </cfRule>
    <cfRule type="expression" dxfId="11" priority="4">
      <formula>TODAY()-G1&gt;=3</formula>
    </cfRule>
  </conditionalFormatting>
  <conditionalFormatting sqref="D1:D1048576">
    <cfRule type="expression" dxfId="10" priority="1">
      <formula>ISBLANK(D1)</formula>
    </cfRule>
  </conditionalFormatting>
  <hyperlinks>
    <hyperlink ref="H27" r:id="rId1" display="mailto:rebeccab@purecountry.com"/>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36"/>
  <sheetViews>
    <sheetView zoomScaleNormal="100" workbookViewId="0">
      <selection activeCell="B8" sqref="B8"/>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hidden="1"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49</v>
      </c>
      <c r="C1" s="1" t="s">
        <v>124</v>
      </c>
      <c r="D1" s="15" t="s">
        <v>45</v>
      </c>
      <c r="E1" s="1" t="s">
        <v>12</v>
      </c>
      <c r="F1" s="1" t="s">
        <v>13</v>
      </c>
      <c r="G1" s="6" t="s">
        <v>14</v>
      </c>
      <c r="H1" s="1" t="s">
        <v>15</v>
      </c>
      <c r="I1" s="1" t="s">
        <v>16</v>
      </c>
      <c r="J1" s="10" t="s">
        <v>42</v>
      </c>
      <c r="K1" s="1" t="s">
        <v>38</v>
      </c>
      <c r="L1" s="1" t="s">
        <v>39</v>
      </c>
      <c r="M1" s="1" t="s">
        <v>40</v>
      </c>
      <c r="N1" s="1" t="s">
        <v>41</v>
      </c>
      <c r="O1" s="1" t="s">
        <v>0</v>
      </c>
      <c r="P1" s="8" t="s">
        <v>1</v>
      </c>
      <c r="Q1" s="8" t="s">
        <v>2</v>
      </c>
      <c r="R1" s="8" t="s">
        <v>3</v>
      </c>
      <c r="S1" s="9" t="s">
        <v>4</v>
      </c>
      <c r="T1" s="9" t="s">
        <v>5</v>
      </c>
      <c r="U1" s="9" t="s">
        <v>6</v>
      </c>
      <c r="V1" s="9" t="s">
        <v>7</v>
      </c>
      <c r="W1" s="9" t="s">
        <v>8</v>
      </c>
      <c r="X1" s="9" t="s">
        <v>9</v>
      </c>
      <c r="Y1" s="9" t="s">
        <v>10</v>
      </c>
      <c r="Z1" s="9" t="s">
        <v>17</v>
      </c>
      <c r="AA1" s="9" t="s">
        <v>18</v>
      </c>
      <c r="AB1" s="9" t="s">
        <v>19</v>
      </c>
    </row>
    <row r="2" spans="1:28" ht="45.75" thickTop="1" x14ac:dyDescent="0.25">
      <c r="A2" s="27" t="s">
        <v>50</v>
      </c>
      <c r="B2" s="16" t="str">
        <f t="shared" ref="B2:B65" si="0" xml:space="preserve"> MID(A2,SEARCH(":",A2)+2,SEARCH(":",A2,SEARCH(":",A2)+1)-SEARCH(":",A2)-3)</f>
        <v>Bioplus Specialty Pharmacy</v>
      </c>
      <c r="C2" s="16" t="str">
        <f t="shared" ref="C2:C65" si="1">"partner:"&amp;MID(A2,SEARCH(":",A2)+1,SEARCH(":",A2,SEARCH(":",A2)+1)-SEARCH(":",A2)-1)</f>
        <v xml:space="preserve">partner: Bioplus Specialty Pharmacy </v>
      </c>
      <c r="D2" s="25" t="s">
        <v>102</v>
      </c>
      <c r="E2" s="15" t="str">
        <f>IF(Table25[[#This Row],[Notes]]="","",LEFT(Table25[[#This Row],[Notes]],FIND(CHAR(10),Table25[[#This Row],[Notes]]&amp;CHAR(10))-1))</f>
        <v>11.3.21 Reach out to customer side for the information for Bioplus</v>
      </c>
      <c r="F2" s="16">
        <f t="shared" ref="F2:F65" si="2">DATEVALUE(SUBSTITUTE(LEFT(E2,SEARCH(" ",E2)-1),".","/"))</f>
        <v>44503</v>
      </c>
      <c r="G2" s="20">
        <f t="shared" ref="G2:G65" ca="1" si="3">IF(ISERROR(F2),TODAY(),F2)</f>
        <v>44503</v>
      </c>
      <c r="H2" s="16"/>
      <c r="I2" s="16"/>
      <c r="J2" s="22"/>
      <c r="K2" s="16"/>
      <c r="L2" s="16"/>
      <c r="M2" s="16"/>
      <c r="N2" s="16"/>
      <c r="O2" s="16"/>
      <c r="P2" s="16"/>
      <c r="Q2" s="16"/>
      <c r="R2" s="16"/>
      <c r="S2" s="16"/>
      <c r="T2" s="16"/>
      <c r="U2" s="16"/>
      <c r="V2" s="16"/>
      <c r="W2" s="16"/>
      <c r="X2" s="16"/>
      <c r="Y2" s="16"/>
      <c r="Z2" s="16"/>
      <c r="AA2" s="16"/>
      <c r="AB2" s="16"/>
    </row>
    <row r="3" spans="1:28" ht="90" x14ac:dyDescent="0.25">
      <c r="A3" s="27" t="s">
        <v>56</v>
      </c>
      <c r="B3" s="15" t="str">
        <f t="shared" si="0"/>
        <v>Raynor Gaming</v>
      </c>
      <c r="C3" s="15" t="str">
        <f t="shared" si="1"/>
        <v xml:space="preserve">partner: Raynor Gaming </v>
      </c>
      <c r="D3" s="1" t="s">
        <v>123</v>
      </c>
      <c r="E3" s="15" t="str">
        <f>IF(Table25[[#This Row],[Notes]]="","",LEFT(Table25[[#This Row],[Notes]],FIND(CHAR(10),Table25[[#This Row],[Notes]]&amp;CHAR(10))-1))</f>
        <v>11.3.21 Reach out to new contact:2</v>
      </c>
      <c r="F3" s="15">
        <f t="shared" si="2"/>
        <v>44503</v>
      </c>
      <c r="G3" s="20">
        <f t="shared" ca="1" si="3"/>
        <v>44503</v>
      </c>
      <c r="H3" s="15" t="s">
        <v>57</v>
      </c>
      <c r="I3" s="15"/>
      <c r="J3" s="21"/>
      <c r="K3" s="15"/>
      <c r="L3" s="15"/>
      <c r="M3" s="15"/>
      <c r="N3" s="15"/>
      <c r="O3" s="15"/>
      <c r="P3" s="15"/>
      <c r="Q3" s="15"/>
      <c r="R3" s="15"/>
      <c r="S3" s="15"/>
      <c r="T3" s="15"/>
      <c r="U3" s="15"/>
      <c r="V3" s="15"/>
      <c r="W3" s="15"/>
      <c r="X3" s="15"/>
      <c r="Y3" s="15"/>
      <c r="Z3" s="15"/>
      <c r="AA3" s="15"/>
      <c r="AB3" s="15"/>
    </row>
    <row r="4" spans="1:28" ht="75" x14ac:dyDescent="0.25">
      <c r="A4" s="35" t="s">
        <v>58</v>
      </c>
      <c r="B4" s="16" t="str">
        <f t="shared" si="0"/>
        <v>C2wireless SPS Vendor</v>
      </c>
      <c r="C4" s="15" t="str">
        <f t="shared" si="1"/>
        <v xml:space="preserve">partner: C2wireless SPS Vendor </v>
      </c>
      <c r="D4" s="1" t="s">
        <v>103</v>
      </c>
      <c r="E4" s="15" t="str">
        <f>IF(Table25[[#This Row],[Notes]]="","",LEFT(Table25[[#This Row],[Notes]],FIND(CHAR(10),Table25[[#This Row],[Notes]]&amp;CHAR(10))-1))</f>
        <v>11.4.21 Still need directions for these two transactions</v>
      </c>
      <c r="F4" s="15">
        <f t="shared" si="2"/>
        <v>44504</v>
      </c>
      <c r="G4" s="20">
        <f t="shared" ca="1" si="3"/>
        <v>44504</v>
      </c>
      <c r="H4" s="15" t="s">
        <v>59</v>
      </c>
      <c r="I4" s="15"/>
      <c r="J4" s="21"/>
      <c r="K4" s="15"/>
      <c r="L4" s="15"/>
      <c r="M4" s="15"/>
      <c r="N4" s="15"/>
      <c r="O4" s="15"/>
      <c r="P4" s="15"/>
      <c r="Q4" s="15"/>
      <c r="R4" s="15"/>
      <c r="S4" s="15"/>
      <c r="T4" s="15"/>
      <c r="U4" s="15"/>
      <c r="V4" s="15"/>
      <c r="W4" s="15"/>
      <c r="X4" s="15"/>
      <c r="Y4" s="15"/>
      <c r="Z4" s="15"/>
      <c r="AA4" s="15"/>
      <c r="AB4" s="15"/>
    </row>
    <row r="5" spans="1:28" s="1" customFormat="1" ht="30" x14ac:dyDescent="0.25">
      <c r="A5" s="30" t="s">
        <v>88</v>
      </c>
      <c r="B5" s="15" t="str">
        <f t="shared" si="0"/>
        <v>Cameron Ashley Building Products, Inc.</v>
      </c>
      <c r="C5" s="15" t="str">
        <f t="shared" si="1"/>
        <v xml:space="preserve">partner: Cameron Ashley Building Products, Inc. </v>
      </c>
      <c r="D5" s="1" t="s">
        <v>110</v>
      </c>
      <c r="E5" s="15" t="str">
        <f>IF(Table25[[#This Row],[Notes]]="","",LEFT(Table25[[#This Row],[Notes]],FIND(CHAR(10),Table25[[#This Row],[Notes]]&amp;CHAR(10))-1))</f>
        <v>11.4.21 Reach out to new contact</v>
      </c>
      <c r="F5" s="15">
        <f t="shared" si="2"/>
        <v>44504</v>
      </c>
      <c r="G5" s="20">
        <f t="shared" ca="1" si="3"/>
        <v>44504</v>
      </c>
      <c r="H5" t="s">
        <v>53</v>
      </c>
      <c r="I5" s="15"/>
      <c r="J5" s="21"/>
      <c r="K5" s="15"/>
      <c r="L5" s="15"/>
      <c r="M5" s="15"/>
      <c r="N5" s="15"/>
      <c r="O5" s="15"/>
      <c r="P5" s="15"/>
      <c r="Q5" s="15"/>
      <c r="R5" s="15"/>
      <c r="S5" s="15"/>
      <c r="T5" s="15"/>
      <c r="U5" s="15"/>
      <c r="V5" s="15"/>
      <c r="W5" s="15"/>
      <c r="X5" s="15"/>
      <c r="Y5" s="15"/>
      <c r="Z5" s="15"/>
      <c r="AA5" s="15"/>
      <c r="AB5" s="15"/>
    </row>
    <row r="6" spans="1:28" x14ac:dyDescent="0.25">
      <c r="A6" s="34" t="s">
        <v>86</v>
      </c>
      <c r="B6" s="15" t="str">
        <f t="shared" si="0"/>
        <v>CJ Pony Parts - File Partner</v>
      </c>
      <c r="C6" s="15" t="str">
        <f t="shared" si="1"/>
        <v xml:space="preserve">partner: CJ Pony Parts - File Partner </v>
      </c>
      <c r="D6" s="15" t="s">
        <v>111</v>
      </c>
      <c r="E6" s="15" t="str">
        <f>IF(Table25[[#This Row],[Notes]]="","",LEFT(Table25[[#This Row],[Notes]],FIND(CHAR(10),Table25[[#This Row],[Notes]]&amp;CHAR(10))-1))</f>
        <v>11.4.21 Reach out to trading partner</v>
      </c>
      <c r="F6" s="15">
        <f t="shared" si="2"/>
        <v>44504</v>
      </c>
      <c r="G6" s="20">
        <f t="shared" ca="1" si="3"/>
        <v>44504</v>
      </c>
      <c r="H6" t="s">
        <v>96</v>
      </c>
      <c r="I6" s="15"/>
      <c r="J6" s="21"/>
      <c r="K6" s="15"/>
      <c r="L6" s="15"/>
      <c r="M6" s="15"/>
      <c r="N6" s="15"/>
      <c r="O6" s="15"/>
      <c r="P6" s="15"/>
      <c r="Q6" s="15"/>
      <c r="R6" s="15"/>
      <c r="S6" s="15"/>
      <c r="T6" s="15"/>
      <c r="U6" s="15"/>
      <c r="V6" s="15"/>
      <c r="W6" s="15"/>
      <c r="X6" s="15"/>
      <c r="Y6" s="15"/>
      <c r="Z6" s="15"/>
      <c r="AA6" s="15"/>
      <c r="AB6" s="15"/>
    </row>
    <row r="7" spans="1:28" s="13" customFormat="1" ht="30.75" thickBot="1" x14ac:dyDescent="0.3">
      <c r="A7" s="34" t="s">
        <v>79</v>
      </c>
      <c r="B7" s="15" t="str">
        <f t="shared" si="0"/>
        <v>Coborn's Central Support Pharmacy</v>
      </c>
      <c r="C7" s="15" t="str">
        <f t="shared" si="1"/>
        <v xml:space="preserve">partner: Coborn's Central Support Pharmacy </v>
      </c>
      <c r="D7" s="1" t="s">
        <v>112</v>
      </c>
      <c r="E7" s="15" t="str">
        <f>IF(Table25[[#This Row],[Notes]]="","",LEFT(Table25[[#This Row],[Notes]],FIND(CHAR(10),Table25[[#This Row],[Notes]]&amp;CHAR(10))-1))</f>
        <v>11.4.21 Reach out to Charlie for a new contact</v>
      </c>
      <c r="F7" s="15">
        <f t="shared" si="2"/>
        <v>44504</v>
      </c>
      <c r="G7" s="20">
        <f t="shared" ca="1" si="3"/>
        <v>44504</v>
      </c>
      <c r="H7" t="s">
        <v>53</v>
      </c>
      <c r="I7" s="15"/>
      <c r="J7" s="21"/>
      <c r="K7" s="15"/>
      <c r="L7" s="15"/>
      <c r="M7" s="15"/>
      <c r="N7" s="15"/>
      <c r="O7" s="15"/>
      <c r="P7" s="15"/>
      <c r="Q7" s="15"/>
      <c r="R7" s="15"/>
      <c r="S7" s="15"/>
      <c r="T7" s="15"/>
      <c r="U7" s="15"/>
      <c r="V7" s="15"/>
      <c r="W7" s="15"/>
      <c r="X7" s="15"/>
      <c r="Y7" s="15"/>
      <c r="Z7" s="15"/>
      <c r="AA7" s="15"/>
      <c r="AB7" s="15"/>
    </row>
    <row r="8" spans="1:28" s="5" customFormat="1" ht="150" x14ac:dyDescent="0.25">
      <c r="A8" s="28" t="s">
        <v>51</v>
      </c>
      <c r="B8" s="16" t="str">
        <f t="shared" si="0"/>
        <v>Cosma - Bowling Green Metalforming</v>
      </c>
      <c r="C8" s="16" t="str">
        <f t="shared" si="1"/>
        <v xml:space="preserve">partner: Cosma - Bowling Green Metalforming </v>
      </c>
      <c r="D8" s="25" t="s">
        <v>104</v>
      </c>
      <c r="E8" s="15" t="str">
        <f>IF(Table25[[#This Row],[Notes]]="","",LEFT(Table25[[#This Row],[Notes]],FIND(CHAR(10),Table25[[#This Row],[Notes]]&amp;CHAR(10))-1))</f>
        <v>11.4.21 Waiting for new contact from Brandon</v>
      </c>
      <c r="F8" s="16">
        <f t="shared" si="2"/>
        <v>44504</v>
      </c>
      <c r="G8" s="20">
        <f t="shared" ca="1" si="3"/>
        <v>44504</v>
      </c>
      <c r="H8" s="16" t="s">
        <v>52</v>
      </c>
      <c r="I8" s="16"/>
      <c r="J8" s="22"/>
      <c r="K8" s="16"/>
      <c r="L8" s="16"/>
      <c r="M8" s="16"/>
      <c r="N8" s="16"/>
      <c r="O8" s="16"/>
      <c r="P8" s="16"/>
      <c r="Q8" s="16"/>
      <c r="R8" s="16"/>
      <c r="S8" s="16"/>
      <c r="T8" s="16"/>
      <c r="U8" s="16"/>
      <c r="V8" s="16"/>
      <c r="W8" s="16"/>
      <c r="X8" s="16"/>
      <c r="Y8" s="16"/>
      <c r="Z8" s="16"/>
      <c r="AA8" s="16"/>
      <c r="AB8" s="16"/>
    </row>
    <row r="9" spans="1:28" x14ac:dyDescent="0.25">
      <c r="A9" s="32" t="s">
        <v>89</v>
      </c>
      <c r="B9" s="15" t="str">
        <f t="shared" si="0"/>
        <v>Full Compass</v>
      </c>
      <c r="C9" s="15" t="str">
        <f t="shared" si="1"/>
        <v xml:space="preserve">partner: Full Compass </v>
      </c>
      <c r="D9" s="15" t="s">
        <v>111</v>
      </c>
      <c r="E9" s="15" t="str">
        <f>IF(Table25[[#This Row],[Notes]]="","",LEFT(Table25[[#This Row],[Notes]],FIND(CHAR(10),Table25[[#This Row],[Notes]]&amp;CHAR(10))-1))</f>
        <v>11.4.21 Reach out to trading partner</v>
      </c>
      <c r="F9" s="15">
        <f t="shared" si="2"/>
        <v>44504</v>
      </c>
      <c r="G9" s="20">
        <f t="shared" ca="1" si="3"/>
        <v>44504</v>
      </c>
      <c r="H9" t="s">
        <v>98</v>
      </c>
      <c r="I9" s="15"/>
      <c r="J9" s="21"/>
      <c r="K9" s="15"/>
      <c r="L9" s="15"/>
      <c r="M9" s="15"/>
      <c r="N9" s="15"/>
      <c r="O9" s="15"/>
      <c r="P9" s="15"/>
      <c r="Q9" s="15"/>
      <c r="R9" s="15"/>
      <c r="S9" s="15"/>
      <c r="T9" s="15"/>
      <c r="U9" s="15"/>
      <c r="V9" s="15"/>
      <c r="W9" s="15"/>
      <c r="X9" s="15"/>
      <c r="Y9" s="15"/>
      <c r="Z9" s="15"/>
      <c r="AA9" s="15"/>
      <c r="AB9" s="15"/>
    </row>
    <row r="10" spans="1:28" s="18" customFormat="1" ht="60" x14ac:dyDescent="0.25">
      <c r="A10" s="27" t="s">
        <v>60</v>
      </c>
      <c r="B10" s="16" t="str">
        <f t="shared" si="0"/>
        <v>Herregan Distributors Inc.</v>
      </c>
      <c r="C10" s="15" t="str">
        <f t="shared" si="1"/>
        <v xml:space="preserve">partner: Herregan Distributors Inc. </v>
      </c>
      <c r="D10" s="1" t="s">
        <v>105</v>
      </c>
      <c r="E10" s="15" t="str">
        <f>IF(Table25[[#This Row],[Notes]]="","",LEFT(Table25[[#This Row],[Notes]],FIND(CHAR(10),Table25[[#This Row],[Notes]]&amp;CHAR(10))-1))</f>
        <v xml:space="preserve">11.4.21 Waiting for the updates for connection methods </v>
      </c>
      <c r="F10" s="15">
        <f t="shared" si="2"/>
        <v>44504</v>
      </c>
      <c r="G10" s="20">
        <f t="shared" ca="1" si="3"/>
        <v>44504</v>
      </c>
      <c r="H10" s="15" t="s">
        <v>69</v>
      </c>
      <c r="I10" s="15"/>
      <c r="J10" s="21"/>
      <c r="K10" s="15"/>
      <c r="L10" s="15"/>
      <c r="M10" s="15"/>
      <c r="N10" s="15"/>
      <c r="O10" s="15"/>
      <c r="P10" s="15"/>
      <c r="Q10" s="15"/>
      <c r="R10" s="15"/>
      <c r="S10" s="15"/>
      <c r="T10" s="15"/>
      <c r="U10" s="15"/>
      <c r="V10" s="15"/>
      <c r="W10" s="15"/>
      <c r="X10" s="15"/>
      <c r="Y10" s="15"/>
      <c r="Z10" s="15"/>
      <c r="AA10" s="15"/>
      <c r="AB10" s="15"/>
    </row>
    <row r="11" spans="1:28" ht="30" x14ac:dyDescent="0.25">
      <c r="A11" s="34" t="s">
        <v>77</v>
      </c>
      <c r="B11" s="15" t="str">
        <f t="shared" si="0"/>
        <v>Home Depot Pro</v>
      </c>
      <c r="C11" s="15" t="str">
        <f t="shared" si="1"/>
        <v xml:space="preserve">partner: Home Depot Pro </v>
      </c>
      <c r="D11" s="1" t="s">
        <v>106</v>
      </c>
      <c r="E11" s="15" t="str">
        <f>IF(Table25[[#This Row],[Notes]]="","",LEFT(Table25[[#This Row],[Notes]],FIND(CHAR(10),Table25[[#This Row],[Notes]]&amp;CHAR(10))-1))</f>
        <v>11.4.21 Reach out to new contact:1</v>
      </c>
      <c r="F11" s="15">
        <f t="shared" si="2"/>
        <v>44504</v>
      </c>
      <c r="G11" s="20">
        <f t="shared" ca="1" si="3"/>
        <v>44504</v>
      </c>
      <c r="H11" s="15"/>
      <c r="I11" s="15"/>
      <c r="J11" s="21"/>
      <c r="K11" s="15"/>
      <c r="L11" s="15"/>
      <c r="M11" s="15"/>
      <c r="N11" s="15"/>
      <c r="O11" s="15"/>
      <c r="P11" s="15"/>
      <c r="Q11" s="15"/>
      <c r="R11" s="15"/>
      <c r="S11" s="15"/>
      <c r="T11" s="15"/>
      <c r="U11" s="15"/>
      <c r="V11" s="15"/>
      <c r="W11" s="15"/>
      <c r="X11" s="15"/>
      <c r="Y11" s="15"/>
      <c r="Z11" s="15"/>
      <c r="AA11" s="15"/>
      <c r="AB11" s="15"/>
    </row>
    <row r="12" spans="1:28" s="1" customFormat="1" x14ac:dyDescent="0.25">
      <c r="A12" s="34" t="s">
        <v>81</v>
      </c>
      <c r="B12" s="15" t="str">
        <f t="shared" si="0"/>
        <v>Magna Closures</v>
      </c>
      <c r="C12" s="15" t="str">
        <f t="shared" si="1"/>
        <v xml:space="preserve">partner: Magna Closures </v>
      </c>
      <c r="D12" s="15" t="s">
        <v>111</v>
      </c>
      <c r="E12" s="15" t="str">
        <f>IF(Table25[[#This Row],[Notes]]="","",LEFT(Table25[[#This Row],[Notes]],FIND(CHAR(10),Table25[[#This Row],[Notes]]&amp;CHAR(10))-1))</f>
        <v>11.4.21 Reach out to trading partner</v>
      </c>
      <c r="F12" s="15">
        <f t="shared" si="2"/>
        <v>44504</v>
      </c>
      <c r="G12" s="20">
        <f t="shared" ca="1" si="3"/>
        <v>44504</v>
      </c>
      <c r="H12" t="s">
        <v>94</v>
      </c>
      <c r="I12" s="15"/>
      <c r="J12" s="21"/>
      <c r="K12" s="15"/>
      <c r="L12" s="15"/>
      <c r="M12" s="15"/>
      <c r="N12" s="15"/>
      <c r="O12" s="15"/>
      <c r="P12" s="15"/>
      <c r="Q12" s="15"/>
      <c r="R12" s="15"/>
      <c r="S12" s="15"/>
      <c r="T12" s="15"/>
      <c r="U12" s="15"/>
      <c r="V12" s="15"/>
      <c r="W12" s="15"/>
      <c r="X12" s="15"/>
      <c r="Y12" s="15"/>
      <c r="Z12" s="15"/>
      <c r="AA12" s="15"/>
      <c r="AB12" s="15"/>
    </row>
    <row r="13" spans="1:28" x14ac:dyDescent="0.25">
      <c r="A13" s="34" t="s">
        <v>91</v>
      </c>
      <c r="B13" s="15" t="str">
        <f t="shared" si="0"/>
        <v>Peg Perego</v>
      </c>
      <c r="C13" s="15" t="str">
        <f t="shared" si="1"/>
        <v xml:space="preserve">partner: Peg Perego </v>
      </c>
      <c r="D13" s="15" t="s">
        <v>111</v>
      </c>
      <c r="E13" s="15" t="str">
        <f>IF(Table25[[#This Row],[Notes]]="","",LEFT(Table25[[#This Row],[Notes]],FIND(CHAR(10),Table25[[#This Row],[Notes]]&amp;CHAR(10))-1))</f>
        <v>11.4.21 Reach out to trading partner</v>
      </c>
      <c r="F13" s="15">
        <f t="shared" si="2"/>
        <v>44504</v>
      </c>
      <c r="G13" s="20">
        <f t="shared" ca="1" si="3"/>
        <v>44504</v>
      </c>
      <c r="H13" t="s">
        <v>100</v>
      </c>
      <c r="I13" s="15"/>
      <c r="J13" s="21"/>
      <c r="K13" s="15"/>
      <c r="L13" s="15"/>
      <c r="M13" s="15"/>
      <c r="N13" s="15"/>
      <c r="O13" s="15"/>
      <c r="P13" s="15"/>
      <c r="Q13" s="15"/>
      <c r="R13" s="15"/>
      <c r="S13" s="15"/>
      <c r="T13" s="15"/>
      <c r="U13" s="15"/>
      <c r="V13" s="15"/>
      <c r="W13" s="15"/>
      <c r="X13" s="15"/>
      <c r="Y13" s="15"/>
      <c r="Z13" s="15"/>
      <c r="AA13" s="15"/>
      <c r="AB13" s="15"/>
    </row>
    <row r="14" spans="1:28" x14ac:dyDescent="0.25">
      <c r="A14" s="34" t="s">
        <v>87</v>
      </c>
      <c r="B14" s="15" t="str">
        <f t="shared" si="0"/>
        <v>Quadratec Vendor</v>
      </c>
      <c r="C14" s="15" t="str">
        <f t="shared" si="1"/>
        <v xml:space="preserve">partner: Quadratec Vendor </v>
      </c>
      <c r="D14" s="15" t="s">
        <v>111</v>
      </c>
      <c r="E14" s="15" t="str">
        <f>IF(Table25[[#This Row],[Notes]]="","",LEFT(Table25[[#This Row],[Notes]],FIND(CHAR(10),Table25[[#This Row],[Notes]]&amp;CHAR(10))-1))</f>
        <v>11.4.21 Reach out to trading partner</v>
      </c>
      <c r="F14" s="15">
        <f t="shared" si="2"/>
        <v>44504</v>
      </c>
      <c r="G14" s="20">
        <f t="shared" ca="1" si="3"/>
        <v>44504</v>
      </c>
      <c r="H14" t="s">
        <v>97</v>
      </c>
      <c r="I14" s="15"/>
      <c r="J14" s="21"/>
      <c r="K14" s="15"/>
      <c r="L14" s="15"/>
      <c r="M14" s="15"/>
      <c r="N14" s="15"/>
      <c r="O14" s="15"/>
      <c r="P14" s="15"/>
      <c r="Q14" s="15"/>
      <c r="R14" s="15"/>
      <c r="S14" s="15"/>
      <c r="T14" s="15"/>
      <c r="U14" s="15"/>
      <c r="V14" s="15"/>
      <c r="W14" s="15"/>
      <c r="X14" s="15"/>
      <c r="Y14" s="15"/>
      <c r="Z14" s="15"/>
      <c r="AA14" s="15"/>
      <c r="AB14" s="15"/>
    </row>
    <row r="15" spans="1:28" x14ac:dyDescent="0.25">
      <c r="A15" s="33" t="s">
        <v>85</v>
      </c>
      <c r="B15" s="15" t="str">
        <f t="shared" si="0"/>
        <v>Thoroughbred Diesel</v>
      </c>
      <c r="C15" s="15" t="str">
        <f t="shared" si="1"/>
        <v xml:space="preserve">partner: Thoroughbred Diesel </v>
      </c>
      <c r="D15" s="15" t="s">
        <v>111</v>
      </c>
      <c r="E15" s="15" t="str">
        <f>IF(Table25[[#This Row],[Notes]]="","",LEFT(Table25[[#This Row],[Notes]],FIND(CHAR(10),Table25[[#This Row],[Notes]]&amp;CHAR(10))-1))</f>
        <v>11.4.21 Reach out to trading partner</v>
      </c>
      <c r="F15" s="15">
        <f t="shared" si="2"/>
        <v>44504</v>
      </c>
      <c r="G15" s="20">
        <f t="shared" ca="1" si="3"/>
        <v>44504</v>
      </c>
      <c r="H15" t="s">
        <v>95</v>
      </c>
      <c r="I15" s="15"/>
      <c r="J15" s="21"/>
      <c r="K15" s="15"/>
      <c r="L15" s="15"/>
      <c r="M15" s="15"/>
      <c r="N15" s="15"/>
      <c r="O15" s="15"/>
      <c r="P15" s="15"/>
      <c r="Q15" s="15"/>
      <c r="R15" s="15"/>
      <c r="S15" s="15"/>
      <c r="T15" s="15"/>
      <c r="U15" s="15"/>
      <c r="V15" s="15"/>
      <c r="W15" s="15"/>
      <c r="X15" s="15"/>
      <c r="Y15" s="15"/>
      <c r="Z15" s="15"/>
      <c r="AA15" s="15"/>
      <c r="AB15" s="15"/>
    </row>
    <row r="16" spans="1:28" s="19" customFormat="1" ht="45" x14ac:dyDescent="0.25">
      <c r="A16" s="27" t="s">
        <v>62</v>
      </c>
      <c r="B16" s="16" t="str">
        <f t="shared" si="0"/>
        <v>Tower Automotive - Bellevue</v>
      </c>
      <c r="C16" s="15" t="str">
        <f t="shared" si="1"/>
        <v xml:space="preserve">partner: Tower Automotive - Bellevue </v>
      </c>
      <c r="D16" s="1" t="s">
        <v>107</v>
      </c>
      <c r="E16" s="15" t="str">
        <f>IF(Table25[[#This Row],[Notes]]="","",LEFT(Table25[[#This Row],[Notes]],FIND(CHAR(10),Table25[[#This Row],[Notes]]&amp;CHAR(10))-1))</f>
        <v>11.4.21 Reach out to trading partner: 3</v>
      </c>
      <c r="F16" s="15">
        <f t="shared" si="2"/>
        <v>44504</v>
      </c>
      <c r="G16" s="20">
        <f t="shared" ca="1" si="3"/>
        <v>44504</v>
      </c>
      <c r="H16" s="15" t="s">
        <v>72</v>
      </c>
      <c r="I16" s="15"/>
      <c r="J16" s="21"/>
      <c r="K16" s="15"/>
      <c r="L16" s="15"/>
      <c r="M16" s="15"/>
      <c r="N16" s="15"/>
      <c r="O16" s="15"/>
      <c r="P16" s="15"/>
      <c r="Q16" s="15"/>
      <c r="R16" s="15"/>
      <c r="S16" s="15"/>
      <c r="T16" s="15"/>
      <c r="U16" s="15"/>
      <c r="V16" s="15"/>
      <c r="W16" s="15"/>
      <c r="X16" s="15"/>
      <c r="Y16" s="15"/>
      <c r="Z16" s="15"/>
      <c r="AA16" s="15"/>
      <c r="AB16" s="15"/>
    </row>
    <row r="17" spans="1:28" ht="150.75" thickBot="1" x14ac:dyDescent="0.3">
      <c r="A17" s="27" t="s">
        <v>48</v>
      </c>
      <c r="B17" s="16" t="str">
        <f t="shared" si="0"/>
        <v>Trenton Cold Storage</v>
      </c>
      <c r="C17" s="16" t="str">
        <f t="shared" si="1"/>
        <v xml:space="preserve">partner: Trenton Cold Storage </v>
      </c>
      <c r="D17" s="25" t="s">
        <v>109</v>
      </c>
      <c r="E17" s="15" t="str">
        <f>IF(Table25[[#This Row],[Notes]]="","",LEFT(Table25[[#This Row],[Notes]],FIND(CHAR(10),Table25[[#This Row],[Notes]]&amp;CHAR(10))-1))</f>
        <v>11.4.21 Reach out to Lori for a new contact</v>
      </c>
      <c r="F17" s="16">
        <f t="shared" si="2"/>
        <v>44504</v>
      </c>
      <c r="G17" s="20">
        <f t="shared" ca="1" si="3"/>
        <v>44504</v>
      </c>
      <c r="H17" s="16"/>
      <c r="I17" s="16"/>
      <c r="J17" s="22"/>
      <c r="K17" s="16"/>
      <c r="L17" s="16"/>
      <c r="M17" s="16"/>
      <c r="N17" s="16"/>
      <c r="O17" s="16"/>
      <c r="P17" s="16"/>
      <c r="Q17" s="16"/>
      <c r="R17" s="16"/>
      <c r="S17" s="16"/>
      <c r="T17" s="16"/>
      <c r="U17" s="16"/>
      <c r="V17" s="16"/>
      <c r="W17" s="16"/>
      <c r="X17" s="16"/>
      <c r="Y17" s="16"/>
      <c r="Z17" s="16"/>
      <c r="AA17" s="16"/>
      <c r="AB17" s="16"/>
    </row>
    <row r="18" spans="1:28" s="4" customFormat="1" x14ac:dyDescent="0.25">
      <c r="A18" s="31" t="s">
        <v>90</v>
      </c>
      <c r="B18" s="15" t="str">
        <f t="shared" si="0"/>
        <v>Uppa Baby</v>
      </c>
      <c r="C18" s="15" t="str">
        <f t="shared" si="1"/>
        <v xml:space="preserve">partner: Uppa Baby </v>
      </c>
      <c r="D18" s="15" t="s">
        <v>111</v>
      </c>
      <c r="E18" s="15" t="str">
        <f>IF(Table25[[#This Row],[Notes]]="","",LEFT(Table25[[#This Row],[Notes]],FIND(CHAR(10),Table25[[#This Row],[Notes]]&amp;CHAR(10))-1))</f>
        <v>11.4.21 Reach out to trading partner</v>
      </c>
      <c r="F18" s="15">
        <f t="shared" si="2"/>
        <v>44504</v>
      </c>
      <c r="G18" s="20">
        <f t="shared" ca="1" si="3"/>
        <v>44504</v>
      </c>
      <c r="H18" t="s">
        <v>99</v>
      </c>
      <c r="I18" s="15"/>
      <c r="J18" s="21"/>
      <c r="K18" s="15"/>
      <c r="L18" s="15"/>
      <c r="M18" s="15"/>
      <c r="N18" s="15"/>
      <c r="O18" s="15"/>
      <c r="P18" s="15"/>
      <c r="Q18" s="15"/>
      <c r="R18" s="15"/>
      <c r="S18" s="15"/>
      <c r="T18" s="15"/>
      <c r="U18" s="15"/>
      <c r="V18" s="15"/>
      <c r="W18" s="15"/>
      <c r="X18" s="15"/>
      <c r="Y18" s="15"/>
      <c r="Z18" s="15"/>
      <c r="AA18" s="15"/>
      <c r="AB18" s="15"/>
    </row>
    <row r="19" spans="1:28" s="4" customFormat="1" ht="45" x14ac:dyDescent="0.25">
      <c r="A19" s="35" t="s">
        <v>66</v>
      </c>
      <c r="B19" s="16" t="str">
        <f t="shared" si="0"/>
        <v>Valley Bakers</v>
      </c>
      <c r="C19" s="15" t="str">
        <f t="shared" si="1"/>
        <v xml:space="preserve">partner: Valley Bakers </v>
      </c>
      <c r="D19" s="1" t="s">
        <v>108</v>
      </c>
      <c r="E19" s="15" t="str">
        <f>IF(Table25[[#This Row],[Notes]]="","",LEFT(Table25[[#This Row],[Notes]],FIND(CHAR(10),Table25[[#This Row],[Notes]]&amp;CHAR(10))-1))</f>
        <v>11.4.21 Reach out to Hirono for the details from customer</v>
      </c>
      <c r="F19" s="15">
        <f t="shared" si="2"/>
        <v>44504</v>
      </c>
      <c r="G19" s="20">
        <f t="shared" ca="1" si="3"/>
        <v>44504</v>
      </c>
      <c r="H19" s="15" t="s">
        <v>74</v>
      </c>
      <c r="I19" s="15"/>
      <c r="J19" s="21"/>
      <c r="K19" s="15"/>
      <c r="L19" s="15"/>
      <c r="M19" s="15"/>
      <c r="N19" s="15"/>
      <c r="O19" s="15"/>
      <c r="P19" s="15"/>
      <c r="Q19" s="15"/>
      <c r="R19" s="15"/>
      <c r="S19" s="15"/>
      <c r="T19" s="15"/>
      <c r="U19" s="15"/>
      <c r="V19" s="15"/>
      <c r="W19" s="15"/>
      <c r="X19" s="15"/>
      <c r="Y19" s="15"/>
      <c r="Z19" s="15"/>
      <c r="AA19" s="15"/>
      <c r="AB19" s="15"/>
    </row>
    <row r="20" spans="1:28" s="4" customFormat="1" x14ac:dyDescent="0.25">
      <c r="A20" s="34" t="s">
        <v>80</v>
      </c>
      <c r="B20" s="15" t="str">
        <f t="shared" si="0"/>
        <v>Windsor Modules</v>
      </c>
      <c r="C20" s="15" t="str">
        <f t="shared" si="1"/>
        <v xml:space="preserve">partner: Windsor Modules </v>
      </c>
      <c r="D20" s="15" t="s">
        <v>111</v>
      </c>
      <c r="E20" s="15" t="str">
        <f>IF(Table25[[#This Row],[Notes]]="","",LEFT(Table25[[#This Row],[Notes]],FIND(CHAR(10),Table25[[#This Row],[Notes]]&amp;CHAR(10))-1))</f>
        <v>11.4.21 Reach out to trading partner</v>
      </c>
      <c r="F20" s="15">
        <f t="shared" si="2"/>
        <v>44504</v>
      </c>
      <c r="G20" s="20">
        <f t="shared" ca="1" si="3"/>
        <v>44504</v>
      </c>
      <c r="H20" t="s">
        <v>93</v>
      </c>
      <c r="I20" s="15"/>
      <c r="J20" s="21"/>
      <c r="K20" s="15"/>
      <c r="L20" s="15"/>
      <c r="M20" s="15"/>
      <c r="N20" s="15"/>
      <c r="O20" s="15"/>
      <c r="P20" s="15"/>
      <c r="Q20" s="15"/>
      <c r="R20" s="15"/>
      <c r="S20" s="15"/>
      <c r="T20" s="15"/>
      <c r="U20" s="15"/>
      <c r="V20" s="15"/>
      <c r="W20" s="15"/>
      <c r="X20" s="15"/>
      <c r="Y20" s="15"/>
      <c r="Z20" s="15"/>
      <c r="AA20" s="15"/>
      <c r="AB20" s="15"/>
    </row>
    <row r="21" spans="1:28" s="24" customFormat="1" x14ac:dyDescent="0.25">
      <c r="A21" s="33" t="s">
        <v>113</v>
      </c>
      <c r="B21" s="15" t="str">
        <f t="shared" si="0"/>
        <v>Cymbio</v>
      </c>
      <c r="C21" s="15" t="str">
        <f t="shared" si="1"/>
        <v xml:space="preserve">partner: Cymbio </v>
      </c>
      <c r="D21" s="15" t="s">
        <v>111</v>
      </c>
      <c r="E21" s="15" t="str">
        <f>IF(Table25[[#This Row],[Notes]]="","",LEFT(Table25[[#This Row],[Notes]],FIND(CHAR(10),Table25[[#This Row],[Notes]]&amp;CHAR(10))-1))</f>
        <v>11.4.21 Reach out to trading partner</v>
      </c>
      <c r="F21" s="15">
        <f t="shared" si="2"/>
        <v>44504</v>
      </c>
      <c r="G21" s="20">
        <f t="shared" ca="1" si="3"/>
        <v>44504</v>
      </c>
      <c r="H21" s="15"/>
      <c r="I21" s="15"/>
      <c r="J21" s="21"/>
      <c r="K21" s="15"/>
      <c r="L21" s="15"/>
      <c r="M21" s="15"/>
      <c r="N21" s="15"/>
      <c r="O21" s="15"/>
      <c r="P21" s="15"/>
      <c r="Q21" s="15"/>
      <c r="R21" s="15"/>
      <c r="S21" s="15"/>
      <c r="T21" s="15"/>
      <c r="U21" s="15"/>
      <c r="V21" s="15"/>
      <c r="W21" s="15"/>
      <c r="X21" s="15"/>
      <c r="Y21" s="15"/>
      <c r="Z21" s="15"/>
      <c r="AA21" s="15"/>
      <c r="AB21" s="15"/>
    </row>
    <row r="22" spans="1:28" s="23" customFormat="1" ht="60" x14ac:dyDescent="0.25">
      <c r="A22" s="27" t="s">
        <v>65</v>
      </c>
      <c r="B22" s="16" t="str">
        <f t="shared" si="0"/>
        <v>Georges Music XML</v>
      </c>
      <c r="C22" s="15" t="str">
        <f t="shared" si="1"/>
        <v xml:space="preserve">partner: Georges Music XML </v>
      </c>
      <c r="D22" s="1" t="s">
        <v>118</v>
      </c>
      <c r="E22" s="15" t="str">
        <f>IF(Table25[[#This Row],[Notes]]="","",LEFT(Table25[[#This Row],[Notes]],FIND(CHAR(10),Table25[[#This Row],[Notes]]&amp;CHAR(10))-1))</f>
        <v>11.5.21 Reach out to Aaron for help</v>
      </c>
      <c r="F22" s="15">
        <f t="shared" si="2"/>
        <v>44505</v>
      </c>
      <c r="G22" s="20">
        <f t="shared" ca="1" si="3"/>
        <v>44505</v>
      </c>
      <c r="H22" s="15" t="s">
        <v>53</v>
      </c>
      <c r="I22" s="15"/>
      <c r="J22" s="21"/>
      <c r="K22" s="15"/>
      <c r="L22" s="15"/>
      <c r="M22" s="15"/>
      <c r="N22" s="15"/>
      <c r="O22" s="15"/>
      <c r="P22" s="15"/>
      <c r="Q22" s="15"/>
      <c r="R22" s="15"/>
      <c r="S22" s="15"/>
      <c r="T22" s="15"/>
      <c r="U22" s="15"/>
      <c r="V22" s="15"/>
      <c r="W22" s="15"/>
      <c r="X22" s="15"/>
      <c r="Y22" s="15"/>
      <c r="Z22" s="15"/>
      <c r="AA22" s="15"/>
      <c r="AB22" s="15"/>
    </row>
    <row r="23" spans="1:28" ht="30" x14ac:dyDescent="0.25">
      <c r="A23" s="34" t="s">
        <v>83</v>
      </c>
      <c r="B23" s="15" t="str">
        <f t="shared" si="0"/>
        <v>Lear Montgomery AL</v>
      </c>
      <c r="C23" s="15" t="str">
        <f t="shared" si="1"/>
        <v xml:space="preserve">partner: Lear Montgomery AL </v>
      </c>
      <c r="D23" s="1" t="s">
        <v>114</v>
      </c>
      <c r="E23" s="15" t="str">
        <f>IF(Table25[[#This Row],[Notes]]="","",LEFT(Table25[[#This Row],[Notes]],FIND(CHAR(10),Table25[[#This Row],[Notes]]&amp;CHAR(10))-1))</f>
        <v>11.5.21 Reach out to Lori for a new contact</v>
      </c>
      <c r="F23" s="15">
        <f t="shared" si="2"/>
        <v>44505</v>
      </c>
      <c r="G23" s="20">
        <f t="shared" ca="1" si="3"/>
        <v>44505</v>
      </c>
      <c r="H23" t="s">
        <v>53</v>
      </c>
      <c r="I23" s="15"/>
      <c r="J23" s="21"/>
      <c r="K23" s="15"/>
      <c r="L23" s="15"/>
      <c r="M23" s="15"/>
      <c r="N23" s="15"/>
      <c r="O23" s="15"/>
      <c r="P23" s="15"/>
      <c r="Q23" s="15"/>
      <c r="R23" s="15"/>
      <c r="S23" s="15"/>
      <c r="T23" s="15"/>
      <c r="U23" s="15"/>
      <c r="V23" s="15"/>
      <c r="W23" s="15"/>
      <c r="X23" s="15"/>
      <c r="Y23" s="15"/>
      <c r="Z23" s="15"/>
      <c r="AA23" s="15"/>
      <c r="AB23" s="15"/>
    </row>
    <row r="24" spans="1:28" s="14" customFormat="1" ht="15.75" customHeight="1" thickBot="1" x14ac:dyDescent="0.3">
      <c r="A24" s="34" t="s">
        <v>82</v>
      </c>
      <c r="B24" s="15" t="str">
        <f t="shared" si="0"/>
        <v>Magna Seating Vendor</v>
      </c>
      <c r="C24" s="15" t="str">
        <f t="shared" si="1"/>
        <v xml:space="preserve">partner: Magna Seating Vendor </v>
      </c>
      <c r="D24" s="15" t="s">
        <v>115</v>
      </c>
      <c r="E24" s="15" t="str">
        <f>IF(Table25[[#This Row],[Notes]]="","",LEFT(Table25[[#This Row],[Notes]],FIND(CHAR(10),Table25[[#This Row],[Notes]]&amp;CHAR(10))-1))</f>
        <v>11.5.21 Reach out to trading partner</v>
      </c>
      <c r="F24" s="15">
        <f t="shared" si="2"/>
        <v>44505</v>
      </c>
      <c r="G24" s="20">
        <f t="shared" ca="1" si="3"/>
        <v>44505</v>
      </c>
      <c r="H24" t="s">
        <v>92</v>
      </c>
      <c r="I24" s="15"/>
      <c r="J24" s="21"/>
      <c r="K24" s="15"/>
      <c r="L24" s="15"/>
      <c r="M24" s="15"/>
      <c r="N24" s="15"/>
      <c r="O24" s="15"/>
      <c r="P24" s="15"/>
      <c r="Q24" s="15"/>
      <c r="R24" s="15"/>
      <c r="S24" s="15"/>
      <c r="T24" s="15"/>
      <c r="U24" s="15"/>
      <c r="V24" s="15"/>
      <c r="W24" s="15"/>
      <c r="X24" s="15"/>
      <c r="Y24" s="15"/>
      <c r="Z24" s="15"/>
      <c r="AA24" s="15"/>
      <c r="AB24" s="15"/>
    </row>
    <row r="25" spans="1:28" ht="30" x14ac:dyDescent="0.25">
      <c r="A25" s="31" t="s">
        <v>78</v>
      </c>
      <c r="B25" s="15" t="str">
        <f t="shared" si="0"/>
        <v>Malouf</v>
      </c>
      <c r="C25" s="15" t="str">
        <f t="shared" si="1"/>
        <v xml:space="preserve">partner: Malouf </v>
      </c>
      <c r="D25" s="1" t="s">
        <v>116</v>
      </c>
      <c r="E25" s="15" t="str">
        <f>IF(Table25[[#This Row],[Notes]]="","",LEFT(Table25[[#This Row],[Notes]],FIND(CHAR(10),Table25[[#This Row],[Notes]]&amp;CHAR(10))-1))</f>
        <v>11.5.21 Reach out to  Lee for a new contact</v>
      </c>
      <c r="F25" s="15">
        <f t="shared" si="2"/>
        <v>44505</v>
      </c>
      <c r="G25" s="20">
        <f t="shared" ca="1" si="3"/>
        <v>44505</v>
      </c>
      <c r="H25" t="s">
        <v>53</v>
      </c>
      <c r="I25" s="15"/>
      <c r="J25" s="21"/>
      <c r="K25" s="15"/>
      <c r="L25" s="15"/>
      <c r="M25" s="15"/>
      <c r="N25" s="15"/>
      <c r="O25" s="15"/>
      <c r="P25" s="15"/>
      <c r="Q25" s="15"/>
      <c r="R25" s="15"/>
      <c r="S25" s="15"/>
      <c r="T25" s="15"/>
      <c r="U25" s="15"/>
      <c r="V25" s="15"/>
      <c r="W25" s="15"/>
      <c r="X25" s="15"/>
      <c r="Y25" s="15"/>
      <c r="Z25" s="15"/>
      <c r="AA25" s="15"/>
      <c r="AB25" s="15"/>
    </row>
    <row r="26" spans="1:28" x14ac:dyDescent="0.25">
      <c r="A26" s="30" t="s">
        <v>84</v>
      </c>
      <c r="B26" s="15" t="str">
        <f t="shared" si="0"/>
        <v>Robertson</v>
      </c>
      <c r="C26" s="15" t="str">
        <f t="shared" si="1"/>
        <v xml:space="preserve">partner: Robertson </v>
      </c>
      <c r="D26" s="15" t="s">
        <v>115</v>
      </c>
      <c r="E26" s="15" t="str">
        <f>IF(Table25[[#This Row],[Notes]]="","",LEFT(Table25[[#This Row],[Notes]],FIND(CHAR(10),Table25[[#This Row],[Notes]]&amp;CHAR(10))-1))</f>
        <v>11.5.21 Reach out to trading partner</v>
      </c>
      <c r="F26" s="15">
        <f t="shared" si="2"/>
        <v>44505</v>
      </c>
      <c r="G26" s="20">
        <f t="shared" ca="1" si="3"/>
        <v>44505</v>
      </c>
      <c r="H26" t="s">
        <v>92</v>
      </c>
      <c r="I26" s="15"/>
      <c r="J26" s="21"/>
      <c r="K26" s="15"/>
      <c r="L26" s="15"/>
      <c r="M26" s="15"/>
      <c r="N26" s="15"/>
      <c r="O26" s="15"/>
      <c r="P26" s="15"/>
      <c r="Q26" s="15"/>
      <c r="R26" s="15"/>
      <c r="S26" s="15"/>
      <c r="T26" s="15"/>
      <c r="U26" s="15"/>
      <c r="V26" s="15"/>
      <c r="W26" s="15"/>
      <c r="X26" s="15"/>
      <c r="Y26" s="15"/>
      <c r="Z26" s="15"/>
      <c r="AA26" s="15"/>
      <c r="AB26" s="15"/>
    </row>
    <row r="27" spans="1:28" ht="120" x14ac:dyDescent="0.25">
      <c r="A27" s="27" t="s">
        <v>54</v>
      </c>
      <c r="B27" s="15" t="str">
        <f t="shared" si="0"/>
        <v>Pure Country West</v>
      </c>
      <c r="C27" s="15" t="str">
        <f t="shared" si="1"/>
        <v xml:space="preserve">partner: Pure Country West </v>
      </c>
      <c r="D27" s="1" t="s">
        <v>117</v>
      </c>
      <c r="E27" s="15" t="str">
        <f>IF(Table25[[#This Row],[Notes]]="","",LEFT(Table25[[#This Row],[Notes]],FIND(CHAR(10),Table25[[#This Row],[Notes]]&amp;CHAR(10))-1))</f>
        <v>11.5.21 Reach out to Miguel for updates</v>
      </c>
      <c r="F27" s="15">
        <f t="shared" si="2"/>
        <v>44505</v>
      </c>
      <c r="G27" s="20">
        <f t="shared" ca="1" si="3"/>
        <v>44505</v>
      </c>
      <c r="H27" s="29" t="s">
        <v>55</v>
      </c>
      <c r="I27" s="15"/>
      <c r="J27" s="21"/>
      <c r="K27" s="15"/>
      <c r="L27" s="15"/>
      <c r="M27" s="15"/>
      <c r="N27" s="15"/>
      <c r="O27" s="15"/>
      <c r="P27" s="15"/>
      <c r="Q27" s="15"/>
      <c r="R27" s="15"/>
      <c r="S27" s="15"/>
      <c r="T27" s="15"/>
      <c r="U27" s="15"/>
      <c r="V27" s="15"/>
      <c r="W27" s="15"/>
      <c r="X27" s="15"/>
      <c r="Y27" s="15"/>
      <c r="Z27" s="15"/>
      <c r="AA27" s="15"/>
      <c r="AB27" s="15"/>
    </row>
    <row r="28" spans="1:28" ht="60" x14ac:dyDescent="0.25">
      <c r="A28" s="27" t="s">
        <v>68</v>
      </c>
      <c r="B28" s="15" t="str">
        <f t="shared" si="0"/>
        <v>Stego Germany</v>
      </c>
      <c r="C28" s="15" t="str">
        <f t="shared" si="1"/>
        <v xml:space="preserve">partner: Stego Germany </v>
      </c>
      <c r="D28" s="1" t="s">
        <v>119</v>
      </c>
      <c r="E28" s="15" t="str">
        <f>IF(Table25[[#This Row],[Notes]]="","",LEFT(Table25[[#This Row],[Notes]],FIND(CHAR(10),Table25[[#This Row],[Notes]]&amp;CHAR(10))-1))</f>
        <v>11.8.21 Assign a mapping case: 13987661</v>
      </c>
      <c r="F28" s="15">
        <f t="shared" si="2"/>
        <v>44508</v>
      </c>
      <c r="G28" s="20">
        <f t="shared" ca="1" si="3"/>
        <v>44508</v>
      </c>
      <c r="H28" s="15" t="s">
        <v>76</v>
      </c>
      <c r="I28" s="15"/>
      <c r="J28" s="21"/>
      <c r="K28" s="15"/>
      <c r="L28" s="15"/>
      <c r="M28" s="15"/>
      <c r="N28" s="15"/>
      <c r="O28" s="15"/>
      <c r="P28" s="15"/>
      <c r="Q28" s="15"/>
      <c r="R28" s="15"/>
      <c r="S28" s="15"/>
      <c r="T28" s="15"/>
      <c r="U28" s="15"/>
      <c r="V28" s="15"/>
      <c r="W28" s="15"/>
      <c r="X28" s="15"/>
      <c r="Y28" s="15"/>
      <c r="Z28" s="15"/>
      <c r="AA28" s="15"/>
      <c r="AB28" s="15"/>
    </row>
    <row r="29" spans="1:28" ht="60.75" thickBot="1" x14ac:dyDescent="0.3">
      <c r="A29" s="27" t="s">
        <v>67</v>
      </c>
      <c r="B29" s="16" t="str">
        <f t="shared" si="0"/>
        <v>Del Mar Fans</v>
      </c>
      <c r="C29" s="15" t="str">
        <f t="shared" si="1"/>
        <v xml:space="preserve">partner: Del Mar Fans </v>
      </c>
      <c r="D29" s="1" t="s">
        <v>120</v>
      </c>
      <c r="E29" s="15" t="str">
        <f>IF(Table25[[#This Row],[Notes]]="","",LEFT(Table25[[#This Row],[Notes]],FIND(CHAR(10),Table25[[#This Row],[Notes]]&amp;CHAR(10))-1))</f>
        <v>11.8.21 Assign a mapping case:  13987765</v>
      </c>
      <c r="F29" s="15">
        <f t="shared" si="2"/>
        <v>44508</v>
      </c>
      <c r="G29" s="20">
        <f t="shared" ca="1" si="3"/>
        <v>44508</v>
      </c>
      <c r="H29" s="15" t="s">
        <v>75</v>
      </c>
      <c r="I29" s="15"/>
      <c r="J29" s="21"/>
      <c r="K29" s="15"/>
      <c r="L29" s="15"/>
      <c r="M29" s="15"/>
      <c r="N29" s="15"/>
      <c r="O29" s="15"/>
      <c r="P29" s="15"/>
      <c r="Q29" s="15"/>
      <c r="R29" s="15"/>
      <c r="S29" s="15"/>
      <c r="T29" s="15"/>
      <c r="U29" s="15"/>
      <c r="V29" s="15"/>
      <c r="W29" s="15"/>
      <c r="X29" s="15"/>
      <c r="Y29" s="15"/>
      <c r="Z29" s="15"/>
      <c r="AA29" s="15"/>
      <c r="AB29" s="15"/>
    </row>
    <row r="30" spans="1:28" s="7" customFormat="1" ht="60" x14ac:dyDescent="0.25">
      <c r="A30" s="27" t="s">
        <v>64</v>
      </c>
      <c r="B30" s="16" t="str">
        <f t="shared" si="0"/>
        <v>Guitar Center - XML Trading Partner</v>
      </c>
      <c r="C30" s="15" t="str">
        <f t="shared" si="1"/>
        <v xml:space="preserve">partner: Guitar Center - XML Trading Partner </v>
      </c>
      <c r="D30" s="1" t="s">
        <v>121</v>
      </c>
      <c r="E30" s="15" t="str">
        <f>IF(Table25[[#This Row],[Notes]]="","",LEFT(Table25[[#This Row],[Notes]],FIND(CHAR(10),Table25[[#This Row],[Notes]]&amp;CHAR(10))-1))</f>
        <v>11.8.21 Reach out to Aaron for help</v>
      </c>
      <c r="F30" s="15">
        <f t="shared" si="2"/>
        <v>44508</v>
      </c>
      <c r="G30" s="20">
        <f t="shared" ca="1" si="3"/>
        <v>44508</v>
      </c>
      <c r="H30" s="15" t="s">
        <v>73</v>
      </c>
      <c r="I30" s="15"/>
      <c r="J30" s="21"/>
      <c r="K30" s="15"/>
      <c r="L30" s="15"/>
      <c r="M30" s="15"/>
      <c r="N30" s="15"/>
      <c r="O30" s="15"/>
      <c r="P30" s="15"/>
      <c r="Q30" s="15"/>
      <c r="R30" s="15"/>
      <c r="S30" s="15"/>
      <c r="T30" s="15"/>
      <c r="U30" s="15"/>
      <c r="V30" s="15"/>
      <c r="W30" s="15"/>
      <c r="X30" s="15"/>
      <c r="Y30" s="15"/>
      <c r="Z30" s="15"/>
      <c r="AA30" s="15"/>
      <c r="AB30" s="15"/>
    </row>
    <row r="31" spans="1:28" ht="60.75" thickBot="1" x14ac:dyDescent="0.3">
      <c r="A31" s="27" t="s">
        <v>63</v>
      </c>
      <c r="B31" s="16" t="str">
        <f t="shared" si="0"/>
        <v>Rhenus Contract Logistics - VSC</v>
      </c>
      <c r="C31" s="15" t="str">
        <f t="shared" si="1"/>
        <v xml:space="preserve">partner: Rhenus Contract Logistics - VSC </v>
      </c>
      <c r="D31" s="1" t="s">
        <v>122</v>
      </c>
      <c r="E31" s="15" t="str">
        <f>IF(Table25[[#This Row],[Notes]]="","",LEFT(Table25[[#This Row],[Notes]],FIND(CHAR(10),Table25[[#This Row],[Notes]]&amp;CHAR(10))-1))</f>
        <v>11.8.21 Waiting for contacts from Brad</v>
      </c>
      <c r="F31" s="15">
        <f t="shared" si="2"/>
        <v>44508</v>
      </c>
      <c r="G31" s="20">
        <f t="shared" ca="1" si="3"/>
        <v>44508</v>
      </c>
      <c r="H31" s="15" t="s">
        <v>53</v>
      </c>
      <c r="I31" s="15"/>
      <c r="J31" s="21"/>
      <c r="K31" s="15"/>
      <c r="L31" s="15"/>
      <c r="M31" s="15"/>
      <c r="N31" s="15"/>
      <c r="O31" s="15"/>
      <c r="P31" s="15"/>
      <c r="Q31" s="15"/>
      <c r="R31" s="15"/>
      <c r="S31" s="15"/>
      <c r="T31" s="15"/>
      <c r="U31" s="15"/>
      <c r="V31" s="15"/>
      <c r="W31" s="15"/>
      <c r="X31" s="15"/>
      <c r="Y31" s="15"/>
      <c r="Z31" s="15"/>
      <c r="AA31" s="15"/>
      <c r="AB31" s="15"/>
    </row>
    <row r="32" spans="1:28" ht="45" x14ac:dyDescent="0.25">
      <c r="A32" s="28" t="s">
        <v>61</v>
      </c>
      <c r="B32" s="16" t="str">
        <f t="shared" si="0"/>
        <v>Wormser Corporation-Jaguar Freight XML</v>
      </c>
      <c r="C32" s="15" t="str">
        <f t="shared" si="1"/>
        <v xml:space="preserve">partner: Wormser Corporation-Jaguar Freight XML </v>
      </c>
      <c r="D32" s="1" t="s">
        <v>101</v>
      </c>
      <c r="E32" s="15" t="str">
        <f>IF(Table25[[#This Row],[Notes]]="","",LEFT(Table25[[#This Row],[Notes]],FIND(CHAR(10),Table25[[#This Row],[Notes]]&amp;CHAR(10))-1))</f>
        <v>`10.29.21 Reach out to Armin for samples</v>
      </c>
      <c r="F32" s="15" t="e">
        <f t="shared" si="2"/>
        <v>#VALUE!</v>
      </c>
      <c r="G32" s="20">
        <f t="shared" ca="1" si="3"/>
        <v>44510</v>
      </c>
      <c r="H32" s="15" t="s">
        <v>70</v>
      </c>
      <c r="I32" s="15" t="s">
        <v>71</v>
      </c>
      <c r="J32" s="21"/>
      <c r="K32" s="15"/>
      <c r="L32" s="15"/>
      <c r="M32" s="15"/>
      <c r="N32" s="15"/>
      <c r="O32" s="15"/>
      <c r="P32" s="15"/>
      <c r="Q32" s="15"/>
      <c r="R32" s="15"/>
      <c r="S32" s="15"/>
      <c r="T32" s="15"/>
      <c r="U32" s="15"/>
      <c r="V32" s="15"/>
      <c r="W32" s="15"/>
      <c r="X32" s="15"/>
      <c r="Y32" s="15"/>
      <c r="Z32" s="15"/>
      <c r="AA32" s="15"/>
      <c r="AB32" s="15"/>
    </row>
    <row r="33" spans="2:28" x14ac:dyDescent="0.25">
      <c r="B33" s="15" t="e">
        <f t="shared" si="0"/>
        <v>#VALUE!</v>
      </c>
      <c r="C33" s="15" t="e">
        <f t="shared" si="1"/>
        <v>#VALUE!</v>
      </c>
      <c r="D33" s="15"/>
      <c r="E33" s="15" t="str">
        <f>IF(Table25[[#This Row],[Notes]]="","",LEFT(Table25[[#This Row],[Notes]],FIND(CHAR(10),Table25[[#This Row],[Notes]]&amp;CHAR(10))-1))</f>
        <v/>
      </c>
      <c r="F33" s="15" t="e">
        <f t="shared" si="2"/>
        <v>#VALUE!</v>
      </c>
      <c r="G33" s="20">
        <f t="shared" ca="1" si="3"/>
        <v>44510</v>
      </c>
      <c r="H33" s="15"/>
      <c r="I33" s="15"/>
      <c r="J33" s="21"/>
      <c r="K33" s="15"/>
      <c r="L33" s="15"/>
      <c r="M33" s="15"/>
      <c r="N33" s="15"/>
      <c r="O33" s="15"/>
      <c r="P33" s="15"/>
      <c r="Q33" s="15"/>
      <c r="R33" s="15"/>
      <c r="S33" s="15"/>
      <c r="T33" s="15"/>
      <c r="U33" s="15"/>
      <c r="V33" s="15"/>
      <c r="W33" s="15"/>
      <c r="X33" s="15"/>
      <c r="Y33" s="15"/>
      <c r="Z33" s="15"/>
      <c r="AA33" s="15"/>
      <c r="AB33" s="15"/>
    </row>
    <row r="34" spans="2:28" x14ac:dyDescent="0.25">
      <c r="B34" s="15" t="e">
        <f t="shared" si="0"/>
        <v>#VALUE!</v>
      </c>
      <c r="C34" s="15" t="e">
        <f t="shared" si="1"/>
        <v>#VALUE!</v>
      </c>
      <c r="D34" s="15"/>
      <c r="E34" s="15" t="str">
        <f>IF(Table25[[#This Row],[Notes]]="","",LEFT(Table25[[#This Row],[Notes]],FIND(CHAR(10),Table25[[#This Row],[Notes]]&amp;CHAR(10))-1))</f>
        <v/>
      </c>
      <c r="F34" s="15" t="e">
        <f t="shared" si="2"/>
        <v>#VALUE!</v>
      </c>
      <c r="G34" s="20">
        <f t="shared" ca="1" si="3"/>
        <v>44510</v>
      </c>
      <c r="H34" s="15"/>
      <c r="I34" s="15"/>
      <c r="J34" s="21"/>
      <c r="K34" s="15"/>
      <c r="L34" s="15"/>
      <c r="M34" s="15"/>
      <c r="N34" s="15"/>
      <c r="O34" s="15"/>
      <c r="P34" s="15"/>
      <c r="Q34" s="15"/>
      <c r="R34" s="15"/>
      <c r="S34" s="15"/>
      <c r="T34" s="15"/>
      <c r="U34" s="15"/>
      <c r="V34" s="15"/>
      <c r="W34" s="15"/>
      <c r="X34" s="15"/>
      <c r="Y34" s="15"/>
      <c r="Z34" s="15"/>
      <c r="AA34" s="15"/>
      <c r="AB34" s="15"/>
    </row>
    <row r="35" spans="2:28" x14ac:dyDescent="0.25">
      <c r="B35" s="15" t="e">
        <f t="shared" si="0"/>
        <v>#VALUE!</v>
      </c>
      <c r="C35" s="15" t="e">
        <f t="shared" si="1"/>
        <v>#VALUE!</v>
      </c>
      <c r="D35" s="15"/>
      <c r="E35" s="15" t="str">
        <f>IF(Table25[[#This Row],[Notes]]="","",LEFT(Table25[[#This Row],[Notes]],FIND(CHAR(10),Table25[[#This Row],[Notes]]&amp;CHAR(10))-1))</f>
        <v/>
      </c>
      <c r="F35" s="15" t="e">
        <f t="shared" si="2"/>
        <v>#VALUE!</v>
      </c>
      <c r="G35" s="20">
        <f t="shared" ca="1" si="3"/>
        <v>44510</v>
      </c>
      <c r="H35" s="15"/>
      <c r="I35" s="15"/>
      <c r="J35" s="21"/>
      <c r="K35" s="15"/>
      <c r="L35" s="15"/>
      <c r="M35" s="15"/>
      <c r="N35" s="15"/>
      <c r="O35" s="15"/>
      <c r="P35" s="15"/>
      <c r="Q35" s="15"/>
      <c r="R35" s="15"/>
      <c r="S35" s="15"/>
      <c r="T35" s="15"/>
      <c r="U35" s="15"/>
      <c r="V35" s="15"/>
      <c r="W35" s="15"/>
      <c r="X35" s="15"/>
      <c r="Y35" s="15"/>
      <c r="Z35" s="15"/>
      <c r="AA35" s="15"/>
      <c r="AB35" s="15"/>
    </row>
    <row r="36" spans="2:28" x14ac:dyDescent="0.25">
      <c r="B36" s="15" t="e">
        <f t="shared" si="0"/>
        <v>#VALUE!</v>
      </c>
      <c r="C36" s="15" t="e">
        <f t="shared" si="1"/>
        <v>#VALUE!</v>
      </c>
      <c r="D36" s="15"/>
      <c r="E36" s="15" t="str">
        <f>IF(Table25[[#This Row],[Notes]]="","",LEFT(Table25[[#This Row],[Notes]],FIND(CHAR(10),Table25[[#This Row],[Notes]]&amp;CHAR(10))-1))</f>
        <v/>
      </c>
      <c r="F36" s="15" t="e">
        <f t="shared" si="2"/>
        <v>#VALUE!</v>
      </c>
      <c r="G36" s="20">
        <f t="shared" ca="1" si="3"/>
        <v>44510</v>
      </c>
      <c r="H36" s="15"/>
      <c r="I36" s="15"/>
      <c r="J36" s="21"/>
      <c r="K36" s="15"/>
      <c r="L36" s="15"/>
      <c r="M36" s="15"/>
      <c r="N36" s="15"/>
      <c r="O36" s="15"/>
      <c r="P36" s="15"/>
      <c r="Q36" s="15"/>
      <c r="R36" s="15"/>
      <c r="S36" s="15"/>
      <c r="T36" s="15"/>
      <c r="U36" s="15"/>
      <c r="V36" s="15"/>
      <c r="W36" s="15"/>
      <c r="X36" s="15"/>
      <c r="Y36" s="15"/>
      <c r="Z36" s="15"/>
      <c r="AA36" s="15"/>
      <c r="AB36" s="15"/>
    </row>
    <row r="37" spans="2:28" x14ac:dyDescent="0.25">
      <c r="B37" s="15" t="e">
        <f t="shared" si="0"/>
        <v>#VALUE!</v>
      </c>
      <c r="C37" s="15" t="e">
        <f t="shared" si="1"/>
        <v>#VALUE!</v>
      </c>
      <c r="D37" s="15"/>
      <c r="E37" s="15" t="str">
        <f>IF(Table25[[#This Row],[Notes]]="","",LEFT(Table25[[#This Row],[Notes]],FIND(CHAR(10),Table25[[#This Row],[Notes]]&amp;CHAR(10))-1))</f>
        <v/>
      </c>
      <c r="F37" s="15" t="e">
        <f t="shared" si="2"/>
        <v>#VALUE!</v>
      </c>
      <c r="G37" s="20">
        <f t="shared" ca="1" si="3"/>
        <v>44510</v>
      </c>
      <c r="H37" s="15"/>
      <c r="I37" s="15"/>
      <c r="J37" s="21"/>
      <c r="K37" s="15"/>
      <c r="L37" s="15"/>
      <c r="M37" s="15"/>
      <c r="N37" s="15"/>
      <c r="O37" s="15"/>
      <c r="P37" s="15"/>
      <c r="Q37" s="15"/>
      <c r="R37" s="15"/>
      <c r="S37" s="15"/>
      <c r="T37" s="15"/>
      <c r="U37" s="15"/>
      <c r="V37" s="15"/>
      <c r="W37" s="15"/>
      <c r="X37" s="15"/>
      <c r="Y37" s="15"/>
      <c r="Z37" s="15"/>
      <c r="AA37" s="15"/>
      <c r="AB37" s="15"/>
    </row>
    <row r="38" spans="2:28" x14ac:dyDescent="0.25">
      <c r="B38" s="15" t="e">
        <f t="shared" si="0"/>
        <v>#VALUE!</v>
      </c>
      <c r="C38" s="15" t="e">
        <f t="shared" si="1"/>
        <v>#VALUE!</v>
      </c>
      <c r="D38" s="15"/>
      <c r="E38" s="15" t="str">
        <f>IF(Table25[[#This Row],[Notes]]="","",LEFT(Table25[[#This Row],[Notes]],FIND(CHAR(10),Table25[[#This Row],[Notes]]&amp;CHAR(10))-1))</f>
        <v/>
      </c>
      <c r="F38" s="15" t="e">
        <f t="shared" si="2"/>
        <v>#VALUE!</v>
      </c>
      <c r="G38" s="20">
        <f t="shared" ca="1" si="3"/>
        <v>44510</v>
      </c>
      <c r="H38" s="15"/>
      <c r="I38" s="15"/>
      <c r="J38" s="21"/>
      <c r="K38" s="15"/>
      <c r="L38" s="15"/>
      <c r="M38" s="15"/>
      <c r="N38" s="15"/>
      <c r="O38" s="15"/>
      <c r="P38" s="15"/>
      <c r="Q38" s="15"/>
      <c r="R38" s="15"/>
      <c r="S38" s="15"/>
      <c r="T38" s="15"/>
      <c r="U38" s="15"/>
      <c r="V38" s="15"/>
      <c r="W38" s="15"/>
      <c r="X38" s="15"/>
      <c r="Y38" s="15"/>
      <c r="Z38" s="15"/>
      <c r="AA38" s="15"/>
      <c r="AB38" s="15"/>
    </row>
    <row r="39" spans="2:28" x14ac:dyDescent="0.25">
      <c r="B39" s="15" t="e">
        <f t="shared" si="0"/>
        <v>#VALUE!</v>
      </c>
      <c r="C39" s="15" t="e">
        <f t="shared" si="1"/>
        <v>#VALUE!</v>
      </c>
      <c r="D39" s="15"/>
      <c r="E39" s="15" t="str">
        <f>IF(Table25[[#This Row],[Notes]]="","",LEFT(Table25[[#This Row],[Notes]],FIND(CHAR(10),Table25[[#This Row],[Notes]]&amp;CHAR(10))-1))</f>
        <v/>
      </c>
      <c r="F39" s="15" t="e">
        <f t="shared" si="2"/>
        <v>#VALUE!</v>
      </c>
      <c r="G39" s="20">
        <f t="shared" ca="1" si="3"/>
        <v>44510</v>
      </c>
      <c r="H39" s="15"/>
      <c r="I39" s="15"/>
      <c r="J39" s="21"/>
      <c r="K39" s="15"/>
      <c r="L39" s="15"/>
      <c r="M39" s="15"/>
      <c r="N39" s="15"/>
      <c r="O39" s="15"/>
      <c r="P39" s="15"/>
      <c r="Q39" s="15"/>
      <c r="R39" s="15"/>
      <c r="S39" s="15"/>
      <c r="T39" s="15"/>
      <c r="U39" s="15"/>
      <c r="V39" s="15"/>
      <c r="W39" s="15"/>
      <c r="X39" s="15"/>
      <c r="Y39" s="15"/>
      <c r="Z39" s="15"/>
      <c r="AA39" s="15"/>
      <c r="AB39" s="15"/>
    </row>
    <row r="40" spans="2:28" x14ac:dyDescent="0.25">
      <c r="B40" s="15" t="e">
        <f t="shared" si="0"/>
        <v>#VALUE!</v>
      </c>
      <c r="C40" s="15" t="e">
        <f t="shared" si="1"/>
        <v>#VALUE!</v>
      </c>
      <c r="D40" s="15"/>
      <c r="E40" s="15" t="str">
        <f>IF(Table25[[#This Row],[Notes]]="","",LEFT(Table25[[#This Row],[Notes]],FIND(CHAR(10),Table25[[#This Row],[Notes]]&amp;CHAR(10))-1))</f>
        <v/>
      </c>
      <c r="F40" s="15" t="e">
        <f t="shared" si="2"/>
        <v>#VALUE!</v>
      </c>
      <c r="G40" s="20">
        <f t="shared" ca="1" si="3"/>
        <v>44510</v>
      </c>
      <c r="H40" s="15"/>
      <c r="I40" s="15"/>
      <c r="J40" s="21"/>
      <c r="K40" s="15"/>
      <c r="L40" s="15"/>
      <c r="M40" s="15"/>
      <c r="N40" s="15"/>
      <c r="O40" s="15"/>
      <c r="P40" s="15"/>
      <c r="Q40" s="15"/>
      <c r="R40" s="15"/>
      <c r="S40" s="15"/>
      <c r="T40" s="15"/>
      <c r="U40" s="15"/>
      <c r="V40" s="15"/>
      <c r="W40" s="15"/>
      <c r="X40" s="15"/>
      <c r="Y40" s="15"/>
      <c r="Z40" s="15"/>
      <c r="AA40" s="15"/>
      <c r="AB40" s="15"/>
    </row>
    <row r="41" spans="2:28" x14ac:dyDescent="0.25">
      <c r="B41" s="15" t="e">
        <f t="shared" si="0"/>
        <v>#VALUE!</v>
      </c>
      <c r="C41" s="15" t="e">
        <f t="shared" si="1"/>
        <v>#VALUE!</v>
      </c>
      <c r="D41" s="15"/>
      <c r="E41" s="15" t="str">
        <f>IF(Table25[[#This Row],[Notes]]="","",LEFT(Table25[[#This Row],[Notes]],FIND(CHAR(10),Table25[[#This Row],[Notes]]&amp;CHAR(10))-1))</f>
        <v/>
      </c>
      <c r="F41" s="15" t="e">
        <f t="shared" si="2"/>
        <v>#VALUE!</v>
      </c>
      <c r="G41" s="20">
        <f t="shared" ca="1" si="3"/>
        <v>44510</v>
      </c>
      <c r="H41" s="15"/>
      <c r="I41" s="15"/>
      <c r="J41" s="21"/>
      <c r="K41" s="15"/>
      <c r="L41" s="15"/>
      <c r="M41" s="15"/>
      <c r="N41" s="15"/>
      <c r="O41" s="15"/>
      <c r="P41" s="15"/>
      <c r="Q41" s="15"/>
      <c r="R41" s="15"/>
      <c r="S41" s="15"/>
      <c r="T41" s="15"/>
      <c r="U41" s="15"/>
      <c r="V41" s="15"/>
      <c r="W41" s="15"/>
      <c r="X41" s="15"/>
      <c r="Y41" s="15"/>
      <c r="Z41" s="15"/>
      <c r="AA41" s="15"/>
      <c r="AB41" s="15"/>
    </row>
    <row r="42" spans="2:28" x14ac:dyDescent="0.25">
      <c r="B42" s="15" t="e">
        <f t="shared" si="0"/>
        <v>#VALUE!</v>
      </c>
      <c r="C42" s="15" t="e">
        <f t="shared" si="1"/>
        <v>#VALUE!</v>
      </c>
      <c r="D42" s="15"/>
      <c r="E42" s="15" t="str">
        <f>IF(Table25[[#This Row],[Notes]]="","",LEFT(Table25[[#This Row],[Notes]],FIND(CHAR(10),Table25[[#This Row],[Notes]]&amp;CHAR(10))-1))</f>
        <v/>
      </c>
      <c r="F42" s="15" t="e">
        <f t="shared" si="2"/>
        <v>#VALUE!</v>
      </c>
      <c r="G42" s="20">
        <f t="shared" ca="1" si="3"/>
        <v>44510</v>
      </c>
      <c r="H42" s="15"/>
      <c r="I42" s="15"/>
      <c r="J42" s="21"/>
      <c r="K42" s="15"/>
      <c r="L42" s="15"/>
      <c r="M42" s="15"/>
      <c r="N42" s="15"/>
      <c r="O42" s="15"/>
      <c r="P42" s="15"/>
      <c r="Q42" s="15"/>
      <c r="R42" s="15"/>
      <c r="S42" s="15"/>
      <c r="T42" s="15"/>
      <c r="U42" s="15"/>
      <c r="V42" s="15"/>
      <c r="W42" s="15"/>
      <c r="X42" s="15"/>
      <c r="Y42" s="15"/>
      <c r="Z42" s="15"/>
      <c r="AA42" s="15"/>
      <c r="AB42" s="15"/>
    </row>
    <row r="43" spans="2:28" x14ac:dyDescent="0.25">
      <c r="B43" s="15" t="e">
        <f t="shared" si="0"/>
        <v>#VALUE!</v>
      </c>
      <c r="C43" s="15" t="e">
        <f t="shared" si="1"/>
        <v>#VALUE!</v>
      </c>
      <c r="D43" s="15"/>
      <c r="E43" s="15" t="str">
        <f>IF(Table25[[#This Row],[Notes]]="","",LEFT(Table25[[#This Row],[Notes]],FIND(CHAR(10),Table25[[#This Row],[Notes]]&amp;CHAR(10))-1))</f>
        <v/>
      </c>
      <c r="F43" s="15" t="e">
        <f t="shared" si="2"/>
        <v>#VALUE!</v>
      </c>
      <c r="G43" s="20">
        <f t="shared" ca="1" si="3"/>
        <v>44510</v>
      </c>
      <c r="H43" s="15"/>
      <c r="I43" s="15"/>
      <c r="J43" s="21"/>
      <c r="K43" s="15"/>
      <c r="L43" s="15"/>
      <c r="M43" s="15"/>
      <c r="N43" s="15"/>
      <c r="O43" s="15"/>
      <c r="P43" s="15"/>
      <c r="Q43" s="15"/>
      <c r="R43" s="15"/>
      <c r="S43" s="15"/>
      <c r="T43" s="15"/>
      <c r="U43" s="15"/>
      <c r="V43" s="15"/>
      <c r="W43" s="15"/>
      <c r="X43" s="15"/>
      <c r="Y43" s="15"/>
      <c r="Z43" s="15"/>
      <c r="AA43" s="15"/>
      <c r="AB43" s="15"/>
    </row>
    <row r="44" spans="2:28" x14ac:dyDescent="0.25">
      <c r="B44" s="15" t="e">
        <f t="shared" si="0"/>
        <v>#VALUE!</v>
      </c>
      <c r="C44" s="15" t="e">
        <f t="shared" si="1"/>
        <v>#VALUE!</v>
      </c>
      <c r="D44" s="15"/>
      <c r="E44" s="15" t="str">
        <f>IF(Table25[[#This Row],[Notes]]="","",LEFT(Table25[[#This Row],[Notes]],FIND(CHAR(10),Table25[[#This Row],[Notes]]&amp;CHAR(10))-1))</f>
        <v/>
      </c>
      <c r="F44" s="15" t="e">
        <f t="shared" si="2"/>
        <v>#VALUE!</v>
      </c>
      <c r="G44" s="20">
        <f t="shared" ca="1" si="3"/>
        <v>44510</v>
      </c>
      <c r="H44" s="15"/>
      <c r="I44" s="15"/>
      <c r="J44" s="21"/>
      <c r="K44" s="15"/>
      <c r="L44" s="15"/>
      <c r="M44" s="15"/>
      <c r="N44" s="15"/>
      <c r="O44" s="15"/>
      <c r="P44" s="15"/>
      <c r="Q44" s="15"/>
      <c r="R44" s="15"/>
      <c r="S44" s="15"/>
      <c r="T44" s="15"/>
      <c r="U44" s="15"/>
      <c r="V44" s="15"/>
      <c r="W44" s="15"/>
      <c r="X44" s="15"/>
      <c r="Y44" s="15"/>
      <c r="Z44" s="15"/>
      <c r="AA44" s="15"/>
      <c r="AB44" s="15"/>
    </row>
    <row r="45" spans="2:28" x14ac:dyDescent="0.25">
      <c r="B45" s="15" t="e">
        <f t="shared" si="0"/>
        <v>#VALUE!</v>
      </c>
      <c r="C45" s="15" t="e">
        <f t="shared" si="1"/>
        <v>#VALUE!</v>
      </c>
      <c r="D45" s="15"/>
      <c r="E45" s="15" t="str">
        <f>IF(Table25[[#This Row],[Notes]]="","",LEFT(Table25[[#This Row],[Notes]],FIND(CHAR(10),Table25[[#This Row],[Notes]]&amp;CHAR(10))-1))</f>
        <v/>
      </c>
      <c r="F45" s="15" t="e">
        <f t="shared" si="2"/>
        <v>#VALUE!</v>
      </c>
      <c r="G45" s="20">
        <f t="shared" ca="1" si="3"/>
        <v>44510</v>
      </c>
      <c r="H45" s="15"/>
      <c r="I45" s="15"/>
      <c r="J45" s="21"/>
      <c r="K45" s="15"/>
      <c r="L45" s="15"/>
      <c r="M45" s="15"/>
      <c r="N45" s="15"/>
      <c r="O45" s="15"/>
      <c r="P45" s="15"/>
      <c r="Q45" s="15"/>
      <c r="R45" s="15"/>
      <c r="S45" s="15"/>
      <c r="T45" s="15"/>
      <c r="U45" s="15"/>
      <c r="V45" s="15"/>
      <c r="W45" s="15"/>
      <c r="X45" s="15"/>
      <c r="Y45" s="15"/>
      <c r="Z45" s="15"/>
      <c r="AA45" s="15"/>
      <c r="AB45" s="15"/>
    </row>
    <row r="46" spans="2:28" x14ac:dyDescent="0.25">
      <c r="B46" s="15" t="e">
        <f t="shared" si="0"/>
        <v>#VALUE!</v>
      </c>
      <c r="C46" s="15" t="e">
        <f t="shared" si="1"/>
        <v>#VALUE!</v>
      </c>
      <c r="D46" s="15"/>
      <c r="E46" s="15" t="str">
        <f>IF(Table25[[#This Row],[Notes]]="","",LEFT(Table25[[#This Row],[Notes]],FIND(CHAR(10),Table25[[#This Row],[Notes]]&amp;CHAR(10))-1))</f>
        <v/>
      </c>
      <c r="F46" s="15" t="e">
        <f t="shared" si="2"/>
        <v>#VALUE!</v>
      </c>
      <c r="G46" s="20">
        <f t="shared" ca="1" si="3"/>
        <v>44510</v>
      </c>
      <c r="H46" s="15"/>
      <c r="I46" s="15"/>
      <c r="J46" s="21"/>
      <c r="K46" s="15"/>
      <c r="L46" s="15"/>
      <c r="M46" s="15"/>
      <c r="N46" s="15"/>
      <c r="O46" s="15"/>
      <c r="P46" s="15"/>
      <c r="Q46" s="15"/>
      <c r="R46" s="15"/>
      <c r="S46" s="15"/>
      <c r="T46" s="15"/>
      <c r="U46" s="15"/>
      <c r="V46" s="15"/>
      <c r="W46" s="15"/>
      <c r="X46" s="15"/>
      <c r="Y46" s="15"/>
      <c r="Z46" s="15"/>
      <c r="AA46" s="15"/>
      <c r="AB46" s="15"/>
    </row>
    <row r="47" spans="2:28" x14ac:dyDescent="0.25">
      <c r="B47" s="15" t="e">
        <f t="shared" si="0"/>
        <v>#VALUE!</v>
      </c>
      <c r="C47" s="15" t="e">
        <f t="shared" si="1"/>
        <v>#VALUE!</v>
      </c>
      <c r="D47" s="15"/>
      <c r="E47" s="15" t="str">
        <f>IF(Table25[[#This Row],[Notes]]="","",LEFT(Table25[[#This Row],[Notes]],FIND(CHAR(10),Table25[[#This Row],[Notes]]&amp;CHAR(10))-1))</f>
        <v/>
      </c>
      <c r="F47" s="15" t="e">
        <f t="shared" si="2"/>
        <v>#VALUE!</v>
      </c>
      <c r="G47" s="20">
        <f t="shared" ca="1" si="3"/>
        <v>44510</v>
      </c>
      <c r="H47" s="15"/>
      <c r="I47" s="15"/>
      <c r="J47" s="21"/>
      <c r="K47" s="15"/>
      <c r="L47" s="15"/>
      <c r="M47" s="15"/>
      <c r="N47" s="15"/>
      <c r="O47" s="15"/>
      <c r="P47" s="15"/>
      <c r="Q47" s="15"/>
      <c r="R47" s="15"/>
      <c r="S47" s="15"/>
      <c r="T47" s="15"/>
      <c r="U47" s="15"/>
      <c r="V47" s="15"/>
      <c r="W47" s="15"/>
      <c r="X47" s="15"/>
      <c r="Y47" s="15"/>
      <c r="Z47" s="15"/>
      <c r="AA47" s="15"/>
      <c r="AB47" s="15"/>
    </row>
    <row r="48" spans="2:28" x14ac:dyDescent="0.25">
      <c r="B48" s="15" t="e">
        <f t="shared" si="0"/>
        <v>#VALUE!</v>
      </c>
      <c r="C48" s="15" t="e">
        <f t="shared" si="1"/>
        <v>#VALUE!</v>
      </c>
      <c r="D48" s="15"/>
      <c r="E48" s="15" t="str">
        <f>IF(Table25[[#This Row],[Notes]]="","",LEFT(Table25[[#This Row],[Notes]],FIND(CHAR(10),Table25[[#This Row],[Notes]]&amp;CHAR(10))-1))</f>
        <v/>
      </c>
      <c r="F48" s="15" t="e">
        <f t="shared" si="2"/>
        <v>#VALUE!</v>
      </c>
      <c r="G48" s="20">
        <f t="shared" ca="1" si="3"/>
        <v>44510</v>
      </c>
      <c r="H48" s="15"/>
      <c r="I48" s="15"/>
      <c r="J48" s="21"/>
      <c r="K48" s="15"/>
      <c r="L48" s="15"/>
      <c r="M48" s="15"/>
      <c r="N48" s="15"/>
      <c r="O48" s="15"/>
      <c r="P48" s="15"/>
      <c r="Q48" s="15"/>
      <c r="R48" s="15"/>
      <c r="S48" s="15"/>
      <c r="T48" s="15"/>
      <c r="U48" s="15"/>
      <c r="V48" s="15"/>
      <c r="W48" s="15"/>
      <c r="X48" s="15"/>
      <c r="Y48" s="15"/>
      <c r="Z48" s="15"/>
      <c r="AA48" s="15"/>
      <c r="AB48" s="15"/>
    </row>
    <row r="49" spans="2:28" x14ac:dyDescent="0.25">
      <c r="B49" s="15" t="e">
        <f t="shared" si="0"/>
        <v>#VALUE!</v>
      </c>
      <c r="C49" s="15" t="e">
        <f t="shared" si="1"/>
        <v>#VALUE!</v>
      </c>
      <c r="D49" s="15"/>
      <c r="E49" s="15" t="str">
        <f>IF(Table25[[#This Row],[Notes]]="","",LEFT(Table25[[#This Row],[Notes]],FIND(CHAR(10),Table25[[#This Row],[Notes]]&amp;CHAR(10))-1))</f>
        <v/>
      </c>
      <c r="F49" s="15" t="e">
        <f t="shared" si="2"/>
        <v>#VALUE!</v>
      </c>
      <c r="G49" s="20">
        <f t="shared" ca="1" si="3"/>
        <v>44510</v>
      </c>
      <c r="H49" s="15"/>
      <c r="I49" s="15"/>
      <c r="J49" s="21"/>
      <c r="K49" s="15"/>
      <c r="L49" s="15"/>
      <c r="M49" s="15"/>
      <c r="N49" s="15"/>
      <c r="O49" s="15"/>
      <c r="P49" s="15"/>
      <c r="Q49" s="15"/>
      <c r="R49" s="15"/>
      <c r="S49" s="15"/>
      <c r="T49" s="15"/>
      <c r="U49" s="15"/>
      <c r="V49" s="15"/>
      <c r="W49" s="15"/>
      <c r="X49" s="15"/>
      <c r="Y49" s="15"/>
      <c r="Z49" s="15"/>
      <c r="AA49" s="15"/>
      <c r="AB49" s="15"/>
    </row>
    <row r="50" spans="2:28" x14ac:dyDescent="0.25">
      <c r="B50" s="15" t="e">
        <f t="shared" si="0"/>
        <v>#VALUE!</v>
      </c>
      <c r="C50" s="15" t="e">
        <f t="shared" si="1"/>
        <v>#VALUE!</v>
      </c>
      <c r="D50" s="15"/>
      <c r="E50" s="15" t="str">
        <f>IF(Table25[[#This Row],[Notes]]="","",LEFT(Table25[[#This Row],[Notes]],FIND(CHAR(10),Table25[[#This Row],[Notes]]&amp;CHAR(10))-1))</f>
        <v/>
      </c>
      <c r="F50" s="15" t="e">
        <f t="shared" si="2"/>
        <v>#VALUE!</v>
      </c>
      <c r="G50" s="20">
        <f t="shared" ca="1" si="3"/>
        <v>44510</v>
      </c>
      <c r="H50" s="15"/>
      <c r="I50" s="15"/>
      <c r="J50" s="21"/>
      <c r="K50" s="15"/>
      <c r="L50" s="15"/>
      <c r="M50" s="15"/>
      <c r="N50" s="15"/>
      <c r="O50" s="15"/>
      <c r="P50" s="15"/>
      <c r="Q50" s="15"/>
      <c r="R50" s="15"/>
      <c r="S50" s="15"/>
      <c r="T50" s="15"/>
      <c r="U50" s="15"/>
      <c r="V50" s="15"/>
      <c r="W50" s="15"/>
      <c r="X50" s="15"/>
      <c r="Y50" s="15"/>
      <c r="Z50" s="15"/>
      <c r="AA50" s="15"/>
      <c r="AB50" s="15"/>
    </row>
    <row r="51" spans="2:28" x14ac:dyDescent="0.25">
      <c r="B51" s="15" t="e">
        <f t="shared" si="0"/>
        <v>#VALUE!</v>
      </c>
      <c r="C51" s="15" t="e">
        <f t="shared" si="1"/>
        <v>#VALUE!</v>
      </c>
      <c r="D51" s="15"/>
      <c r="E51" s="15" t="str">
        <f>IF(Table25[[#This Row],[Notes]]="","",LEFT(Table25[[#This Row],[Notes]],FIND(CHAR(10),Table25[[#This Row],[Notes]]&amp;CHAR(10))-1))</f>
        <v/>
      </c>
      <c r="F51" s="15" t="e">
        <f t="shared" si="2"/>
        <v>#VALUE!</v>
      </c>
      <c r="G51" s="20">
        <f t="shared" ca="1" si="3"/>
        <v>44510</v>
      </c>
      <c r="H51" s="15"/>
      <c r="I51" s="15"/>
      <c r="J51" s="21"/>
      <c r="K51" s="15"/>
      <c r="L51" s="15"/>
      <c r="M51" s="15"/>
      <c r="N51" s="15"/>
      <c r="O51" s="15"/>
      <c r="P51" s="15"/>
      <c r="Q51" s="15"/>
      <c r="R51" s="15"/>
      <c r="S51" s="15"/>
      <c r="T51" s="15"/>
      <c r="U51" s="15"/>
      <c r="V51" s="15"/>
      <c r="W51" s="15"/>
      <c r="X51" s="15"/>
      <c r="Y51" s="15"/>
      <c r="Z51" s="15"/>
      <c r="AA51" s="15"/>
      <c r="AB51" s="15"/>
    </row>
    <row r="52" spans="2:28" x14ac:dyDescent="0.25">
      <c r="B52" s="15" t="e">
        <f t="shared" si="0"/>
        <v>#VALUE!</v>
      </c>
      <c r="C52" s="15" t="e">
        <f t="shared" si="1"/>
        <v>#VALUE!</v>
      </c>
      <c r="D52" s="15"/>
      <c r="E52" s="15" t="str">
        <f>IF(Table25[[#This Row],[Notes]]="","",LEFT(Table25[[#This Row],[Notes]],FIND(CHAR(10),Table25[[#This Row],[Notes]]&amp;CHAR(10))-1))</f>
        <v/>
      </c>
      <c r="F52" s="15" t="e">
        <f t="shared" si="2"/>
        <v>#VALUE!</v>
      </c>
      <c r="G52" s="20">
        <f t="shared" ca="1" si="3"/>
        <v>44510</v>
      </c>
      <c r="H52" s="15"/>
      <c r="I52" s="15"/>
      <c r="J52" s="21"/>
      <c r="K52" s="15"/>
      <c r="L52" s="15"/>
      <c r="M52" s="15"/>
      <c r="N52" s="15"/>
      <c r="O52" s="15"/>
      <c r="P52" s="15"/>
      <c r="Q52" s="15"/>
      <c r="R52" s="15"/>
      <c r="S52" s="15"/>
      <c r="T52" s="15"/>
      <c r="U52" s="15"/>
      <c r="V52" s="15"/>
      <c r="W52" s="15"/>
      <c r="X52" s="15"/>
      <c r="Y52" s="15"/>
      <c r="Z52" s="15"/>
      <c r="AA52" s="15"/>
      <c r="AB52" s="15"/>
    </row>
    <row r="53" spans="2:28" x14ac:dyDescent="0.25">
      <c r="B53" s="15" t="e">
        <f t="shared" si="0"/>
        <v>#VALUE!</v>
      </c>
      <c r="C53" s="15" t="e">
        <f t="shared" si="1"/>
        <v>#VALUE!</v>
      </c>
      <c r="D53" s="15"/>
      <c r="E53" s="15" t="str">
        <f>IF(Table25[[#This Row],[Notes]]="","",LEFT(Table25[[#This Row],[Notes]],FIND(CHAR(10),Table25[[#This Row],[Notes]]&amp;CHAR(10))-1))</f>
        <v/>
      </c>
      <c r="F53" s="15" t="e">
        <f t="shared" si="2"/>
        <v>#VALUE!</v>
      </c>
      <c r="G53" s="20">
        <f t="shared" ca="1" si="3"/>
        <v>44510</v>
      </c>
      <c r="H53" s="15"/>
      <c r="I53" s="15"/>
      <c r="J53" s="21"/>
      <c r="K53" s="15"/>
      <c r="L53" s="15"/>
      <c r="M53" s="15"/>
      <c r="N53" s="15"/>
      <c r="O53" s="15"/>
      <c r="P53" s="15"/>
      <c r="Q53" s="15"/>
      <c r="R53" s="15"/>
      <c r="S53" s="15"/>
      <c r="T53" s="15"/>
      <c r="U53" s="15"/>
      <c r="V53" s="15"/>
      <c r="W53" s="15"/>
      <c r="X53" s="15"/>
      <c r="Y53" s="15"/>
      <c r="Z53" s="15"/>
      <c r="AA53" s="15"/>
      <c r="AB53" s="15"/>
    </row>
    <row r="54" spans="2:28" x14ac:dyDescent="0.25">
      <c r="B54" s="15" t="e">
        <f t="shared" si="0"/>
        <v>#VALUE!</v>
      </c>
      <c r="C54" s="15" t="e">
        <f t="shared" si="1"/>
        <v>#VALUE!</v>
      </c>
      <c r="D54" s="15"/>
      <c r="E54" s="15" t="str">
        <f>IF(Table25[[#This Row],[Notes]]="","",LEFT(Table25[[#This Row],[Notes]],FIND(CHAR(10),Table25[[#This Row],[Notes]]&amp;CHAR(10))-1))</f>
        <v/>
      </c>
      <c r="F54" s="15" t="e">
        <f t="shared" si="2"/>
        <v>#VALUE!</v>
      </c>
      <c r="G54" s="20">
        <f t="shared" ca="1" si="3"/>
        <v>44510</v>
      </c>
      <c r="H54" s="15"/>
      <c r="I54" s="15"/>
      <c r="J54" s="21"/>
      <c r="K54" s="15"/>
      <c r="L54" s="15"/>
      <c r="M54" s="15"/>
      <c r="N54" s="15"/>
      <c r="O54" s="15"/>
      <c r="P54" s="15"/>
      <c r="Q54" s="15"/>
      <c r="R54" s="15"/>
      <c r="S54" s="15"/>
      <c r="T54" s="15"/>
      <c r="U54" s="15"/>
      <c r="V54" s="15"/>
      <c r="W54" s="15"/>
      <c r="X54" s="15"/>
      <c r="Y54" s="15"/>
      <c r="Z54" s="15"/>
      <c r="AA54" s="15"/>
      <c r="AB54" s="15"/>
    </row>
    <row r="55" spans="2:28" x14ac:dyDescent="0.25">
      <c r="B55" s="15" t="e">
        <f t="shared" si="0"/>
        <v>#VALUE!</v>
      </c>
      <c r="C55" s="15" t="e">
        <f t="shared" si="1"/>
        <v>#VALUE!</v>
      </c>
      <c r="D55" s="15"/>
      <c r="E55" s="15" t="str">
        <f>IF(Table25[[#This Row],[Notes]]="","",LEFT(Table25[[#This Row],[Notes]],FIND(CHAR(10),Table25[[#This Row],[Notes]]&amp;CHAR(10))-1))</f>
        <v/>
      </c>
      <c r="F55" s="15" t="e">
        <f t="shared" si="2"/>
        <v>#VALUE!</v>
      </c>
      <c r="G55" s="20">
        <f t="shared" ca="1" si="3"/>
        <v>44510</v>
      </c>
      <c r="H55" s="15"/>
      <c r="I55" s="15"/>
      <c r="J55" s="21"/>
      <c r="K55" s="15"/>
      <c r="L55" s="15"/>
      <c r="M55" s="15"/>
      <c r="N55" s="15"/>
      <c r="O55" s="15"/>
      <c r="P55" s="15"/>
      <c r="Q55" s="15"/>
      <c r="R55" s="15"/>
      <c r="S55" s="15"/>
      <c r="T55" s="15"/>
      <c r="U55" s="15"/>
      <c r="V55" s="15"/>
      <c r="W55" s="15"/>
      <c r="X55" s="15"/>
      <c r="Y55" s="15"/>
      <c r="Z55" s="15"/>
      <c r="AA55" s="15"/>
      <c r="AB55" s="15"/>
    </row>
    <row r="56" spans="2:28" x14ac:dyDescent="0.25">
      <c r="B56" s="15" t="e">
        <f t="shared" si="0"/>
        <v>#VALUE!</v>
      </c>
      <c r="C56" s="15" t="e">
        <f t="shared" si="1"/>
        <v>#VALUE!</v>
      </c>
      <c r="D56" s="15"/>
      <c r="E56" s="15" t="str">
        <f>IF(Table25[[#This Row],[Notes]]="","",LEFT(Table25[[#This Row],[Notes]],FIND(CHAR(10),Table25[[#This Row],[Notes]]&amp;CHAR(10))-1))</f>
        <v/>
      </c>
      <c r="F56" s="15" t="e">
        <f t="shared" si="2"/>
        <v>#VALUE!</v>
      </c>
      <c r="G56" s="20">
        <f t="shared" ca="1" si="3"/>
        <v>44510</v>
      </c>
      <c r="H56" s="15"/>
      <c r="I56" s="15"/>
      <c r="J56" s="21"/>
      <c r="K56" s="15"/>
      <c r="L56" s="15"/>
      <c r="M56" s="15"/>
      <c r="N56" s="15"/>
      <c r="O56" s="15"/>
      <c r="P56" s="15"/>
      <c r="Q56" s="15"/>
      <c r="R56" s="15"/>
      <c r="S56" s="15"/>
      <c r="T56" s="15"/>
      <c r="U56" s="15"/>
      <c r="V56" s="15"/>
      <c r="W56" s="15"/>
      <c r="X56" s="15"/>
      <c r="Y56" s="15"/>
      <c r="Z56" s="15"/>
      <c r="AA56" s="15"/>
      <c r="AB56" s="15"/>
    </row>
    <row r="57" spans="2:28" x14ac:dyDescent="0.25">
      <c r="B57" s="15" t="e">
        <f t="shared" si="0"/>
        <v>#VALUE!</v>
      </c>
      <c r="C57" s="15" t="e">
        <f t="shared" si="1"/>
        <v>#VALUE!</v>
      </c>
      <c r="D57" s="15"/>
      <c r="E57" s="15" t="str">
        <f>IF(Table25[[#This Row],[Notes]]="","",LEFT(Table25[[#This Row],[Notes]],FIND(CHAR(10),Table25[[#This Row],[Notes]]&amp;CHAR(10))-1))</f>
        <v/>
      </c>
      <c r="F57" s="15" t="e">
        <f t="shared" si="2"/>
        <v>#VALUE!</v>
      </c>
      <c r="G57" s="20">
        <f t="shared" ca="1" si="3"/>
        <v>44510</v>
      </c>
      <c r="H57" s="15"/>
      <c r="I57" s="15"/>
      <c r="J57" s="21"/>
      <c r="K57" s="15"/>
      <c r="L57" s="15"/>
      <c r="M57" s="15"/>
      <c r="N57" s="15"/>
      <c r="O57" s="15"/>
      <c r="P57" s="15"/>
      <c r="Q57" s="15"/>
      <c r="R57" s="15"/>
      <c r="S57" s="15"/>
      <c r="T57" s="15"/>
      <c r="U57" s="15"/>
      <c r="V57" s="15"/>
      <c r="W57" s="15"/>
      <c r="X57" s="15"/>
      <c r="Y57" s="15"/>
      <c r="Z57" s="15"/>
      <c r="AA57" s="15"/>
      <c r="AB57" s="15"/>
    </row>
    <row r="58" spans="2:28" x14ac:dyDescent="0.25">
      <c r="B58" s="15" t="e">
        <f t="shared" si="0"/>
        <v>#VALUE!</v>
      </c>
      <c r="C58" s="15" t="e">
        <f t="shared" si="1"/>
        <v>#VALUE!</v>
      </c>
      <c r="D58" s="15"/>
      <c r="E58" s="15" t="str">
        <f>IF(Table25[[#This Row],[Notes]]="","",LEFT(Table25[[#This Row],[Notes]],FIND(CHAR(10),Table25[[#This Row],[Notes]]&amp;CHAR(10))-1))</f>
        <v/>
      </c>
      <c r="F58" s="15" t="e">
        <f t="shared" si="2"/>
        <v>#VALUE!</v>
      </c>
      <c r="G58" s="20">
        <f t="shared" ca="1" si="3"/>
        <v>44510</v>
      </c>
      <c r="H58" s="15"/>
      <c r="I58" s="15"/>
      <c r="J58" s="21"/>
      <c r="K58" s="15"/>
      <c r="L58" s="15"/>
      <c r="M58" s="15"/>
      <c r="N58" s="15"/>
      <c r="O58" s="15"/>
      <c r="P58" s="15"/>
      <c r="Q58" s="15"/>
      <c r="R58" s="15"/>
      <c r="S58" s="15"/>
      <c r="T58" s="15"/>
      <c r="U58" s="15"/>
      <c r="V58" s="15"/>
      <c r="W58" s="15"/>
      <c r="X58" s="15"/>
      <c r="Y58" s="15"/>
      <c r="Z58" s="15"/>
      <c r="AA58" s="15"/>
      <c r="AB58" s="15"/>
    </row>
    <row r="59" spans="2:28" x14ac:dyDescent="0.25">
      <c r="B59" s="15" t="e">
        <f t="shared" si="0"/>
        <v>#VALUE!</v>
      </c>
      <c r="C59" s="15" t="e">
        <f t="shared" si="1"/>
        <v>#VALUE!</v>
      </c>
      <c r="D59" s="15"/>
      <c r="E59" s="15" t="str">
        <f>IF(Table25[[#This Row],[Notes]]="","",LEFT(Table25[[#This Row],[Notes]],FIND(CHAR(10),Table25[[#This Row],[Notes]]&amp;CHAR(10))-1))</f>
        <v/>
      </c>
      <c r="F59" s="15" t="e">
        <f t="shared" si="2"/>
        <v>#VALUE!</v>
      </c>
      <c r="G59" s="20">
        <f t="shared" ca="1" si="3"/>
        <v>44510</v>
      </c>
      <c r="H59" s="15"/>
      <c r="I59" s="15"/>
      <c r="J59" s="21"/>
      <c r="K59" s="15"/>
      <c r="L59" s="15"/>
      <c r="M59" s="15"/>
      <c r="N59" s="15"/>
      <c r="O59" s="15"/>
      <c r="P59" s="15"/>
      <c r="Q59" s="15"/>
      <c r="R59" s="15"/>
      <c r="S59" s="15"/>
      <c r="T59" s="15"/>
      <c r="U59" s="15"/>
      <c r="V59" s="15"/>
      <c r="W59" s="15"/>
      <c r="X59" s="15"/>
      <c r="Y59" s="15"/>
      <c r="Z59" s="15"/>
      <c r="AA59" s="15"/>
      <c r="AB59" s="15"/>
    </row>
    <row r="60" spans="2:28" x14ac:dyDescent="0.25">
      <c r="B60" s="15" t="e">
        <f t="shared" si="0"/>
        <v>#VALUE!</v>
      </c>
      <c r="C60" s="15" t="e">
        <f t="shared" si="1"/>
        <v>#VALUE!</v>
      </c>
      <c r="D60" s="15"/>
      <c r="E60" s="15" t="str">
        <f>IF(Table25[[#This Row],[Notes]]="","",LEFT(Table25[[#This Row],[Notes]],FIND(CHAR(10),Table25[[#This Row],[Notes]]&amp;CHAR(10))-1))</f>
        <v/>
      </c>
      <c r="F60" s="15" t="e">
        <f t="shared" si="2"/>
        <v>#VALUE!</v>
      </c>
      <c r="G60" s="20">
        <f t="shared" ca="1" si="3"/>
        <v>44510</v>
      </c>
      <c r="H60" s="15"/>
      <c r="I60" s="15"/>
      <c r="J60" s="21"/>
      <c r="K60" s="15"/>
      <c r="L60" s="15"/>
      <c r="M60" s="15"/>
      <c r="N60" s="15"/>
      <c r="O60" s="15"/>
      <c r="P60" s="15"/>
      <c r="Q60" s="15"/>
      <c r="R60" s="15"/>
      <c r="S60" s="15"/>
      <c r="T60" s="15"/>
      <c r="U60" s="15"/>
      <c r="V60" s="15"/>
      <c r="W60" s="15"/>
      <c r="X60" s="15"/>
      <c r="Y60" s="15"/>
      <c r="Z60" s="15"/>
      <c r="AA60" s="15"/>
      <c r="AB60" s="15"/>
    </row>
    <row r="61" spans="2:28" x14ac:dyDescent="0.25">
      <c r="B61" s="15" t="e">
        <f t="shared" si="0"/>
        <v>#VALUE!</v>
      </c>
      <c r="C61" s="15" t="e">
        <f t="shared" si="1"/>
        <v>#VALUE!</v>
      </c>
      <c r="D61" s="15"/>
      <c r="E61" s="15" t="str">
        <f>IF(Table25[[#This Row],[Notes]]="","",LEFT(Table25[[#This Row],[Notes]],FIND(CHAR(10),Table25[[#This Row],[Notes]]&amp;CHAR(10))-1))</f>
        <v/>
      </c>
      <c r="F61" s="15" t="e">
        <f t="shared" si="2"/>
        <v>#VALUE!</v>
      </c>
      <c r="G61" s="20">
        <f t="shared" ca="1" si="3"/>
        <v>44510</v>
      </c>
      <c r="H61" s="15"/>
      <c r="I61" s="15"/>
      <c r="J61" s="21"/>
      <c r="K61" s="15"/>
      <c r="L61" s="15"/>
      <c r="M61" s="15"/>
      <c r="N61" s="15"/>
      <c r="O61" s="15"/>
      <c r="P61" s="15"/>
      <c r="Q61" s="15"/>
      <c r="R61" s="15"/>
      <c r="S61" s="15"/>
      <c r="T61" s="15"/>
      <c r="U61" s="15"/>
      <c r="V61" s="15"/>
      <c r="W61" s="15"/>
      <c r="X61" s="15"/>
      <c r="Y61" s="15"/>
      <c r="Z61" s="15"/>
      <c r="AA61" s="15"/>
      <c r="AB61" s="15"/>
    </row>
    <row r="62" spans="2:28" x14ac:dyDescent="0.25">
      <c r="B62" s="15" t="e">
        <f t="shared" si="0"/>
        <v>#VALUE!</v>
      </c>
      <c r="C62" s="15" t="e">
        <f t="shared" si="1"/>
        <v>#VALUE!</v>
      </c>
      <c r="D62" s="15"/>
      <c r="E62" s="15" t="str">
        <f>IF(Table25[[#This Row],[Notes]]="","",LEFT(Table25[[#This Row],[Notes]],FIND(CHAR(10),Table25[[#This Row],[Notes]]&amp;CHAR(10))-1))</f>
        <v/>
      </c>
      <c r="F62" s="15" t="e">
        <f t="shared" si="2"/>
        <v>#VALUE!</v>
      </c>
      <c r="G62" s="20">
        <f t="shared" ca="1" si="3"/>
        <v>44510</v>
      </c>
      <c r="H62" s="15"/>
      <c r="I62" s="15"/>
      <c r="J62" s="21"/>
      <c r="K62" s="15"/>
      <c r="L62" s="15"/>
      <c r="M62" s="15"/>
      <c r="N62" s="15"/>
      <c r="O62" s="15"/>
      <c r="P62" s="15"/>
      <c r="Q62" s="15"/>
      <c r="R62" s="15"/>
      <c r="S62" s="15"/>
      <c r="T62" s="15"/>
      <c r="U62" s="15"/>
      <c r="V62" s="15"/>
      <c r="W62" s="15"/>
      <c r="X62" s="15"/>
      <c r="Y62" s="15"/>
      <c r="Z62" s="15"/>
      <c r="AA62" s="15"/>
      <c r="AB62" s="15"/>
    </row>
    <row r="63" spans="2:28" x14ac:dyDescent="0.25">
      <c r="B63" s="15" t="e">
        <f t="shared" si="0"/>
        <v>#VALUE!</v>
      </c>
      <c r="C63" s="15" t="e">
        <f t="shared" si="1"/>
        <v>#VALUE!</v>
      </c>
      <c r="D63" s="15"/>
      <c r="E63" s="15" t="str">
        <f>IF(Table25[[#This Row],[Notes]]="","",LEFT(Table25[[#This Row],[Notes]],FIND(CHAR(10),Table25[[#This Row],[Notes]]&amp;CHAR(10))-1))</f>
        <v/>
      </c>
      <c r="F63" s="15" t="e">
        <f t="shared" si="2"/>
        <v>#VALUE!</v>
      </c>
      <c r="G63" s="20">
        <f t="shared" ca="1" si="3"/>
        <v>44510</v>
      </c>
      <c r="H63" s="15"/>
      <c r="I63" s="15"/>
      <c r="J63" s="21"/>
      <c r="K63" s="15"/>
      <c r="L63" s="15"/>
      <c r="M63" s="15"/>
      <c r="N63" s="15"/>
      <c r="O63" s="15"/>
      <c r="P63" s="15"/>
      <c r="Q63" s="15"/>
      <c r="R63" s="15"/>
      <c r="S63" s="15"/>
      <c r="T63" s="15"/>
      <c r="U63" s="15"/>
      <c r="V63" s="15"/>
      <c r="W63" s="15"/>
      <c r="X63" s="15"/>
      <c r="Y63" s="15"/>
      <c r="Z63" s="15"/>
      <c r="AA63" s="15"/>
      <c r="AB63" s="15"/>
    </row>
    <row r="64" spans="2:28" x14ac:dyDescent="0.25">
      <c r="B64" s="15" t="e">
        <f t="shared" si="0"/>
        <v>#VALUE!</v>
      </c>
      <c r="C64" s="15" t="e">
        <f t="shared" si="1"/>
        <v>#VALUE!</v>
      </c>
      <c r="D64" s="15"/>
      <c r="E64" s="15" t="str">
        <f>IF(Table25[[#This Row],[Notes]]="","",LEFT(Table25[[#This Row],[Notes]],FIND(CHAR(10),Table25[[#This Row],[Notes]]&amp;CHAR(10))-1))</f>
        <v/>
      </c>
      <c r="F64" s="15" t="e">
        <f t="shared" si="2"/>
        <v>#VALUE!</v>
      </c>
      <c r="G64" s="20">
        <f t="shared" ca="1" si="3"/>
        <v>44510</v>
      </c>
      <c r="H64" s="15"/>
      <c r="I64" s="15"/>
      <c r="J64" s="21"/>
      <c r="K64" s="15"/>
      <c r="L64" s="15"/>
      <c r="M64" s="15"/>
      <c r="N64" s="15"/>
      <c r="O64" s="15"/>
      <c r="P64" s="15"/>
      <c r="Q64" s="15"/>
      <c r="R64" s="15"/>
      <c r="S64" s="15"/>
      <c r="T64" s="15"/>
      <c r="U64" s="15"/>
      <c r="V64" s="15"/>
      <c r="W64" s="15"/>
      <c r="X64" s="15"/>
      <c r="Y64" s="15"/>
      <c r="Z64" s="15"/>
      <c r="AA64" s="15"/>
      <c r="AB64" s="15"/>
    </row>
    <row r="65" spans="2:28" x14ac:dyDescent="0.25">
      <c r="B65" s="15" t="e">
        <f t="shared" si="0"/>
        <v>#VALUE!</v>
      </c>
      <c r="C65" s="15" t="e">
        <f t="shared" si="1"/>
        <v>#VALUE!</v>
      </c>
      <c r="D65" s="15"/>
      <c r="E65" s="15" t="str">
        <f>IF(Table25[[#This Row],[Notes]]="","",LEFT(Table25[[#This Row],[Notes]],FIND(CHAR(10),Table25[[#This Row],[Notes]]&amp;CHAR(10))-1))</f>
        <v/>
      </c>
      <c r="F65" s="15" t="e">
        <f t="shared" si="2"/>
        <v>#VALUE!</v>
      </c>
      <c r="G65" s="20">
        <f t="shared" ca="1" si="3"/>
        <v>44510</v>
      </c>
      <c r="H65" s="15"/>
      <c r="I65" s="15"/>
      <c r="J65" s="21"/>
      <c r="K65" s="15"/>
      <c r="L65" s="15"/>
      <c r="M65" s="15"/>
      <c r="N65" s="15"/>
      <c r="O65" s="15"/>
      <c r="P65" s="15"/>
      <c r="Q65" s="15"/>
      <c r="R65" s="15"/>
      <c r="S65" s="15"/>
      <c r="T65" s="15"/>
      <c r="U65" s="15"/>
      <c r="V65" s="15"/>
      <c r="W65" s="15"/>
      <c r="X65" s="15"/>
      <c r="Y65" s="15"/>
      <c r="Z65" s="15"/>
      <c r="AA65" s="15"/>
      <c r="AB65" s="15"/>
    </row>
    <row r="66" spans="2:28" x14ac:dyDescent="0.25">
      <c r="B66" s="15" t="e">
        <f t="shared" ref="B66:B129" si="4" xml:space="preserve"> MID(A66,SEARCH(":",A66)+2,SEARCH(":",A66,SEARCH(":",A66)+1)-SEARCH(":",A66)-3)</f>
        <v>#VALUE!</v>
      </c>
      <c r="C66" s="15" t="e">
        <f t="shared" ref="C66:C129" si="5">"partner:"&amp;MID(A66,SEARCH(":",A66)+1,SEARCH(":",A66,SEARCH(":",A66)+1)-SEARCH(":",A66)-1)</f>
        <v>#VALUE!</v>
      </c>
      <c r="D66" s="15"/>
      <c r="E66" s="15" t="str">
        <f>IF(Table25[[#This Row],[Notes]]="","",LEFT(Table25[[#This Row],[Notes]],FIND(CHAR(10),Table25[[#This Row],[Notes]]&amp;CHAR(10))-1))</f>
        <v/>
      </c>
      <c r="F66" s="15" t="e">
        <f t="shared" ref="F66:F129" si="6">DATEVALUE(SUBSTITUTE(LEFT(E66,SEARCH(" ",E66)-1),".","/"))</f>
        <v>#VALUE!</v>
      </c>
      <c r="G66" s="20">
        <f t="shared" ref="G66:G129" ca="1" si="7">IF(ISERROR(F66),TODAY(),F66)</f>
        <v>44510</v>
      </c>
      <c r="H66" s="15"/>
      <c r="I66" s="15"/>
      <c r="J66" s="21"/>
      <c r="K66" s="15"/>
      <c r="L66" s="15"/>
      <c r="M66" s="15"/>
      <c r="N66" s="15"/>
      <c r="O66" s="15"/>
      <c r="P66" s="15"/>
      <c r="Q66" s="15"/>
      <c r="R66" s="15"/>
      <c r="S66" s="15"/>
      <c r="T66" s="15"/>
      <c r="U66" s="15"/>
      <c r="V66" s="15"/>
      <c r="W66" s="15"/>
      <c r="X66" s="15"/>
      <c r="Y66" s="15"/>
      <c r="Z66" s="15"/>
      <c r="AA66" s="15"/>
      <c r="AB66" s="15"/>
    </row>
    <row r="67" spans="2:28" x14ac:dyDescent="0.25">
      <c r="B67" s="15" t="e">
        <f t="shared" si="4"/>
        <v>#VALUE!</v>
      </c>
      <c r="C67" s="15" t="e">
        <f t="shared" si="5"/>
        <v>#VALUE!</v>
      </c>
      <c r="D67" s="15"/>
      <c r="E67" s="15" t="str">
        <f>IF(Table25[[#This Row],[Notes]]="","",LEFT(Table25[[#This Row],[Notes]],FIND(CHAR(10),Table25[[#This Row],[Notes]]&amp;CHAR(10))-1))</f>
        <v/>
      </c>
      <c r="F67" s="15" t="e">
        <f t="shared" si="6"/>
        <v>#VALUE!</v>
      </c>
      <c r="G67" s="20">
        <f t="shared" ca="1" si="7"/>
        <v>44510</v>
      </c>
      <c r="H67" s="15"/>
      <c r="I67" s="15"/>
      <c r="J67" s="21"/>
      <c r="K67" s="15"/>
      <c r="L67" s="15"/>
      <c r="M67" s="15"/>
      <c r="N67" s="15"/>
      <c r="O67" s="15"/>
      <c r="P67" s="15"/>
      <c r="Q67" s="15"/>
      <c r="R67" s="15"/>
      <c r="S67" s="15"/>
      <c r="T67" s="15"/>
      <c r="U67" s="15"/>
      <c r="V67" s="15"/>
      <c r="W67" s="15"/>
      <c r="X67" s="15"/>
      <c r="Y67" s="15"/>
      <c r="Z67" s="15"/>
      <c r="AA67" s="15"/>
      <c r="AB67" s="15"/>
    </row>
    <row r="68" spans="2:28" x14ac:dyDescent="0.25">
      <c r="B68" s="15" t="e">
        <f t="shared" si="4"/>
        <v>#VALUE!</v>
      </c>
      <c r="C68" s="15" t="e">
        <f t="shared" si="5"/>
        <v>#VALUE!</v>
      </c>
      <c r="D68" s="15"/>
      <c r="E68" s="15" t="str">
        <f>IF(Table25[[#This Row],[Notes]]="","",LEFT(Table25[[#This Row],[Notes]],FIND(CHAR(10),Table25[[#This Row],[Notes]]&amp;CHAR(10))-1))</f>
        <v/>
      </c>
      <c r="F68" s="15" t="e">
        <f t="shared" si="6"/>
        <v>#VALUE!</v>
      </c>
      <c r="G68" s="20">
        <f t="shared" ca="1" si="7"/>
        <v>44510</v>
      </c>
      <c r="H68" s="15"/>
      <c r="I68" s="15"/>
      <c r="J68" s="21"/>
      <c r="K68" s="15"/>
      <c r="L68" s="15"/>
      <c r="M68" s="15"/>
      <c r="N68" s="15"/>
      <c r="O68" s="15"/>
      <c r="P68" s="15"/>
      <c r="Q68" s="15"/>
      <c r="R68" s="15"/>
      <c r="S68" s="15"/>
      <c r="T68" s="15"/>
      <c r="U68" s="15"/>
      <c r="V68" s="15"/>
      <c r="W68" s="15"/>
      <c r="X68" s="15"/>
      <c r="Y68" s="15"/>
      <c r="Z68" s="15"/>
      <c r="AA68" s="15"/>
      <c r="AB68" s="15"/>
    </row>
    <row r="69" spans="2:28" x14ac:dyDescent="0.25">
      <c r="B69" s="15" t="e">
        <f t="shared" si="4"/>
        <v>#VALUE!</v>
      </c>
      <c r="C69" s="15" t="e">
        <f t="shared" si="5"/>
        <v>#VALUE!</v>
      </c>
      <c r="D69" s="15"/>
      <c r="E69" s="15" t="str">
        <f>IF(Table25[[#This Row],[Notes]]="","",LEFT(Table25[[#This Row],[Notes]],FIND(CHAR(10),Table25[[#This Row],[Notes]]&amp;CHAR(10))-1))</f>
        <v/>
      </c>
      <c r="F69" s="15" t="e">
        <f t="shared" si="6"/>
        <v>#VALUE!</v>
      </c>
      <c r="G69" s="20">
        <f t="shared" ca="1" si="7"/>
        <v>44510</v>
      </c>
      <c r="H69" s="15"/>
      <c r="I69" s="15"/>
      <c r="J69" s="21"/>
      <c r="K69" s="15"/>
      <c r="L69" s="15"/>
      <c r="M69" s="15"/>
      <c r="N69" s="15"/>
      <c r="O69" s="15"/>
      <c r="P69" s="15"/>
      <c r="Q69" s="15"/>
      <c r="R69" s="15"/>
      <c r="S69" s="15"/>
      <c r="T69" s="15"/>
      <c r="U69" s="15"/>
      <c r="V69" s="15"/>
      <c r="W69" s="15"/>
      <c r="X69" s="15"/>
      <c r="Y69" s="15"/>
      <c r="Z69" s="15"/>
      <c r="AA69" s="15"/>
      <c r="AB69" s="15"/>
    </row>
    <row r="70" spans="2:28" x14ac:dyDescent="0.25">
      <c r="B70" s="15" t="e">
        <f t="shared" si="4"/>
        <v>#VALUE!</v>
      </c>
      <c r="C70" s="15" t="e">
        <f t="shared" si="5"/>
        <v>#VALUE!</v>
      </c>
      <c r="D70" s="15"/>
      <c r="E70" s="15" t="str">
        <f>IF(Table25[[#This Row],[Notes]]="","",LEFT(Table25[[#This Row],[Notes]],FIND(CHAR(10),Table25[[#This Row],[Notes]]&amp;CHAR(10))-1))</f>
        <v/>
      </c>
      <c r="F70" s="15" t="e">
        <f t="shared" si="6"/>
        <v>#VALUE!</v>
      </c>
      <c r="G70" s="20">
        <f t="shared" ca="1" si="7"/>
        <v>44510</v>
      </c>
      <c r="H70" s="15"/>
      <c r="I70" s="15"/>
      <c r="J70" s="21"/>
      <c r="K70" s="15"/>
      <c r="L70" s="15"/>
      <c r="M70" s="15"/>
      <c r="N70" s="15"/>
      <c r="O70" s="15"/>
      <c r="P70" s="15"/>
      <c r="Q70" s="15"/>
      <c r="R70" s="15"/>
      <c r="S70" s="15"/>
      <c r="T70" s="15"/>
      <c r="U70" s="15"/>
      <c r="V70" s="15"/>
      <c r="W70" s="15"/>
      <c r="X70" s="15"/>
      <c r="Y70" s="15"/>
      <c r="Z70" s="15"/>
      <c r="AA70" s="15"/>
      <c r="AB70" s="15"/>
    </row>
    <row r="71" spans="2:28" x14ac:dyDescent="0.25">
      <c r="B71" s="15" t="e">
        <f t="shared" si="4"/>
        <v>#VALUE!</v>
      </c>
      <c r="C71" s="15" t="e">
        <f t="shared" si="5"/>
        <v>#VALUE!</v>
      </c>
      <c r="D71" s="15"/>
      <c r="E71" s="15" t="str">
        <f>IF(Table25[[#This Row],[Notes]]="","",LEFT(Table25[[#This Row],[Notes]],FIND(CHAR(10),Table25[[#This Row],[Notes]]&amp;CHAR(10))-1))</f>
        <v/>
      </c>
      <c r="F71" s="15" t="e">
        <f t="shared" si="6"/>
        <v>#VALUE!</v>
      </c>
      <c r="G71" s="20">
        <f t="shared" ca="1" si="7"/>
        <v>44510</v>
      </c>
      <c r="H71" s="15"/>
      <c r="I71" s="15"/>
      <c r="J71" s="21"/>
      <c r="K71" s="15"/>
      <c r="L71" s="15"/>
      <c r="M71" s="15"/>
      <c r="N71" s="15"/>
      <c r="O71" s="15"/>
      <c r="P71" s="15"/>
      <c r="Q71" s="15"/>
      <c r="R71" s="15"/>
      <c r="S71" s="15"/>
      <c r="T71" s="15"/>
      <c r="U71" s="15"/>
      <c r="V71" s="15"/>
      <c r="W71" s="15"/>
      <c r="X71" s="15"/>
      <c r="Y71" s="15"/>
      <c r="Z71" s="15"/>
      <c r="AA71" s="15"/>
      <c r="AB71" s="15"/>
    </row>
    <row r="72" spans="2:28" x14ac:dyDescent="0.25">
      <c r="B72" s="15" t="e">
        <f t="shared" si="4"/>
        <v>#VALUE!</v>
      </c>
      <c r="C72" s="15" t="e">
        <f t="shared" si="5"/>
        <v>#VALUE!</v>
      </c>
      <c r="D72" s="15"/>
      <c r="E72" s="15" t="str">
        <f>IF(Table25[[#This Row],[Notes]]="","",LEFT(Table25[[#This Row],[Notes]],FIND(CHAR(10),Table25[[#This Row],[Notes]]&amp;CHAR(10))-1))</f>
        <v/>
      </c>
      <c r="F72" s="15" t="e">
        <f t="shared" si="6"/>
        <v>#VALUE!</v>
      </c>
      <c r="G72" s="20">
        <f t="shared" ca="1" si="7"/>
        <v>44510</v>
      </c>
      <c r="H72" s="15"/>
      <c r="I72" s="15"/>
      <c r="J72" s="21"/>
      <c r="K72" s="15"/>
      <c r="L72" s="15"/>
      <c r="M72" s="15"/>
      <c r="N72" s="15"/>
      <c r="O72" s="15"/>
      <c r="P72" s="15"/>
      <c r="Q72" s="15"/>
      <c r="R72" s="15"/>
      <c r="S72" s="15"/>
      <c r="T72" s="15"/>
      <c r="U72" s="15"/>
      <c r="V72" s="15"/>
      <c r="W72" s="15"/>
      <c r="X72" s="15"/>
      <c r="Y72" s="15"/>
      <c r="Z72" s="15"/>
      <c r="AA72" s="15"/>
      <c r="AB72" s="15"/>
    </row>
    <row r="73" spans="2:28" x14ac:dyDescent="0.25">
      <c r="B73" s="15" t="e">
        <f t="shared" si="4"/>
        <v>#VALUE!</v>
      </c>
      <c r="C73" s="15" t="e">
        <f t="shared" si="5"/>
        <v>#VALUE!</v>
      </c>
      <c r="D73" s="15"/>
      <c r="E73" s="15" t="str">
        <f>IF(Table25[[#This Row],[Notes]]="","",LEFT(Table25[[#This Row],[Notes]],FIND(CHAR(10),Table25[[#This Row],[Notes]]&amp;CHAR(10))-1))</f>
        <v/>
      </c>
      <c r="F73" s="15" t="e">
        <f t="shared" si="6"/>
        <v>#VALUE!</v>
      </c>
      <c r="G73" s="20">
        <f t="shared" ca="1" si="7"/>
        <v>44510</v>
      </c>
      <c r="H73" s="15"/>
      <c r="I73" s="15"/>
      <c r="J73" s="21"/>
      <c r="K73" s="15"/>
      <c r="L73" s="15"/>
      <c r="M73" s="15"/>
      <c r="N73" s="15"/>
      <c r="O73" s="15"/>
      <c r="P73" s="15"/>
      <c r="Q73" s="15"/>
      <c r="R73" s="15"/>
      <c r="S73" s="15"/>
      <c r="T73" s="15"/>
      <c r="U73" s="15"/>
      <c r="V73" s="15"/>
      <c r="W73" s="15"/>
      <c r="X73" s="15"/>
      <c r="Y73" s="15"/>
      <c r="Z73" s="15"/>
      <c r="AA73" s="15"/>
      <c r="AB73" s="15"/>
    </row>
    <row r="74" spans="2:28" x14ac:dyDescent="0.25">
      <c r="B74" s="15" t="e">
        <f t="shared" si="4"/>
        <v>#VALUE!</v>
      </c>
      <c r="C74" s="15" t="e">
        <f t="shared" si="5"/>
        <v>#VALUE!</v>
      </c>
      <c r="D74" s="15"/>
      <c r="E74" s="15" t="str">
        <f>IF(Table25[[#This Row],[Notes]]="","",LEFT(Table25[[#This Row],[Notes]],FIND(CHAR(10),Table25[[#This Row],[Notes]]&amp;CHAR(10))-1))</f>
        <v/>
      </c>
      <c r="F74" s="15" t="e">
        <f t="shared" si="6"/>
        <v>#VALUE!</v>
      </c>
      <c r="G74" s="20">
        <f t="shared" ca="1" si="7"/>
        <v>44510</v>
      </c>
      <c r="H74" s="15"/>
      <c r="I74" s="15"/>
      <c r="J74" s="21"/>
      <c r="K74" s="15"/>
      <c r="L74" s="15"/>
      <c r="M74" s="15"/>
      <c r="N74" s="15"/>
      <c r="O74" s="15"/>
      <c r="P74" s="15"/>
      <c r="Q74" s="15"/>
      <c r="R74" s="15"/>
      <c r="S74" s="15"/>
      <c r="T74" s="15"/>
      <c r="U74" s="15"/>
      <c r="V74" s="15"/>
      <c r="W74" s="15"/>
      <c r="X74" s="15"/>
      <c r="Y74" s="15"/>
      <c r="Z74" s="15"/>
      <c r="AA74" s="15"/>
      <c r="AB74" s="15"/>
    </row>
    <row r="75" spans="2:28" x14ac:dyDescent="0.25">
      <c r="B75" s="15" t="e">
        <f t="shared" si="4"/>
        <v>#VALUE!</v>
      </c>
      <c r="C75" s="15" t="e">
        <f t="shared" si="5"/>
        <v>#VALUE!</v>
      </c>
      <c r="D75" s="15"/>
      <c r="E75" s="15" t="str">
        <f>IF(Table25[[#This Row],[Notes]]="","",LEFT(Table25[[#This Row],[Notes]],FIND(CHAR(10),Table25[[#This Row],[Notes]]&amp;CHAR(10))-1))</f>
        <v/>
      </c>
      <c r="F75" s="15" t="e">
        <f t="shared" si="6"/>
        <v>#VALUE!</v>
      </c>
      <c r="G75" s="20">
        <f t="shared" ca="1" si="7"/>
        <v>44510</v>
      </c>
      <c r="H75" s="15"/>
      <c r="I75" s="15"/>
      <c r="J75" s="21"/>
      <c r="K75" s="15"/>
      <c r="L75" s="15"/>
      <c r="M75" s="15"/>
      <c r="N75" s="15"/>
      <c r="O75" s="15"/>
      <c r="P75" s="15"/>
      <c r="Q75" s="15"/>
      <c r="R75" s="15"/>
      <c r="S75" s="15"/>
      <c r="T75" s="15"/>
      <c r="U75" s="15"/>
      <c r="V75" s="15"/>
      <c r="W75" s="15"/>
      <c r="X75" s="15"/>
      <c r="Y75" s="15"/>
      <c r="Z75" s="15"/>
      <c r="AA75" s="15"/>
      <c r="AB75" s="15"/>
    </row>
    <row r="76" spans="2:28" x14ac:dyDescent="0.25">
      <c r="B76" s="15" t="e">
        <f t="shared" si="4"/>
        <v>#VALUE!</v>
      </c>
      <c r="C76" s="15" t="e">
        <f t="shared" si="5"/>
        <v>#VALUE!</v>
      </c>
      <c r="D76" s="15"/>
      <c r="E76" s="15" t="str">
        <f>IF(Table25[[#This Row],[Notes]]="","",LEFT(Table25[[#This Row],[Notes]],FIND(CHAR(10),Table25[[#This Row],[Notes]]&amp;CHAR(10))-1))</f>
        <v/>
      </c>
      <c r="F76" s="15" t="e">
        <f t="shared" si="6"/>
        <v>#VALUE!</v>
      </c>
      <c r="G76" s="20">
        <f t="shared" ca="1" si="7"/>
        <v>44510</v>
      </c>
      <c r="H76" s="15"/>
      <c r="I76" s="15"/>
      <c r="J76" s="21"/>
      <c r="K76" s="15"/>
      <c r="L76" s="15"/>
      <c r="M76" s="15"/>
      <c r="N76" s="15"/>
      <c r="O76" s="15"/>
      <c r="P76" s="15"/>
      <c r="Q76" s="15"/>
      <c r="R76" s="15"/>
      <c r="S76" s="15"/>
      <c r="T76" s="15"/>
      <c r="U76" s="15"/>
      <c r="V76" s="15"/>
      <c r="W76" s="15"/>
      <c r="X76" s="15"/>
      <c r="Y76" s="15"/>
      <c r="Z76" s="15"/>
      <c r="AA76" s="15"/>
      <c r="AB76" s="15"/>
    </row>
    <row r="77" spans="2:28" x14ac:dyDescent="0.25">
      <c r="B77" s="15" t="e">
        <f t="shared" si="4"/>
        <v>#VALUE!</v>
      </c>
      <c r="C77" s="15" t="e">
        <f t="shared" si="5"/>
        <v>#VALUE!</v>
      </c>
      <c r="D77" s="15"/>
      <c r="E77" s="15" t="str">
        <f>IF(Table25[[#This Row],[Notes]]="","",LEFT(Table25[[#This Row],[Notes]],FIND(CHAR(10),Table25[[#This Row],[Notes]]&amp;CHAR(10))-1))</f>
        <v/>
      </c>
      <c r="F77" s="15" t="e">
        <f t="shared" si="6"/>
        <v>#VALUE!</v>
      </c>
      <c r="G77" s="20">
        <f t="shared" ca="1" si="7"/>
        <v>44510</v>
      </c>
      <c r="H77" s="15"/>
      <c r="I77" s="15"/>
      <c r="J77" s="21"/>
      <c r="K77" s="15"/>
      <c r="L77" s="15"/>
      <c r="M77" s="15"/>
      <c r="N77" s="15"/>
      <c r="O77" s="15"/>
      <c r="P77" s="15"/>
      <c r="Q77" s="15"/>
      <c r="R77" s="15"/>
      <c r="S77" s="15"/>
      <c r="T77" s="15"/>
      <c r="U77" s="15"/>
      <c r="V77" s="15"/>
      <c r="W77" s="15"/>
      <c r="X77" s="15"/>
      <c r="Y77" s="15"/>
      <c r="Z77" s="15"/>
      <c r="AA77" s="15"/>
      <c r="AB77" s="15"/>
    </row>
    <row r="78" spans="2:28" x14ac:dyDescent="0.25">
      <c r="B78" s="15" t="e">
        <f t="shared" si="4"/>
        <v>#VALUE!</v>
      </c>
      <c r="C78" s="15" t="e">
        <f t="shared" si="5"/>
        <v>#VALUE!</v>
      </c>
      <c r="D78" s="15"/>
      <c r="E78" s="15" t="str">
        <f>IF(Table25[[#This Row],[Notes]]="","",LEFT(Table25[[#This Row],[Notes]],FIND(CHAR(10),Table25[[#This Row],[Notes]]&amp;CHAR(10))-1))</f>
        <v/>
      </c>
      <c r="F78" s="15" t="e">
        <f t="shared" si="6"/>
        <v>#VALUE!</v>
      </c>
      <c r="G78" s="20">
        <f t="shared" ca="1" si="7"/>
        <v>44510</v>
      </c>
      <c r="H78" s="15"/>
      <c r="I78" s="15"/>
      <c r="J78" s="21"/>
      <c r="K78" s="15"/>
      <c r="L78" s="15"/>
      <c r="M78" s="15"/>
      <c r="N78" s="15"/>
      <c r="O78" s="15"/>
      <c r="P78" s="15"/>
      <c r="Q78" s="15"/>
      <c r="R78" s="15"/>
      <c r="S78" s="15"/>
      <c r="T78" s="15"/>
      <c r="U78" s="15"/>
      <c r="V78" s="15"/>
      <c r="W78" s="15"/>
      <c r="X78" s="15"/>
      <c r="Y78" s="15"/>
      <c r="Z78" s="15"/>
      <c r="AA78" s="15"/>
      <c r="AB78" s="15"/>
    </row>
    <row r="79" spans="2:28" x14ac:dyDescent="0.25">
      <c r="B79" s="15" t="e">
        <f t="shared" si="4"/>
        <v>#VALUE!</v>
      </c>
      <c r="C79" s="15" t="e">
        <f t="shared" si="5"/>
        <v>#VALUE!</v>
      </c>
      <c r="D79" s="15"/>
      <c r="E79" s="15" t="str">
        <f>IF(Table25[[#This Row],[Notes]]="","",LEFT(Table25[[#This Row],[Notes]],FIND(CHAR(10),Table25[[#This Row],[Notes]]&amp;CHAR(10))-1))</f>
        <v/>
      </c>
      <c r="F79" s="15" t="e">
        <f t="shared" si="6"/>
        <v>#VALUE!</v>
      </c>
      <c r="G79" s="20">
        <f t="shared" ca="1" si="7"/>
        <v>44510</v>
      </c>
      <c r="H79" s="15"/>
      <c r="I79" s="15"/>
      <c r="J79" s="21"/>
      <c r="K79" s="15"/>
      <c r="L79" s="15"/>
      <c r="M79" s="15"/>
      <c r="N79" s="15"/>
      <c r="O79" s="15"/>
      <c r="P79" s="15"/>
      <c r="Q79" s="15"/>
      <c r="R79" s="15"/>
      <c r="S79" s="15"/>
      <c r="T79" s="15"/>
      <c r="U79" s="15"/>
      <c r="V79" s="15"/>
      <c r="W79" s="15"/>
      <c r="X79" s="15"/>
      <c r="Y79" s="15"/>
      <c r="Z79" s="15"/>
      <c r="AA79" s="15"/>
      <c r="AB79" s="15"/>
    </row>
    <row r="80" spans="2:28" x14ac:dyDescent="0.25">
      <c r="B80" s="15" t="e">
        <f t="shared" si="4"/>
        <v>#VALUE!</v>
      </c>
      <c r="C80" s="15" t="e">
        <f t="shared" si="5"/>
        <v>#VALUE!</v>
      </c>
      <c r="D80" s="15"/>
      <c r="E80" s="15" t="str">
        <f>IF(Table25[[#This Row],[Notes]]="","",LEFT(Table25[[#This Row],[Notes]],FIND(CHAR(10),Table25[[#This Row],[Notes]]&amp;CHAR(10))-1))</f>
        <v/>
      </c>
      <c r="F80" s="15" t="e">
        <f t="shared" si="6"/>
        <v>#VALUE!</v>
      </c>
      <c r="G80" s="20">
        <f t="shared" ca="1" si="7"/>
        <v>44510</v>
      </c>
      <c r="H80" s="15"/>
      <c r="I80" s="15"/>
      <c r="J80" s="21"/>
      <c r="K80" s="15"/>
      <c r="L80" s="15"/>
      <c r="M80" s="15"/>
      <c r="N80" s="15"/>
      <c r="O80" s="15"/>
      <c r="P80" s="15"/>
      <c r="Q80" s="15"/>
      <c r="R80" s="15"/>
      <c r="S80" s="15"/>
      <c r="T80" s="15"/>
      <c r="U80" s="15"/>
      <c r="V80" s="15"/>
      <c r="W80" s="15"/>
      <c r="X80" s="15"/>
      <c r="Y80" s="15"/>
      <c r="Z80" s="15"/>
      <c r="AA80" s="15"/>
      <c r="AB80" s="15"/>
    </row>
    <row r="81" spans="2:28" x14ac:dyDescent="0.25">
      <c r="B81" s="15" t="e">
        <f t="shared" si="4"/>
        <v>#VALUE!</v>
      </c>
      <c r="C81" s="15" t="e">
        <f t="shared" si="5"/>
        <v>#VALUE!</v>
      </c>
      <c r="D81" s="15"/>
      <c r="E81" s="15" t="str">
        <f>IF(Table25[[#This Row],[Notes]]="","",LEFT(Table25[[#This Row],[Notes]],FIND(CHAR(10),Table25[[#This Row],[Notes]]&amp;CHAR(10))-1))</f>
        <v/>
      </c>
      <c r="F81" s="15" t="e">
        <f t="shared" si="6"/>
        <v>#VALUE!</v>
      </c>
      <c r="G81" s="20">
        <f t="shared" ca="1" si="7"/>
        <v>44510</v>
      </c>
      <c r="H81" s="15"/>
      <c r="I81" s="15"/>
      <c r="J81" s="21"/>
      <c r="K81" s="15"/>
      <c r="L81" s="15"/>
      <c r="M81" s="15"/>
      <c r="N81" s="15"/>
      <c r="O81" s="15"/>
      <c r="P81" s="15"/>
      <c r="Q81" s="15"/>
      <c r="R81" s="15"/>
      <c r="S81" s="15"/>
      <c r="T81" s="15"/>
      <c r="U81" s="15"/>
      <c r="V81" s="15"/>
      <c r="W81" s="15"/>
      <c r="X81" s="15"/>
      <c r="Y81" s="15"/>
      <c r="Z81" s="15"/>
      <c r="AA81" s="15"/>
      <c r="AB81" s="15"/>
    </row>
    <row r="82" spans="2:28" x14ac:dyDescent="0.25">
      <c r="B82" s="15" t="e">
        <f t="shared" si="4"/>
        <v>#VALUE!</v>
      </c>
      <c r="C82" s="15" t="e">
        <f t="shared" si="5"/>
        <v>#VALUE!</v>
      </c>
      <c r="D82" s="15"/>
      <c r="E82" s="15" t="str">
        <f>IF(Table25[[#This Row],[Notes]]="","",LEFT(Table25[[#This Row],[Notes]],FIND(CHAR(10),Table25[[#This Row],[Notes]]&amp;CHAR(10))-1))</f>
        <v/>
      </c>
      <c r="F82" s="15" t="e">
        <f t="shared" si="6"/>
        <v>#VALUE!</v>
      </c>
      <c r="G82" s="20">
        <f t="shared" ca="1" si="7"/>
        <v>44510</v>
      </c>
      <c r="H82" s="15"/>
      <c r="I82" s="15"/>
      <c r="J82" s="21"/>
      <c r="K82" s="15"/>
      <c r="L82" s="15"/>
      <c r="M82" s="15"/>
      <c r="N82" s="15"/>
      <c r="O82" s="15"/>
      <c r="P82" s="15"/>
      <c r="Q82" s="15"/>
      <c r="R82" s="15"/>
      <c r="S82" s="15"/>
      <c r="T82" s="15"/>
      <c r="U82" s="15"/>
      <c r="V82" s="15"/>
      <c r="W82" s="15"/>
      <c r="X82" s="15"/>
      <c r="Y82" s="15"/>
      <c r="Z82" s="15"/>
      <c r="AA82" s="15"/>
      <c r="AB82" s="15"/>
    </row>
    <row r="83" spans="2:28" x14ac:dyDescent="0.25">
      <c r="B83" s="15" t="e">
        <f t="shared" si="4"/>
        <v>#VALUE!</v>
      </c>
      <c r="C83" s="15" t="e">
        <f t="shared" si="5"/>
        <v>#VALUE!</v>
      </c>
      <c r="D83" s="15"/>
      <c r="E83" s="15" t="str">
        <f>IF(Table25[[#This Row],[Notes]]="","",LEFT(Table25[[#This Row],[Notes]],FIND(CHAR(10),Table25[[#This Row],[Notes]]&amp;CHAR(10))-1))</f>
        <v/>
      </c>
      <c r="F83" s="15" t="e">
        <f t="shared" si="6"/>
        <v>#VALUE!</v>
      </c>
      <c r="G83" s="20">
        <f t="shared" ca="1" si="7"/>
        <v>44510</v>
      </c>
      <c r="H83" s="15"/>
      <c r="I83" s="15"/>
      <c r="J83" s="21"/>
      <c r="K83" s="15"/>
      <c r="L83" s="15"/>
      <c r="M83" s="15"/>
      <c r="N83" s="15"/>
      <c r="O83" s="15"/>
      <c r="P83" s="15"/>
      <c r="Q83" s="15"/>
      <c r="R83" s="15"/>
      <c r="S83" s="15"/>
      <c r="T83" s="15"/>
      <c r="U83" s="15"/>
      <c r="V83" s="15"/>
      <c r="W83" s="15"/>
      <c r="X83" s="15"/>
      <c r="Y83" s="15"/>
      <c r="Z83" s="15"/>
      <c r="AA83" s="15"/>
      <c r="AB83" s="15"/>
    </row>
    <row r="84" spans="2:28" x14ac:dyDescent="0.25">
      <c r="B84" s="15" t="e">
        <f t="shared" si="4"/>
        <v>#VALUE!</v>
      </c>
      <c r="C84" s="15" t="e">
        <f t="shared" si="5"/>
        <v>#VALUE!</v>
      </c>
      <c r="D84" s="15"/>
      <c r="E84" s="15" t="str">
        <f>IF(Table25[[#This Row],[Notes]]="","",LEFT(Table25[[#This Row],[Notes]],FIND(CHAR(10),Table25[[#This Row],[Notes]]&amp;CHAR(10))-1))</f>
        <v/>
      </c>
      <c r="F84" s="15" t="e">
        <f t="shared" si="6"/>
        <v>#VALUE!</v>
      </c>
      <c r="G84" s="20">
        <f t="shared" ca="1" si="7"/>
        <v>44510</v>
      </c>
      <c r="H84" s="15"/>
      <c r="I84" s="15"/>
      <c r="J84" s="21"/>
      <c r="K84" s="15"/>
      <c r="L84" s="15"/>
      <c r="M84" s="15"/>
      <c r="N84" s="15"/>
      <c r="O84" s="15"/>
      <c r="P84" s="15"/>
      <c r="Q84" s="15"/>
      <c r="R84" s="15"/>
      <c r="S84" s="15"/>
      <c r="T84" s="15"/>
      <c r="U84" s="15"/>
      <c r="V84" s="15"/>
      <c r="W84" s="15"/>
      <c r="X84" s="15"/>
      <c r="Y84" s="15"/>
      <c r="Z84" s="15"/>
      <c r="AA84" s="15"/>
      <c r="AB84" s="15"/>
    </row>
    <row r="85" spans="2:28" x14ac:dyDescent="0.25">
      <c r="B85" s="15" t="e">
        <f t="shared" si="4"/>
        <v>#VALUE!</v>
      </c>
      <c r="C85" s="15" t="e">
        <f t="shared" si="5"/>
        <v>#VALUE!</v>
      </c>
      <c r="D85" s="15"/>
      <c r="E85" s="15" t="str">
        <f>IF(Table25[[#This Row],[Notes]]="","",LEFT(Table25[[#This Row],[Notes]],FIND(CHAR(10),Table25[[#This Row],[Notes]]&amp;CHAR(10))-1))</f>
        <v/>
      </c>
      <c r="F85" s="15" t="e">
        <f t="shared" si="6"/>
        <v>#VALUE!</v>
      </c>
      <c r="G85" s="20">
        <f t="shared" ca="1" si="7"/>
        <v>44510</v>
      </c>
      <c r="H85" s="15"/>
      <c r="I85" s="15"/>
      <c r="J85" s="21"/>
      <c r="K85" s="15"/>
      <c r="L85" s="15"/>
      <c r="M85" s="15"/>
      <c r="N85" s="15"/>
      <c r="O85" s="15"/>
      <c r="P85" s="15"/>
      <c r="Q85" s="15"/>
      <c r="R85" s="15"/>
      <c r="S85" s="15"/>
      <c r="T85" s="15"/>
      <c r="U85" s="15"/>
      <c r="V85" s="15"/>
      <c r="W85" s="15"/>
      <c r="X85" s="15"/>
      <c r="Y85" s="15"/>
      <c r="Z85" s="15"/>
      <c r="AA85" s="15"/>
      <c r="AB85" s="15"/>
    </row>
    <row r="86" spans="2:28" x14ac:dyDescent="0.25">
      <c r="B86" s="15" t="e">
        <f t="shared" si="4"/>
        <v>#VALUE!</v>
      </c>
      <c r="C86" s="15" t="e">
        <f t="shared" si="5"/>
        <v>#VALUE!</v>
      </c>
      <c r="D86" s="15"/>
      <c r="E86" s="15" t="str">
        <f>IF(Table25[[#This Row],[Notes]]="","",LEFT(Table25[[#This Row],[Notes]],FIND(CHAR(10),Table25[[#This Row],[Notes]]&amp;CHAR(10))-1))</f>
        <v/>
      </c>
      <c r="F86" s="15" t="e">
        <f t="shared" si="6"/>
        <v>#VALUE!</v>
      </c>
      <c r="G86" s="20">
        <f t="shared" ca="1" si="7"/>
        <v>44510</v>
      </c>
      <c r="H86" s="15"/>
      <c r="I86" s="15"/>
      <c r="J86" s="21"/>
      <c r="K86" s="15"/>
      <c r="L86" s="15"/>
      <c r="M86" s="15"/>
      <c r="N86" s="15"/>
      <c r="O86" s="15"/>
      <c r="P86" s="15"/>
      <c r="Q86" s="15"/>
      <c r="R86" s="15"/>
      <c r="S86" s="15"/>
      <c r="T86" s="15"/>
      <c r="U86" s="15"/>
      <c r="V86" s="15"/>
      <c r="W86" s="15"/>
      <c r="X86" s="15"/>
      <c r="Y86" s="15"/>
      <c r="Z86" s="15"/>
      <c r="AA86" s="15"/>
      <c r="AB86" s="15"/>
    </row>
    <row r="87" spans="2:28" x14ac:dyDescent="0.25">
      <c r="B87" s="15" t="e">
        <f t="shared" si="4"/>
        <v>#VALUE!</v>
      </c>
      <c r="C87" s="15" t="e">
        <f t="shared" si="5"/>
        <v>#VALUE!</v>
      </c>
      <c r="D87" s="15"/>
      <c r="E87" s="15" t="str">
        <f>IF(Table25[[#This Row],[Notes]]="","",LEFT(Table25[[#This Row],[Notes]],FIND(CHAR(10),Table25[[#This Row],[Notes]]&amp;CHAR(10))-1))</f>
        <v/>
      </c>
      <c r="F87" s="15" t="e">
        <f t="shared" si="6"/>
        <v>#VALUE!</v>
      </c>
      <c r="G87" s="20">
        <f t="shared" ca="1" si="7"/>
        <v>44510</v>
      </c>
      <c r="H87" s="15"/>
      <c r="I87" s="15"/>
      <c r="J87" s="21"/>
      <c r="K87" s="15"/>
      <c r="L87" s="15"/>
      <c r="M87" s="15"/>
      <c r="N87" s="15"/>
      <c r="O87" s="15"/>
      <c r="P87" s="15"/>
      <c r="Q87" s="15"/>
      <c r="R87" s="15"/>
      <c r="S87" s="15"/>
      <c r="T87" s="15"/>
      <c r="U87" s="15"/>
      <c r="V87" s="15"/>
      <c r="W87" s="15"/>
      <c r="X87" s="15"/>
      <c r="Y87" s="15"/>
      <c r="Z87" s="15"/>
      <c r="AA87" s="15"/>
      <c r="AB87" s="15"/>
    </row>
    <row r="88" spans="2:28" x14ac:dyDescent="0.25">
      <c r="B88" s="15" t="e">
        <f t="shared" si="4"/>
        <v>#VALUE!</v>
      </c>
      <c r="C88" s="15" t="e">
        <f t="shared" si="5"/>
        <v>#VALUE!</v>
      </c>
      <c r="D88" s="15"/>
      <c r="E88" s="15" t="str">
        <f>IF(Table25[[#This Row],[Notes]]="","",LEFT(Table25[[#This Row],[Notes]],FIND(CHAR(10),Table25[[#This Row],[Notes]]&amp;CHAR(10))-1))</f>
        <v/>
      </c>
      <c r="F88" s="15" t="e">
        <f t="shared" si="6"/>
        <v>#VALUE!</v>
      </c>
      <c r="G88" s="20">
        <f t="shared" ca="1" si="7"/>
        <v>44510</v>
      </c>
      <c r="H88" s="15"/>
      <c r="I88" s="15"/>
      <c r="J88" s="21"/>
      <c r="K88" s="15"/>
      <c r="L88" s="15"/>
      <c r="M88" s="15"/>
      <c r="N88" s="15"/>
      <c r="O88" s="15"/>
      <c r="P88" s="15"/>
      <c r="Q88" s="15"/>
      <c r="R88" s="15"/>
      <c r="S88" s="15"/>
      <c r="T88" s="15"/>
      <c r="U88" s="15"/>
      <c r="V88" s="15"/>
      <c r="W88" s="15"/>
      <c r="X88" s="15"/>
      <c r="Y88" s="15"/>
      <c r="Z88" s="15"/>
      <c r="AA88" s="15"/>
      <c r="AB88" s="15"/>
    </row>
    <row r="89" spans="2:28" x14ac:dyDescent="0.25">
      <c r="B89" s="15" t="e">
        <f t="shared" si="4"/>
        <v>#VALUE!</v>
      </c>
      <c r="C89" s="15" t="e">
        <f t="shared" si="5"/>
        <v>#VALUE!</v>
      </c>
      <c r="D89" s="15"/>
      <c r="E89" s="15" t="str">
        <f>IF(Table25[[#This Row],[Notes]]="","",LEFT(Table25[[#This Row],[Notes]],FIND(CHAR(10),Table25[[#This Row],[Notes]]&amp;CHAR(10))-1))</f>
        <v/>
      </c>
      <c r="F89" s="15" t="e">
        <f t="shared" si="6"/>
        <v>#VALUE!</v>
      </c>
      <c r="G89" s="20">
        <f t="shared" ca="1" si="7"/>
        <v>44510</v>
      </c>
      <c r="H89" s="15"/>
      <c r="I89" s="15"/>
      <c r="J89" s="21"/>
      <c r="K89" s="15"/>
      <c r="L89" s="15"/>
      <c r="M89" s="15"/>
      <c r="N89" s="15"/>
      <c r="O89" s="15"/>
      <c r="P89" s="15"/>
      <c r="Q89" s="15"/>
      <c r="R89" s="15"/>
      <c r="S89" s="15"/>
      <c r="T89" s="15"/>
      <c r="U89" s="15"/>
      <c r="V89" s="15"/>
      <c r="W89" s="15"/>
      <c r="X89" s="15"/>
      <c r="Y89" s="15"/>
      <c r="Z89" s="15"/>
      <c r="AA89" s="15"/>
      <c r="AB89" s="15"/>
    </row>
    <row r="90" spans="2:28" x14ac:dyDescent="0.25">
      <c r="B90" s="15" t="e">
        <f t="shared" si="4"/>
        <v>#VALUE!</v>
      </c>
      <c r="C90" s="15" t="e">
        <f t="shared" si="5"/>
        <v>#VALUE!</v>
      </c>
      <c r="D90" s="15"/>
      <c r="E90" s="15" t="str">
        <f>IF(Table25[[#This Row],[Notes]]="","",LEFT(Table25[[#This Row],[Notes]],FIND(CHAR(10),Table25[[#This Row],[Notes]]&amp;CHAR(10))-1))</f>
        <v/>
      </c>
      <c r="F90" s="15" t="e">
        <f t="shared" si="6"/>
        <v>#VALUE!</v>
      </c>
      <c r="G90" s="20">
        <f t="shared" ca="1" si="7"/>
        <v>44510</v>
      </c>
      <c r="H90" s="15"/>
      <c r="I90" s="15"/>
      <c r="J90" s="21"/>
      <c r="K90" s="15"/>
      <c r="L90" s="15"/>
      <c r="M90" s="15"/>
      <c r="N90" s="15"/>
      <c r="O90" s="15"/>
      <c r="P90" s="15"/>
      <c r="Q90" s="15"/>
      <c r="R90" s="15"/>
      <c r="S90" s="15"/>
      <c r="T90" s="15"/>
      <c r="U90" s="15"/>
      <c r="V90" s="15"/>
      <c r="W90" s="15"/>
      <c r="X90" s="15"/>
      <c r="Y90" s="15"/>
      <c r="Z90" s="15"/>
      <c r="AA90" s="15"/>
      <c r="AB90" s="15"/>
    </row>
    <row r="91" spans="2:28" x14ac:dyDescent="0.25">
      <c r="B91" s="15" t="e">
        <f t="shared" si="4"/>
        <v>#VALUE!</v>
      </c>
      <c r="C91" s="15" t="e">
        <f t="shared" si="5"/>
        <v>#VALUE!</v>
      </c>
      <c r="D91" s="15"/>
      <c r="E91" s="15" t="str">
        <f>IF(Table25[[#This Row],[Notes]]="","",LEFT(Table25[[#This Row],[Notes]],FIND(CHAR(10),Table25[[#This Row],[Notes]]&amp;CHAR(10))-1))</f>
        <v/>
      </c>
      <c r="F91" s="15" t="e">
        <f t="shared" si="6"/>
        <v>#VALUE!</v>
      </c>
      <c r="G91" s="20">
        <f t="shared" ca="1" si="7"/>
        <v>44510</v>
      </c>
      <c r="H91" s="15"/>
      <c r="I91" s="15"/>
      <c r="J91" s="21"/>
      <c r="K91" s="15"/>
      <c r="L91" s="15"/>
      <c r="M91" s="15"/>
      <c r="N91" s="15"/>
      <c r="O91" s="15"/>
      <c r="P91" s="15"/>
      <c r="Q91" s="15"/>
      <c r="R91" s="15"/>
      <c r="S91" s="15"/>
      <c r="T91" s="15"/>
      <c r="U91" s="15"/>
      <c r="V91" s="15"/>
      <c r="W91" s="15"/>
      <c r="X91" s="15"/>
      <c r="Y91" s="15"/>
      <c r="Z91" s="15"/>
      <c r="AA91" s="15"/>
      <c r="AB91" s="15"/>
    </row>
    <row r="92" spans="2:28" x14ac:dyDescent="0.25">
      <c r="B92" s="15" t="e">
        <f t="shared" si="4"/>
        <v>#VALUE!</v>
      </c>
      <c r="C92" s="15" t="e">
        <f t="shared" si="5"/>
        <v>#VALUE!</v>
      </c>
      <c r="D92" s="15"/>
      <c r="E92" s="15" t="str">
        <f>IF(Table25[[#This Row],[Notes]]="","",LEFT(Table25[[#This Row],[Notes]],FIND(CHAR(10),Table25[[#This Row],[Notes]]&amp;CHAR(10))-1))</f>
        <v/>
      </c>
      <c r="F92" s="15" t="e">
        <f t="shared" si="6"/>
        <v>#VALUE!</v>
      </c>
      <c r="G92" s="20">
        <f t="shared" ca="1" si="7"/>
        <v>44510</v>
      </c>
      <c r="H92" s="15"/>
      <c r="I92" s="15"/>
      <c r="J92" s="21"/>
      <c r="K92" s="15"/>
      <c r="L92" s="15"/>
      <c r="M92" s="15"/>
      <c r="N92" s="15"/>
      <c r="O92" s="15"/>
      <c r="P92" s="15"/>
      <c r="Q92" s="15"/>
      <c r="R92" s="15"/>
      <c r="S92" s="15"/>
      <c r="T92" s="15"/>
      <c r="U92" s="15"/>
      <c r="V92" s="15"/>
      <c r="W92" s="15"/>
      <c r="X92" s="15"/>
      <c r="Y92" s="15"/>
      <c r="Z92" s="15"/>
      <c r="AA92" s="15"/>
      <c r="AB92" s="15"/>
    </row>
    <row r="93" spans="2:28" x14ac:dyDescent="0.25">
      <c r="B93" s="15" t="e">
        <f t="shared" si="4"/>
        <v>#VALUE!</v>
      </c>
      <c r="C93" s="15" t="e">
        <f t="shared" si="5"/>
        <v>#VALUE!</v>
      </c>
      <c r="D93" s="15"/>
      <c r="E93" s="15" t="str">
        <f>IF(Table25[[#This Row],[Notes]]="","",LEFT(Table25[[#This Row],[Notes]],FIND(CHAR(10),Table25[[#This Row],[Notes]]&amp;CHAR(10))-1))</f>
        <v/>
      </c>
      <c r="F93" s="15" t="e">
        <f t="shared" si="6"/>
        <v>#VALUE!</v>
      </c>
      <c r="G93" s="20">
        <f t="shared" ca="1" si="7"/>
        <v>44510</v>
      </c>
      <c r="H93" s="15"/>
      <c r="I93" s="15"/>
      <c r="J93" s="21"/>
      <c r="K93" s="15"/>
      <c r="L93" s="15"/>
      <c r="M93" s="15"/>
      <c r="N93" s="15"/>
      <c r="O93" s="15"/>
      <c r="P93" s="15"/>
      <c r="Q93" s="15"/>
      <c r="R93" s="15"/>
      <c r="S93" s="15"/>
      <c r="T93" s="15"/>
      <c r="U93" s="15"/>
      <c r="V93" s="15"/>
      <c r="W93" s="15"/>
      <c r="X93" s="15"/>
      <c r="Y93" s="15"/>
      <c r="Z93" s="15"/>
      <c r="AA93" s="15"/>
      <c r="AB93" s="15"/>
    </row>
    <row r="94" spans="2:28" x14ac:dyDescent="0.25">
      <c r="B94" s="15" t="e">
        <f t="shared" si="4"/>
        <v>#VALUE!</v>
      </c>
      <c r="C94" s="15" t="e">
        <f t="shared" si="5"/>
        <v>#VALUE!</v>
      </c>
      <c r="D94" s="15"/>
      <c r="E94" s="15" t="str">
        <f>IF(Table25[[#This Row],[Notes]]="","",LEFT(Table25[[#This Row],[Notes]],FIND(CHAR(10),Table25[[#This Row],[Notes]]&amp;CHAR(10))-1))</f>
        <v/>
      </c>
      <c r="F94" s="15" t="e">
        <f t="shared" si="6"/>
        <v>#VALUE!</v>
      </c>
      <c r="G94" s="20">
        <f t="shared" ca="1" si="7"/>
        <v>44510</v>
      </c>
      <c r="H94" s="15"/>
      <c r="I94" s="15"/>
      <c r="J94" s="21"/>
      <c r="K94" s="15"/>
      <c r="L94" s="15"/>
      <c r="M94" s="15"/>
      <c r="N94" s="15"/>
      <c r="O94" s="15"/>
      <c r="P94" s="15"/>
      <c r="Q94" s="15"/>
      <c r="R94" s="15"/>
      <c r="S94" s="15"/>
      <c r="T94" s="15"/>
      <c r="U94" s="15"/>
      <c r="V94" s="15"/>
      <c r="W94" s="15"/>
      <c r="X94" s="15"/>
      <c r="Y94" s="15"/>
      <c r="Z94" s="15"/>
      <c r="AA94" s="15"/>
      <c r="AB94" s="15"/>
    </row>
    <row r="95" spans="2:28" x14ac:dyDescent="0.25">
      <c r="B95" s="15" t="e">
        <f t="shared" si="4"/>
        <v>#VALUE!</v>
      </c>
      <c r="C95" s="15" t="e">
        <f t="shared" si="5"/>
        <v>#VALUE!</v>
      </c>
      <c r="D95" s="15"/>
      <c r="E95" s="15" t="str">
        <f>IF(Table25[[#This Row],[Notes]]="","",LEFT(Table25[[#This Row],[Notes]],FIND(CHAR(10),Table25[[#This Row],[Notes]]&amp;CHAR(10))-1))</f>
        <v/>
      </c>
      <c r="F95" s="15" t="e">
        <f t="shared" si="6"/>
        <v>#VALUE!</v>
      </c>
      <c r="G95" s="20">
        <f t="shared" ca="1" si="7"/>
        <v>44510</v>
      </c>
      <c r="H95" s="15"/>
      <c r="I95" s="15"/>
      <c r="J95" s="21"/>
      <c r="K95" s="15"/>
      <c r="L95" s="15"/>
      <c r="M95" s="15"/>
      <c r="N95" s="15"/>
      <c r="O95" s="15"/>
      <c r="P95" s="15"/>
      <c r="Q95" s="15"/>
      <c r="R95" s="15"/>
      <c r="S95" s="15"/>
      <c r="T95" s="15"/>
      <c r="U95" s="15"/>
      <c r="V95" s="15"/>
      <c r="W95" s="15"/>
      <c r="X95" s="15"/>
      <c r="Y95" s="15"/>
      <c r="Z95" s="15"/>
      <c r="AA95" s="15"/>
      <c r="AB95" s="15"/>
    </row>
    <row r="96" spans="2:28" x14ac:dyDescent="0.25">
      <c r="B96" s="15" t="e">
        <f t="shared" si="4"/>
        <v>#VALUE!</v>
      </c>
      <c r="C96" s="15" t="e">
        <f t="shared" si="5"/>
        <v>#VALUE!</v>
      </c>
      <c r="D96" s="15"/>
      <c r="E96" s="15" t="str">
        <f>IF(Table25[[#This Row],[Notes]]="","",LEFT(Table25[[#This Row],[Notes]],FIND(CHAR(10),Table25[[#This Row],[Notes]]&amp;CHAR(10))-1))</f>
        <v/>
      </c>
      <c r="F96" s="15" t="e">
        <f t="shared" si="6"/>
        <v>#VALUE!</v>
      </c>
      <c r="G96" s="20">
        <f t="shared" ca="1" si="7"/>
        <v>44510</v>
      </c>
      <c r="H96" s="15"/>
      <c r="I96" s="15"/>
      <c r="J96" s="21"/>
      <c r="K96" s="15"/>
      <c r="L96" s="15"/>
      <c r="M96" s="15"/>
      <c r="N96" s="15"/>
      <c r="O96" s="15"/>
      <c r="P96" s="15"/>
      <c r="Q96" s="15"/>
      <c r="R96" s="15"/>
      <c r="S96" s="15"/>
      <c r="T96" s="15"/>
      <c r="U96" s="15"/>
      <c r="V96" s="15"/>
      <c r="W96" s="15"/>
      <c r="X96" s="15"/>
      <c r="Y96" s="15"/>
      <c r="Z96" s="15"/>
      <c r="AA96" s="15"/>
      <c r="AB96" s="15"/>
    </row>
    <row r="97" spans="2:28" x14ac:dyDescent="0.25">
      <c r="B97" s="15" t="e">
        <f t="shared" si="4"/>
        <v>#VALUE!</v>
      </c>
      <c r="C97" s="15" t="e">
        <f t="shared" si="5"/>
        <v>#VALUE!</v>
      </c>
      <c r="D97" s="15"/>
      <c r="E97" s="15" t="str">
        <f>IF(Table25[[#This Row],[Notes]]="","",LEFT(Table25[[#This Row],[Notes]],FIND(CHAR(10),Table25[[#This Row],[Notes]]&amp;CHAR(10))-1))</f>
        <v/>
      </c>
      <c r="F97" s="15" t="e">
        <f t="shared" si="6"/>
        <v>#VALUE!</v>
      </c>
      <c r="G97" s="20">
        <f t="shared" ca="1" si="7"/>
        <v>44510</v>
      </c>
      <c r="H97" s="15"/>
      <c r="I97" s="15"/>
      <c r="J97" s="21"/>
      <c r="K97" s="15"/>
      <c r="L97" s="15"/>
      <c r="M97" s="15"/>
      <c r="N97" s="15"/>
      <c r="O97" s="15"/>
      <c r="P97" s="15"/>
      <c r="Q97" s="15"/>
      <c r="R97" s="15"/>
      <c r="S97" s="15"/>
      <c r="T97" s="15"/>
      <c r="U97" s="15"/>
      <c r="V97" s="15"/>
      <c r="W97" s="15"/>
      <c r="X97" s="15"/>
      <c r="Y97" s="15"/>
      <c r="Z97" s="15"/>
      <c r="AA97" s="15"/>
      <c r="AB97" s="15"/>
    </row>
    <row r="98" spans="2:28" x14ac:dyDescent="0.25">
      <c r="B98" s="15" t="e">
        <f t="shared" si="4"/>
        <v>#VALUE!</v>
      </c>
      <c r="C98" s="15" t="e">
        <f t="shared" si="5"/>
        <v>#VALUE!</v>
      </c>
      <c r="D98" s="15"/>
      <c r="E98" s="15" t="str">
        <f>IF(Table25[[#This Row],[Notes]]="","",LEFT(Table25[[#This Row],[Notes]],FIND(CHAR(10),Table25[[#This Row],[Notes]]&amp;CHAR(10))-1))</f>
        <v/>
      </c>
      <c r="F98" s="15" t="e">
        <f t="shared" si="6"/>
        <v>#VALUE!</v>
      </c>
      <c r="G98" s="20">
        <f t="shared" ca="1" si="7"/>
        <v>44510</v>
      </c>
      <c r="H98" s="15"/>
      <c r="I98" s="15"/>
      <c r="J98" s="21"/>
      <c r="K98" s="15"/>
      <c r="L98" s="15"/>
      <c r="M98" s="15"/>
      <c r="N98" s="15"/>
      <c r="O98" s="15"/>
      <c r="P98" s="15"/>
      <c r="Q98" s="15"/>
      <c r="R98" s="15"/>
      <c r="S98" s="15"/>
      <c r="T98" s="15"/>
      <c r="U98" s="15"/>
      <c r="V98" s="15"/>
      <c r="W98" s="15"/>
      <c r="X98" s="15"/>
      <c r="Y98" s="15"/>
      <c r="Z98" s="15"/>
      <c r="AA98" s="15"/>
      <c r="AB98" s="15"/>
    </row>
    <row r="99" spans="2:28" x14ac:dyDescent="0.25">
      <c r="B99" s="15" t="e">
        <f t="shared" si="4"/>
        <v>#VALUE!</v>
      </c>
      <c r="C99" s="15" t="e">
        <f t="shared" si="5"/>
        <v>#VALUE!</v>
      </c>
      <c r="D99" s="15"/>
      <c r="E99" s="15" t="str">
        <f>IF(Table25[[#This Row],[Notes]]="","",LEFT(Table25[[#This Row],[Notes]],FIND(CHAR(10),Table25[[#This Row],[Notes]]&amp;CHAR(10))-1))</f>
        <v/>
      </c>
      <c r="F99" s="15" t="e">
        <f t="shared" si="6"/>
        <v>#VALUE!</v>
      </c>
      <c r="G99" s="20">
        <f t="shared" ca="1" si="7"/>
        <v>44510</v>
      </c>
      <c r="H99" s="15"/>
      <c r="I99" s="15"/>
      <c r="J99" s="21"/>
      <c r="K99" s="15"/>
      <c r="L99" s="15"/>
      <c r="M99" s="15"/>
      <c r="N99" s="15"/>
      <c r="O99" s="15"/>
      <c r="P99" s="15"/>
      <c r="Q99" s="15"/>
      <c r="R99" s="15"/>
      <c r="S99" s="15"/>
      <c r="T99" s="15"/>
      <c r="U99" s="15"/>
      <c r="V99" s="15"/>
      <c r="W99" s="15"/>
      <c r="X99" s="15"/>
      <c r="Y99" s="15"/>
      <c r="Z99" s="15"/>
      <c r="AA99" s="15"/>
      <c r="AB99" s="15"/>
    </row>
    <row r="100" spans="2:28" x14ac:dyDescent="0.25">
      <c r="B100" s="15" t="e">
        <f t="shared" si="4"/>
        <v>#VALUE!</v>
      </c>
      <c r="C100" s="15" t="e">
        <f t="shared" si="5"/>
        <v>#VALUE!</v>
      </c>
      <c r="D100" s="15"/>
      <c r="E100" s="15" t="str">
        <f>IF(Table25[[#This Row],[Notes]]="","",LEFT(Table25[[#This Row],[Notes]],FIND(CHAR(10),Table25[[#This Row],[Notes]]&amp;CHAR(10))-1))</f>
        <v/>
      </c>
      <c r="F100" s="15" t="e">
        <f t="shared" si="6"/>
        <v>#VALUE!</v>
      </c>
      <c r="G100" s="20">
        <f t="shared" ca="1" si="7"/>
        <v>44510</v>
      </c>
      <c r="H100" s="15"/>
      <c r="I100" s="15"/>
      <c r="J100" s="21"/>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4"/>
        <v>#VALUE!</v>
      </c>
      <c r="C101" s="15" t="e">
        <f t="shared" si="5"/>
        <v>#VALUE!</v>
      </c>
      <c r="D101" s="15"/>
      <c r="E101" s="15"/>
      <c r="F101" s="15" t="e">
        <f t="shared" si="6"/>
        <v>#VALUE!</v>
      </c>
      <c r="G101" s="20">
        <f t="shared" ca="1" si="7"/>
        <v>44510</v>
      </c>
      <c r="H101" s="15"/>
      <c r="I101" s="15"/>
      <c r="J101" s="21"/>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4"/>
        <v>#VALUE!</v>
      </c>
      <c r="C102" s="15" t="e">
        <f t="shared" si="5"/>
        <v>#VALUE!</v>
      </c>
      <c r="D102" s="15"/>
      <c r="E102" s="15"/>
      <c r="F102" s="15" t="e">
        <f t="shared" si="6"/>
        <v>#VALUE!</v>
      </c>
      <c r="G102" s="20">
        <f t="shared" ca="1" si="7"/>
        <v>44510</v>
      </c>
      <c r="H102" s="15"/>
      <c r="I102" s="15"/>
      <c r="J102" s="21"/>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4"/>
        <v>#VALUE!</v>
      </c>
      <c r="C103" s="15" t="e">
        <f t="shared" si="5"/>
        <v>#VALUE!</v>
      </c>
      <c r="D103" s="15"/>
      <c r="E103" s="15"/>
      <c r="F103" s="15" t="e">
        <f t="shared" si="6"/>
        <v>#VALUE!</v>
      </c>
      <c r="G103" s="20">
        <f t="shared" ca="1" si="7"/>
        <v>44510</v>
      </c>
      <c r="H103" s="15"/>
      <c r="I103" s="15"/>
      <c r="J103" s="21"/>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4"/>
        <v>#VALUE!</v>
      </c>
      <c r="C104" s="15" t="e">
        <f t="shared" si="5"/>
        <v>#VALUE!</v>
      </c>
      <c r="D104" s="15"/>
      <c r="E104" s="15"/>
      <c r="F104" s="15" t="e">
        <f t="shared" si="6"/>
        <v>#VALUE!</v>
      </c>
      <c r="G104" s="20">
        <f t="shared" ca="1" si="7"/>
        <v>44510</v>
      </c>
      <c r="H104" s="15"/>
      <c r="I104" s="15"/>
      <c r="J104" s="21"/>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4"/>
        <v>#VALUE!</v>
      </c>
      <c r="C105" s="15" t="e">
        <f t="shared" si="5"/>
        <v>#VALUE!</v>
      </c>
      <c r="D105" s="15"/>
      <c r="E105" s="15"/>
      <c r="F105" s="15" t="e">
        <f t="shared" si="6"/>
        <v>#VALUE!</v>
      </c>
      <c r="G105" s="20">
        <f t="shared" ca="1" si="7"/>
        <v>44510</v>
      </c>
      <c r="H105" s="15"/>
      <c r="I105" s="15"/>
      <c r="J105" s="21"/>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4"/>
        <v>#VALUE!</v>
      </c>
      <c r="C106" s="15" t="e">
        <f t="shared" si="5"/>
        <v>#VALUE!</v>
      </c>
      <c r="D106" s="15"/>
      <c r="E106" s="15"/>
      <c r="F106" s="15" t="e">
        <f t="shared" si="6"/>
        <v>#VALUE!</v>
      </c>
      <c r="G106" s="20">
        <f t="shared" ca="1" si="7"/>
        <v>44510</v>
      </c>
      <c r="H106" s="15"/>
      <c r="I106" s="15"/>
      <c r="J106" s="21"/>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4"/>
        <v>#VALUE!</v>
      </c>
      <c r="C107" s="15" t="e">
        <f t="shared" si="5"/>
        <v>#VALUE!</v>
      </c>
      <c r="D107" s="15"/>
      <c r="E107" s="15"/>
      <c r="F107" s="15" t="e">
        <f t="shared" si="6"/>
        <v>#VALUE!</v>
      </c>
      <c r="G107" s="20">
        <f t="shared" ca="1" si="7"/>
        <v>44510</v>
      </c>
      <c r="H107" s="15"/>
      <c r="I107" s="15"/>
      <c r="J107" s="21"/>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4"/>
        <v>#VALUE!</v>
      </c>
      <c r="C108" s="15" t="e">
        <f t="shared" si="5"/>
        <v>#VALUE!</v>
      </c>
      <c r="D108" s="15"/>
      <c r="E108" s="15"/>
      <c r="F108" s="15" t="e">
        <f t="shared" si="6"/>
        <v>#VALUE!</v>
      </c>
      <c r="G108" s="20">
        <f t="shared" ca="1" si="7"/>
        <v>44510</v>
      </c>
      <c r="H108" s="15"/>
      <c r="I108" s="15"/>
      <c r="J108" s="21"/>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4"/>
        <v>#VALUE!</v>
      </c>
      <c r="C109" s="15" t="e">
        <f t="shared" si="5"/>
        <v>#VALUE!</v>
      </c>
      <c r="D109" s="15"/>
      <c r="E109" s="15"/>
      <c r="F109" s="15" t="e">
        <f t="shared" si="6"/>
        <v>#VALUE!</v>
      </c>
      <c r="G109" s="20">
        <f t="shared" ca="1" si="7"/>
        <v>44510</v>
      </c>
      <c r="H109" s="15"/>
      <c r="I109" s="15"/>
      <c r="J109" s="21"/>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4"/>
        <v>#VALUE!</v>
      </c>
      <c r="C110" s="15" t="e">
        <f t="shared" si="5"/>
        <v>#VALUE!</v>
      </c>
      <c r="D110" s="15"/>
      <c r="E110" s="15"/>
      <c r="F110" s="15" t="e">
        <f t="shared" si="6"/>
        <v>#VALUE!</v>
      </c>
      <c r="G110" s="20">
        <f t="shared" ca="1" si="7"/>
        <v>44510</v>
      </c>
      <c r="H110" s="15"/>
      <c r="I110" s="15"/>
      <c r="J110" s="21"/>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4"/>
        <v>#VALUE!</v>
      </c>
      <c r="C111" s="15" t="e">
        <f t="shared" si="5"/>
        <v>#VALUE!</v>
      </c>
      <c r="D111" s="15"/>
      <c r="E111" s="15"/>
      <c r="F111" s="15" t="e">
        <f t="shared" si="6"/>
        <v>#VALUE!</v>
      </c>
      <c r="G111" s="20">
        <f t="shared" ca="1" si="7"/>
        <v>44510</v>
      </c>
      <c r="H111" s="15"/>
      <c r="I111" s="15"/>
      <c r="J111" s="21"/>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4"/>
        <v>#VALUE!</v>
      </c>
      <c r="C112" s="15" t="e">
        <f t="shared" si="5"/>
        <v>#VALUE!</v>
      </c>
      <c r="D112" s="15"/>
      <c r="E112" s="15"/>
      <c r="F112" s="15" t="e">
        <f t="shared" si="6"/>
        <v>#VALUE!</v>
      </c>
      <c r="G112" s="20">
        <f t="shared" ca="1" si="7"/>
        <v>44510</v>
      </c>
      <c r="H112" s="15"/>
      <c r="I112" s="15"/>
      <c r="J112" s="21"/>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4"/>
        <v>#VALUE!</v>
      </c>
      <c r="C113" s="15" t="e">
        <f t="shared" si="5"/>
        <v>#VALUE!</v>
      </c>
      <c r="D113" s="15"/>
      <c r="E113" s="15"/>
      <c r="F113" s="15" t="e">
        <f t="shared" si="6"/>
        <v>#VALUE!</v>
      </c>
      <c r="G113" s="20">
        <f t="shared" ca="1" si="7"/>
        <v>44510</v>
      </c>
      <c r="H113" s="15"/>
      <c r="I113" s="15"/>
      <c r="J113" s="21"/>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4"/>
        <v>#VALUE!</v>
      </c>
      <c r="C114" s="15" t="e">
        <f t="shared" si="5"/>
        <v>#VALUE!</v>
      </c>
      <c r="D114" s="15"/>
      <c r="E114" s="15"/>
      <c r="F114" s="15" t="e">
        <f t="shared" si="6"/>
        <v>#VALUE!</v>
      </c>
      <c r="G114" s="20">
        <f t="shared" ca="1" si="7"/>
        <v>44510</v>
      </c>
      <c r="H114" s="15"/>
      <c r="I114" s="15"/>
      <c r="J114" s="21"/>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4"/>
        <v>#VALUE!</v>
      </c>
      <c r="C115" s="15" t="e">
        <f t="shared" si="5"/>
        <v>#VALUE!</v>
      </c>
      <c r="D115" s="15"/>
      <c r="E115" s="15"/>
      <c r="F115" s="15" t="e">
        <f t="shared" si="6"/>
        <v>#VALUE!</v>
      </c>
      <c r="G115" s="20">
        <f t="shared" ca="1" si="7"/>
        <v>44510</v>
      </c>
      <c r="H115" s="15"/>
      <c r="I115" s="15"/>
      <c r="J115" s="21"/>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4"/>
        <v>#VALUE!</v>
      </c>
      <c r="C116" s="15" t="e">
        <f t="shared" si="5"/>
        <v>#VALUE!</v>
      </c>
      <c r="D116" s="15"/>
      <c r="E116" s="15"/>
      <c r="F116" s="15" t="e">
        <f t="shared" si="6"/>
        <v>#VALUE!</v>
      </c>
      <c r="G116" s="20">
        <f t="shared" ca="1" si="7"/>
        <v>44510</v>
      </c>
      <c r="H116" s="15"/>
      <c r="I116" s="15"/>
      <c r="J116" s="21"/>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4"/>
        <v>#VALUE!</v>
      </c>
      <c r="C117" s="15" t="e">
        <f t="shared" si="5"/>
        <v>#VALUE!</v>
      </c>
      <c r="D117" s="15"/>
      <c r="E117" s="15"/>
      <c r="F117" s="15" t="e">
        <f t="shared" si="6"/>
        <v>#VALUE!</v>
      </c>
      <c r="G117" s="20">
        <f t="shared" ca="1" si="7"/>
        <v>44510</v>
      </c>
      <c r="H117" s="15"/>
      <c r="I117" s="15"/>
      <c r="J117" s="21"/>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4"/>
        <v>#VALUE!</v>
      </c>
      <c r="C118" s="15" t="e">
        <f t="shared" si="5"/>
        <v>#VALUE!</v>
      </c>
      <c r="D118" s="15"/>
      <c r="E118" s="15"/>
      <c r="F118" s="15" t="e">
        <f t="shared" si="6"/>
        <v>#VALUE!</v>
      </c>
      <c r="G118" s="20">
        <f t="shared" ca="1" si="7"/>
        <v>44510</v>
      </c>
      <c r="H118" s="15"/>
      <c r="I118" s="15"/>
      <c r="J118" s="21"/>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4"/>
        <v>#VALUE!</v>
      </c>
      <c r="C119" s="15" t="e">
        <f t="shared" si="5"/>
        <v>#VALUE!</v>
      </c>
      <c r="D119" s="15"/>
      <c r="E119" s="15"/>
      <c r="F119" s="15" t="e">
        <f t="shared" si="6"/>
        <v>#VALUE!</v>
      </c>
      <c r="G119" s="20">
        <f t="shared" ca="1" si="7"/>
        <v>44510</v>
      </c>
      <c r="H119" s="15"/>
      <c r="I119" s="15"/>
      <c r="J119" s="21"/>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4"/>
        <v>#VALUE!</v>
      </c>
      <c r="C120" s="15" t="e">
        <f t="shared" si="5"/>
        <v>#VALUE!</v>
      </c>
      <c r="D120" s="15"/>
      <c r="E120" s="15"/>
      <c r="F120" s="15" t="e">
        <f t="shared" si="6"/>
        <v>#VALUE!</v>
      </c>
      <c r="G120" s="20">
        <f t="shared" ca="1" si="7"/>
        <v>44510</v>
      </c>
      <c r="H120" s="15"/>
      <c r="I120" s="15"/>
      <c r="J120" s="21"/>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4"/>
        <v>#VALUE!</v>
      </c>
      <c r="C121" s="15" t="e">
        <f t="shared" si="5"/>
        <v>#VALUE!</v>
      </c>
      <c r="D121" s="15"/>
      <c r="E121" s="15"/>
      <c r="F121" s="15" t="e">
        <f t="shared" si="6"/>
        <v>#VALUE!</v>
      </c>
      <c r="G121" s="20">
        <f t="shared" ca="1" si="7"/>
        <v>44510</v>
      </c>
      <c r="H121" s="15"/>
      <c r="I121" s="15"/>
      <c r="J121" s="21"/>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4"/>
        <v>#VALUE!</v>
      </c>
      <c r="C122" s="15" t="e">
        <f t="shared" si="5"/>
        <v>#VALUE!</v>
      </c>
      <c r="D122" s="15"/>
      <c r="E122" s="15"/>
      <c r="F122" s="15" t="e">
        <f t="shared" si="6"/>
        <v>#VALUE!</v>
      </c>
      <c r="G122" s="20">
        <f t="shared" ca="1" si="7"/>
        <v>44510</v>
      </c>
      <c r="H122" s="15"/>
      <c r="I122" s="15"/>
      <c r="J122" s="21"/>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4"/>
        <v>#VALUE!</v>
      </c>
      <c r="C123" s="15" t="e">
        <f t="shared" si="5"/>
        <v>#VALUE!</v>
      </c>
      <c r="D123" s="15"/>
      <c r="E123" s="15"/>
      <c r="F123" s="15" t="e">
        <f t="shared" si="6"/>
        <v>#VALUE!</v>
      </c>
      <c r="G123" s="20">
        <f t="shared" ca="1" si="7"/>
        <v>44510</v>
      </c>
      <c r="H123" s="15"/>
      <c r="I123" s="15"/>
      <c r="J123" s="21"/>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4"/>
        <v>#VALUE!</v>
      </c>
      <c r="C124" s="15" t="e">
        <f t="shared" si="5"/>
        <v>#VALUE!</v>
      </c>
      <c r="D124" s="15"/>
      <c r="E124" s="15"/>
      <c r="F124" s="15" t="e">
        <f t="shared" si="6"/>
        <v>#VALUE!</v>
      </c>
      <c r="G124" s="20">
        <f t="shared" ca="1" si="7"/>
        <v>44510</v>
      </c>
      <c r="H124" s="15"/>
      <c r="I124" s="15"/>
      <c r="J124" s="21"/>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4"/>
        <v>#VALUE!</v>
      </c>
      <c r="C125" s="15" t="e">
        <f t="shared" si="5"/>
        <v>#VALUE!</v>
      </c>
      <c r="D125" s="15"/>
      <c r="E125" s="15"/>
      <c r="F125" s="15" t="e">
        <f t="shared" si="6"/>
        <v>#VALUE!</v>
      </c>
      <c r="G125" s="20">
        <f t="shared" ca="1" si="7"/>
        <v>44510</v>
      </c>
      <c r="H125" s="15"/>
      <c r="I125" s="15"/>
      <c r="J125" s="21"/>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4"/>
        <v>#VALUE!</v>
      </c>
      <c r="C126" s="15" t="e">
        <f t="shared" si="5"/>
        <v>#VALUE!</v>
      </c>
      <c r="D126" s="15"/>
      <c r="E126" s="15"/>
      <c r="F126" s="15" t="e">
        <f t="shared" si="6"/>
        <v>#VALUE!</v>
      </c>
      <c r="G126" s="20">
        <f t="shared" ca="1" si="7"/>
        <v>44510</v>
      </c>
      <c r="H126" s="15"/>
      <c r="I126" s="15"/>
      <c r="J126" s="21"/>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4"/>
        <v>#VALUE!</v>
      </c>
      <c r="C127" s="15" t="e">
        <f t="shared" si="5"/>
        <v>#VALUE!</v>
      </c>
      <c r="D127" s="15"/>
      <c r="E127" s="15"/>
      <c r="F127" s="15" t="e">
        <f t="shared" si="6"/>
        <v>#VALUE!</v>
      </c>
      <c r="G127" s="20">
        <f t="shared" ca="1" si="7"/>
        <v>44510</v>
      </c>
      <c r="H127" s="15"/>
      <c r="I127" s="15"/>
      <c r="J127" s="21"/>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si="4"/>
        <v>#VALUE!</v>
      </c>
      <c r="C128" s="15" t="e">
        <f t="shared" si="5"/>
        <v>#VALUE!</v>
      </c>
      <c r="D128" s="15"/>
      <c r="E128" s="15"/>
      <c r="F128" s="15" t="e">
        <f t="shared" si="6"/>
        <v>#VALUE!</v>
      </c>
      <c r="G128" s="20">
        <f t="shared" ca="1" si="7"/>
        <v>44510</v>
      </c>
      <c r="H128" s="15"/>
      <c r="I128" s="15"/>
      <c r="J128" s="21"/>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4"/>
        <v>#VALUE!</v>
      </c>
      <c r="C129" s="15" t="e">
        <f t="shared" si="5"/>
        <v>#VALUE!</v>
      </c>
      <c r="D129" s="15"/>
      <c r="E129" s="15"/>
      <c r="F129" s="15" t="e">
        <f t="shared" si="6"/>
        <v>#VALUE!</v>
      </c>
      <c r="G129" s="20">
        <f t="shared" ca="1" si="7"/>
        <v>44510</v>
      </c>
      <c r="H129" s="15"/>
      <c r="I129" s="15"/>
      <c r="J129" s="21"/>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ref="B130:B136" si="8" xml:space="preserve"> MID(A130,SEARCH(":",A130)+2,SEARCH(":",A130,SEARCH(":",A130)+1)-SEARCH(":",A130)-3)</f>
        <v>#VALUE!</v>
      </c>
      <c r="C130" s="15" t="e">
        <f t="shared" ref="C130:C136" si="9">"partner:"&amp;MID(A130,SEARCH(":",A130)+1,SEARCH(":",A130,SEARCH(":",A130)+1)-SEARCH(":",A130)-1)</f>
        <v>#VALUE!</v>
      </c>
      <c r="D130" s="15"/>
      <c r="E130" s="15"/>
      <c r="F130" s="15" t="e">
        <f t="shared" ref="F130:F136" si="10">DATEVALUE(SUBSTITUTE(LEFT(E130,SEARCH(" ",E130)-1),".","/"))</f>
        <v>#VALUE!</v>
      </c>
      <c r="G130" s="20">
        <f t="shared" ref="G130:G134" ca="1" si="11">IF(ISERROR(F130),TODAY(),F130)</f>
        <v>44510</v>
      </c>
      <c r="H130" s="15"/>
      <c r="I130" s="15"/>
      <c r="J130" s="21"/>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8"/>
        <v>#VALUE!</v>
      </c>
      <c r="C131" s="15" t="e">
        <f t="shared" si="9"/>
        <v>#VALUE!</v>
      </c>
      <c r="D131" s="15"/>
      <c r="E131" s="15"/>
      <c r="F131" s="15" t="e">
        <f t="shared" si="10"/>
        <v>#VALUE!</v>
      </c>
      <c r="G131" s="20">
        <f t="shared" ca="1" si="11"/>
        <v>44510</v>
      </c>
      <c r="H131" s="15"/>
      <c r="I131" s="15"/>
      <c r="J131" s="21"/>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8"/>
        <v>#VALUE!</v>
      </c>
      <c r="C132" s="15" t="e">
        <f t="shared" si="9"/>
        <v>#VALUE!</v>
      </c>
      <c r="D132" s="15"/>
      <c r="E132" s="15"/>
      <c r="F132" s="15" t="e">
        <f t="shared" si="10"/>
        <v>#VALUE!</v>
      </c>
      <c r="G132" s="20">
        <f t="shared" ca="1" si="11"/>
        <v>44510</v>
      </c>
      <c r="H132" s="15"/>
      <c r="I132" s="15"/>
      <c r="J132" s="21"/>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8"/>
        <v>#VALUE!</v>
      </c>
      <c r="C133" s="15" t="e">
        <f t="shared" si="9"/>
        <v>#VALUE!</v>
      </c>
      <c r="D133" s="15"/>
      <c r="E133" s="15"/>
      <c r="F133" s="15" t="e">
        <f t="shared" si="10"/>
        <v>#VALUE!</v>
      </c>
      <c r="G133" s="20">
        <f t="shared" ca="1" si="11"/>
        <v>44510</v>
      </c>
      <c r="H133" s="15"/>
      <c r="I133" s="15"/>
      <c r="J133" s="21"/>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8"/>
        <v>#VALUE!</v>
      </c>
      <c r="C134" s="15" t="e">
        <f t="shared" si="9"/>
        <v>#VALUE!</v>
      </c>
      <c r="D134" s="15"/>
      <c r="E134" s="15"/>
      <c r="F134" s="15" t="e">
        <f t="shared" si="10"/>
        <v>#VALUE!</v>
      </c>
      <c r="G134" s="20">
        <f t="shared" ca="1" si="11"/>
        <v>44510</v>
      </c>
      <c r="H134" s="15"/>
      <c r="I134" s="15"/>
      <c r="J134" s="21"/>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8"/>
        <v>#VALUE!</v>
      </c>
      <c r="C135" s="15" t="e">
        <f t="shared" si="9"/>
        <v>#VALUE!</v>
      </c>
      <c r="D135" s="15"/>
      <c r="E135" s="15"/>
      <c r="F135" s="15" t="e">
        <f t="shared" si="10"/>
        <v>#VALUE!</v>
      </c>
      <c r="G135" s="20"/>
      <c r="H135" s="15"/>
      <c r="I135" s="15"/>
      <c r="J135" s="21"/>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8"/>
        <v>#VALUE!</v>
      </c>
      <c r="C136" s="15" t="e">
        <f t="shared" si="9"/>
        <v>#VALUE!</v>
      </c>
      <c r="D136" s="15"/>
      <c r="E136" s="15"/>
      <c r="F136" s="15" t="e">
        <f t="shared" si="10"/>
        <v>#VALUE!</v>
      </c>
      <c r="G136" s="20"/>
      <c r="H136" s="15"/>
      <c r="I136" s="15"/>
      <c r="J136" s="21"/>
      <c r="K136" s="15"/>
      <c r="L136" s="15"/>
      <c r="M136" s="15"/>
      <c r="N136" s="15"/>
      <c r="O136" s="15"/>
      <c r="P136" s="15"/>
      <c r="Q136" s="15"/>
      <c r="R136" s="15"/>
      <c r="S136" s="15"/>
      <c r="T136" s="15"/>
      <c r="U136" s="15"/>
      <c r="V136" s="15"/>
      <c r="W136" s="15"/>
      <c r="X136" s="15"/>
      <c r="Y136" s="15"/>
      <c r="Z136" s="15"/>
      <c r="AA136" s="15"/>
      <c r="AB136" s="15"/>
    </row>
  </sheetData>
  <conditionalFormatting sqref="G1:G1048576">
    <cfRule type="expression" dxfId="9" priority="2">
      <formula>TODAY()-G1&gt;=7</formula>
    </cfRule>
    <cfRule type="expression" dxfId="8" priority="3">
      <formula>TODAY()-G1&gt;=5</formula>
    </cfRule>
    <cfRule type="expression" dxfId="7" priority="4">
      <formula>TODAY()-G1&gt;=3</formula>
    </cfRule>
  </conditionalFormatting>
  <conditionalFormatting sqref="D1:D1048576">
    <cfRule type="expression" dxfId="6" priority="1">
      <formula>ISBLANK(D1)</formula>
    </cfRule>
  </conditionalFormatting>
  <hyperlinks>
    <hyperlink ref="H27" r:id="rId1" display="mailto:rebeccab@purecountry.com"/>
  </hyperlinks>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8" sqref="B18"/>
    </sheetView>
  </sheetViews>
  <sheetFormatPr defaultRowHeight="15" x14ac:dyDescent="0.25"/>
  <cols>
    <col min="1" max="1" width="28.28515625" customWidth="1"/>
    <col min="2" max="2" width="140.42578125" customWidth="1"/>
  </cols>
  <sheetData>
    <row r="1" spans="1:7" x14ac:dyDescent="0.25">
      <c r="A1" s="36" t="s">
        <v>37</v>
      </c>
      <c r="B1" s="37"/>
      <c r="C1" s="37"/>
      <c r="D1" s="37"/>
      <c r="E1" s="37"/>
      <c r="F1" s="37"/>
      <c r="G1" s="37"/>
    </row>
    <row r="2" spans="1:7" x14ac:dyDescent="0.25">
      <c r="A2" s="37"/>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7"/>
      <c r="B10" s="37"/>
      <c r="C10" s="37"/>
      <c r="D10" s="37"/>
      <c r="E10" s="37"/>
      <c r="F10" s="37"/>
      <c r="G10" s="37"/>
    </row>
    <row r="11" spans="1:7" x14ac:dyDescent="0.25">
      <c r="A11" s="37"/>
      <c r="B11" s="37"/>
      <c r="C11" s="37"/>
      <c r="D11" s="37"/>
      <c r="E11" s="37"/>
      <c r="F11" s="37"/>
      <c r="G11" s="37"/>
    </row>
    <row r="12" spans="1:7" x14ac:dyDescent="0.25">
      <c r="A12" s="37"/>
      <c r="B12" s="37"/>
      <c r="C12" s="37"/>
      <c r="D12" s="37"/>
      <c r="E12" s="37"/>
      <c r="F12" s="37"/>
      <c r="G12" s="37"/>
    </row>
    <row r="13" spans="1:7" x14ac:dyDescent="0.25">
      <c r="A13" s="37"/>
      <c r="B13" s="37"/>
      <c r="C13" s="37"/>
      <c r="D13" s="37"/>
      <c r="E13" s="37"/>
      <c r="F13" s="37"/>
      <c r="G13" s="37"/>
    </row>
    <row r="14" spans="1:7" x14ac:dyDescent="0.25">
      <c r="A14" s="37"/>
      <c r="B14" s="37"/>
      <c r="C14" s="37"/>
      <c r="D14" s="37"/>
      <c r="E14" s="37"/>
      <c r="F14" s="37"/>
      <c r="G14" s="37"/>
    </row>
    <row r="15" spans="1:7" x14ac:dyDescent="0.25">
      <c r="A15" s="37"/>
      <c r="B15" s="37"/>
      <c r="C15" s="37"/>
      <c r="D15" s="37"/>
      <c r="E15" s="37"/>
      <c r="F15" s="37"/>
      <c r="G15" s="37"/>
    </row>
    <row r="16" spans="1:7" x14ac:dyDescent="0.25">
      <c r="B16" s="12" t="s">
        <v>43</v>
      </c>
    </row>
    <row r="17" spans="2:2" x14ac:dyDescent="0.25">
      <c r="B17" t="s">
        <v>44</v>
      </c>
    </row>
    <row r="18" spans="2:2" x14ac:dyDescent="0.25">
      <c r="B18" t="s">
        <v>46</v>
      </c>
    </row>
    <row r="19" spans="2:2" x14ac:dyDescent="0.25">
      <c r="B19" t="s">
        <v>47</v>
      </c>
    </row>
    <row r="20" spans="2:2" ht="15.75" thickBot="1" x14ac:dyDescent="0.3">
      <c r="B20" s="26" t="str">
        <f ca="1" xml:space="preserve"> IF(E1="done",TEXT(TODAY(),"m.d.yy")&amp;" Reach out to trading partner",TEXT(TODAY(),"m.d.yy")&amp;" "&amp;F1)</f>
        <v xml:space="preserve">11.10.21 </v>
      </c>
    </row>
    <row r="21" spans="2:2" x14ac:dyDescent="0.25">
      <c r="B21" s="17" t="e">
        <f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32</v>
      </c>
      <c r="B1" t="s">
        <v>33</v>
      </c>
      <c r="C1" t="s">
        <v>31</v>
      </c>
      <c r="D1" t="s">
        <v>36</v>
      </c>
      <c r="E1" t="s">
        <v>34</v>
      </c>
      <c r="F1" t="s">
        <v>35</v>
      </c>
    </row>
    <row r="2" spans="1:6" x14ac:dyDescent="0.25">
      <c r="A2" t="s">
        <v>20</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21</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22</v>
      </c>
      <c r="B4" t="str">
        <f t="shared" si="0"/>
        <v>1050778400</v>
      </c>
      <c r="C4" t="str">
        <f t="shared" si="1"/>
        <v>Burlington Coat Factory Unknown</v>
      </c>
      <c r="D4" t="str">
        <f t="shared" si="2"/>
        <v>Burlington Coat Factory</v>
      </c>
      <c r="E4" t="str">
        <f t="shared" si="3"/>
        <v>Unknown</v>
      </c>
      <c r="F4" t="str">
        <f t="shared" si="4"/>
        <v>Unknown</v>
      </c>
    </row>
    <row r="5" spans="1:6" x14ac:dyDescent="0.25">
      <c r="A5" t="s">
        <v>23</v>
      </c>
      <c r="B5" t="str">
        <f t="shared" si="0"/>
        <v>1050778401</v>
      </c>
      <c r="C5" t="str">
        <f t="shared" si="1"/>
        <v>Burlington Coat Factory Unknown</v>
      </c>
      <c r="D5" t="str">
        <f t="shared" si="2"/>
        <v>Burlington Coat Factory</v>
      </c>
      <c r="E5" t="str">
        <f t="shared" si="3"/>
        <v>Unknown</v>
      </c>
      <c r="F5" t="str">
        <f t="shared" si="4"/>
        <v>Unknown</v>
      </c>
    </row>
    <row r="6" spans="1:6" x14ac:dyDescent="0.25">
      <c r="A6" t="s">
        <v>24</v>
      </c>
      <c r="B6" t="str">
        <f t="shared" si="0"/>
        <v>1050778402</v>
      </c>
      <c r="C6" t="str">
        <f t="shared" si="1"/>
        <v>Burlington Coat Factory Unknown</v>
      </c>
      <c r="D6" t="str">
        <f t="shared" si="2"/>
        <v>Burlington Coat Factory</v>
      </c>
      <c r="E6" t="str">
        <f t="shared" si="3"/>
        <v>Unknown</v>
      </c>
      <c r="F6" t="str">
        <f t="shared" si="4"/>
        <v>Unknown</v>
      </c>
    </row>
    <row r="7" spans="1:6" x14ac:dyDescent="0.25">
      <c r="A7" t="s">
        <v>25</v>
      </c>
      <c r="B7" t="str">
        <f t="shared" si="0"/>
        <v>1050778403</v>
      </c>
      <c r="C7" t="str">
        <f t="shared" si="1"/>
        <v>Burlington Coat Factory Unknown</v>
      </c>
      <c r="D7" t="str">
        <f t="shared" si="2"/>
        <v>Burlington Coat Factory</v>
      </c>
      <c r="E7" t="str">
        <f t="shared" si="3"/>
        <v>Unknown</v>
      </c>
      <c r="F7" t="str">
        <f t="shared" si="4"/>
        <v>Unknown</v>
      </c>
    </row>
    <row r="8" spans="1:6" x14ac:dyDescent="0.25">
      <c r="A8" t="s">
        <v>26</v>
      </c>
      <c r="B8" t="str">
        <f t="shared" si="0"/>
        <v>1050778404</v>
      </c>
      <c r="C8" t="str">
        <f t="shared" si="1"/>
        <v>Burlington Coat Factory Unknown</v>
      </c>
      <c r="D8" t="str">
        <f t="shared" si="2"/>
        <v>Burlington Coat Factory</v>
      </c>
      <c r="E8" t="str">
        <f t="shared" si="3"/>
        <v>Unknown</v>
      </c>
      <c r="F8" t="str">
        <f t="shared" si="4"/>
        <v>Unknown</v>
      </c>
    </row>
    <row r="9" spans="1:6" x14ac:dyDescent="0.25">
      <c r="A9" t="s">
        <v>27</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28</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29</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30</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9"/>
  <sheetViews>
    <sheetView tabSelected="1" workbookViewId="0">
      <selection activeCell="C9" sqref="C9"/>
    </sheetView>
  </sheetViews>
  <sheetFormatPr defaultRowHeight="15" x14ac:dyDescent="0.25"/>
  <cols>
    <col min="1" max="1" width="62.85546875" style="15" customWidth="1"/>
  </cols>
  <sheetData>
    <row r="1" spans="1:1" x14ac:dyDescent="0.25">
      <c r="A1" s="1" t="s">
        <v>11</v>
      </c>
    </row>
    <row r="2" spans="1:1" x14ac:dyDescent="0.25">
      <c r="A2" t="s">
        <v>50</v>
      </c>
    </row>
    <row r="3" spans="1:1" x14ac:dyDescent="0.25">
      <c r="A3" t="s">
        <v>58</v>
      </c>
    </row>
    <row r="4" spans="1:1" x14ac:dyDescent="0.25">
      <c r="A4" t="s">
        <v>88</v>
      </c>
    </row>
    <row r="5" spans="1:1" x14ac:dyDescent="0.25">
      <c r="A5" t="s">
        <v>86</v>
      </c>
    </row>
    <row r="6" spans="1:1" x14ac:dyDescent="0.25">
      <c r="A6" t="s">
        <v>79</v>
      </c>
    </row>
    <row r="7" spans="1:1" x14ac:dyDescent="0.25">
      <c r="A7" t="s">
        <v>51</v>
      </c>
    </row>
    <row r="8" spans="1:1" x14ac:dyDescent="0.25">
      <c r="A8" t="s">
        <v>113</v>
      </c>
    </row>
    <row r="9" spans="1:1" x14ac:dyDescent="0.25">
      <c r="A9" t="s">
        <v>67</v>
      </c>
    </row>
    <row r="10" spans="1:1" x14ac:dyDescent="0.25">
      <c r="A10" t="s">
        <v>89</v>
      </c>
    </row>
    <row r="11" spans="1:1" x14ac:dyDescent="0.25">
      <c r="A11" t="s">
        <v>65</v>
      </c>
    </row>
    <row r="12" spans="1:1" x14ac:dyDescent="0.25">
      <c r="A12" t="s">
        <v>64</v>
      </c>
    </row>
    <row r="13" spans="1:1" x14ac:dyDescent="0.25">
      <c r="A13" t="s">
        <v>60</v>
      </c>
    </row>
    <row r="14" spans="1:1" x14ac:dyDescent="0.25">
      <c r="A14" t="s">
        <v>77</v>
      </c>
    </row>
    <row r="15" spans="1:1" x14ac:dyDescent="0.25">
      <c r="A15" t="s">
        <v>83</v>
      </c>
    </row>
    <row r="16" spans="1:1" x14ac:dyDescent="0.25">
      <c r="A16" t="s">
        <v>81</v>
      </c>
    </row>
    <row r="17" spans="1:1" x14ac:dyDescent="0.25">
      <c r="A17" t="s">
        <v>82</v>
      </c>
    </row>
    <row r="18" spans="1:1" x14ac:dyDescent="0.25">
      <c r="A18" t="s">
        <v>78</v>
      </c>
    </row>
    <row r="19" spans="1:1" x14ac:dyDescent="0.25">
      <c r="A19" t="s">
        <v>91</v>
      </c>
    </row>
    <row r="20" spans="1:1" x14ac:dyDescent="0.25">
      <c r="A20" t="s">
        <v>54</v>
      </c>
    </row>
    <row r="21" spans="1:1" x14ac:dyDescent="0.25">
      <c r="A21" t="s">
        <v>87</v>
      </c>
    </row>
    <row r="22" spans="1:1" x14ac:dyDescent="0.25">
      <c r="A22" t="s">
        <v>56</v>
      </c>
    </row>
    <row r="23" spans="1:1" x14ac:dyDescent="0.25">
      <c r="A23" t="s">
        <v>63</v>
      </c>
    </row>
    <row r="24" spans="1:1" x14ac:dyDescent="0.25">
      <c r="A24" t="s">
        <v>84</v>
      </c>
    </row>
    <row r="25" spans="1:1" x14ac:dyDescent="0.25">
      <c r="A25" t="s">
        <v>68</v>
      </c>
    </row>
    <row r="26" spans="1:1" x14ac:dyDescent="0.25">
      <c r="A26" t="s">
        <v>85</v>
      </c>
    </row>
    <row r="27" spans="1:1" x14ac:dyDescent="0.25">
      <c r="A27" t="s">
        <v>62</v>
      </c>
    </row>
    <row r="28" spans="1:1" x14ac:dyDescent="0.25">
      <c r="A28" t="s">
        <v>48</v>
      </c>
    </row>
    <row r="29" spans="1:1" x14ac:dyDescent="0.25">
      <c r="A29" t="s">
        <v>90</v>
      </c>
    </row>
    <row r="30" spans="1:1" x14ac:dyDescent="0.25">
      <c r="A30" t="s">
        <v>66</v>
      </c>
    </row>
    <row r="31" spans="1:1" x14ac:dyDescent="0.25">
      <c r="A31" t="s">
        <v>80</v>
      </c>
    </row>
    <row r="32" spans="1:1"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pending</vt:lpstr>
      <vt:lpstr>completed</vt:lpstr>
      <vt:lpstr>notes</vt:lpstr>
      <vt:lpstr>Sheet2</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2021-11-10T14:19:05Z</dcterms:modified>
</cp:coreProperties>
</file>