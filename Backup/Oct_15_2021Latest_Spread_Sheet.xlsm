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artner" sheetId="4" r:id="rId2"/>
    <sheet name="Sheet1" sheetId="6" r:id="rId3"/>
    <sheet name="clean_list" sheetId="5" r:id="rId4"/>
    <sheet name="notes" sheetId="3" r:id="rId5"/>
    <sheet name="Sheet2" sheetId="2"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 l="1"/>
  <c r="C3" i="1"/>
  <c r="B2" i="1"/>
  <c r="B31" i="1"/>
  <c r="B15" i="1" l="1"/>
  <c r="C15" i="1"/>
  <c r="E15" i="1"/>
  <c r="B30" i="1" l="1"/>
  <c r="B5" i="1"/>
  <c r="B7" i="1"/>
  <c r="B8" i="1"/>
  <c r="B29" i="1"/>
  <c r="B28" i="1"/>
  <c r="B6" i="1"/>
  <c r="C29" i="1"/>
  <c r="B12" i="1" l="1"/>
  <c r="B16" i="1"/>
  <c r="B14" i="1"/>
  <c r="B10" i="1"/>
  <c r="B11" i="1"/>
  <c r="B17" i="1"/>
  <c r="B13" i="1"/>
  <c r="B26" i="1"/>
  <c r="B23" i="1"/>
  <c r="B19" i="1"/>
  <c r="B21" i="1"/>
  <c r="B20" i="1"/>
  <c r="B22" i="1"/>
  <c r="B27" i="1"/>
  <c r="B18" i="1"/>
  <c r="E28" i="1" l="1"/>
  <c r="E29" i="1" l="1"/>
  <c r="E31" i="1"/>
  <c r="E12" i="1"/>
  <c r="E16" i="1"/>
  <c r="E14" i="1"/>
  <c r="E10" i="1"/>
  <c r="E11" i="1"/>
  <c r="E17" i="1"/>
  <c r="E13" i="1"/>
  <c r="E26" i="1"/>
  <c r="E23" i="1"/>
  <c r="E19" i="1"/>
  <c r="E21" i="1"/>
  <c r="E20" i="1"/>
  <c r="E22" i="1"/>
  <c r="E27" i="1"/>
  <c r="E18" i="1"/>
  <c r="E24" i="1"/>
  <c r="E25"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B21" i="3" l="1"/>
  <c r="B20" i="3"/>
  <c r="E30" i="1" l="1"/>
  <c r="E9" i="1" l="1"/>
  <c r="E3" i="1"/>
  <c r="E6" i="1"/>
  <c r="E2" i="1" l="1"/>
  <c r="A3" i="4" l="1"/>
  <c r="B9" i="1"/>
  <c r="A41" i="4" s="1"/>
  <c r="B4" i="1"/>
  <c r="A70" i="4"/>
  <c r="A77" i="4"/>
  <c r="A78" i="4"/>
  <c r="A84" i="4"/>
  <c r="A85" i="4"/>
  <c r="B24" i="1"/>
  <c r="B25" i="1"/>
  <c r="A92" i="4" s="1"/>
  <c r="A94" i="4"/>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C2" i="1"/>
  <c r="C9" i="1"/>
  <c r="C30" i="1"/>
  <c r="C28" i="1"/>
  <c r="C6" i="1"/>
  <c r="C8" i="1"/>
  <c r="C5" i="1"/>
  <c r="C4" i="1"/>
  <c r="C7" i="1"/>
  <c r="C31" i="1"/>
  <c r="C12" i="1"/>
  <c r="C16" i="1"/>
  <c r="C14" i="1"/>
  <c r="C10" i="1"/>
  <c r="C11" i="1"/>
  <c r="C17" i="1"/>
  <c r="C13" i="1"/>
  <c r="C26" i="1"/>
  <c r="C23" i="1"/>
  <c r="C19" i="1"/>
  <c r="C21" i="1"/>
  <c r="C20" i="1"/>
  <c r="C22" i="1"/>
  <c r="C27" i="1"/>
  <c r="C18" i="1"/>
  <c r="C24" i="1"/>
  <c r="C25"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A95" i="4" l="1"/>
  <c r="A98" i="4"/>
  <c r="A90" i="4"/>
  <c r="A82" i="4"/>
  <c r="A96" i="4"/>
  <c r="A88" i="4"/>
  <c r="A80" i="4"/>
  <c r="A87" i="4"/>
  <c r="A93" i="4"/>
  <c r="A76" i="4"/>
  <c r="A91" i="4"/>
  <c r="A83" i="4"/>
  <c r="A75" i="4"/>
  <c r="A74" i="4"/>
  <c r="A97" i="4"/>
  <c r="A89" i="4"/>
  <c r="A81" i="4"/>
  <c r="A73" i="4"/>
  <c r="A72" i="4"/>
  <c r="A79" i="4"/>
  <c r="A86" i="4"/>
  <c r="A65" i="4"/>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58" i="1"/>
  <c r="F157" i="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25" i="1"/>
  <c r="G25" i="1" s="1"/>
  <c r="F24" i="1"/>
  <c r="G24" i="1" s="1"/>
  <c r="F18" i="1"/>
  <c r="G18" i="1" s="1"/>
  <c r="F27" i="1"/>
  <c r="G27" i="1" s="1"/>
  <c r="F22" i="1"/>
  <c r="G22" i="1" s="1"/>
  <c r="F20" i="1"/>
  <c r="G20" i="1" s="1"/>
  <c r="F21" i="1"/>
  <c r="G21" i="1" s="1"/>
  <c r="F19" i="1"/>
  <c r="G19" i="1" s="1"/>
  <c r="F23" i="1"/>
  <c r="G23" i="1" s="1"/>
  <c r="F26" i="1"/>
  <c r="G26" i="1" s="1"/>
  <c r="F13" i="1"/>
  <c r="G13" i="1" s="1"/>
  <c r="F17" i="1"/>
  <c r="G17" i="1" s="1"/>
  <c r="F11" i="1"/>
  <c r="G11" i="1" s="1"/>
  <c r="F10" i="1"/>
  <c r="G10" i="1" s="1"/>
  <c r="F14" i="1"/>
  <c r="G14" i="1" s="1"/>
  <c r="F16" i="1"/>
  <c r="G16" i="1" s="1"/>
  <c r="F12" i="1"/>
  <c r="G12" i="1" s="1"/>
  <c r="F31" i="1"/>
  <c r="G31" i="1" s="1"/>
  <c r="F29" i="1"/>
  <c r="G29" i="1" s="1"/>
  <c r="F6" i="1"/>
  <c r="G6" i="1" s="1"/>
  <c r="F28" i="1"/>
  <c r="G28" i="1" s="1"/>
  <c r="F3" i="1"/>
  <c r="G3" i="1" s="1"/>
  <c r="F30" i="1"/>
  <c r="G30" i="1" s="1"/>
  <c r="F9" i="1"/>
  <c r="G9" i="1" s="1"/>
  <c r="F2" i="1"/>
  <c r="G2" i="1" s="1"/>
  <c r="F15" i="1"/>
  <c r="G15" i="1" s="1"/>
  <c r="E5" i="1"/>
  <c r="F5" i="1" s="1"/>
  <c r="G5" i="1" s="1"/>
  <c r="E7" i="1"/>
  <c r="F7" i="1" s="1"/>
  <c r="G7" i="1" s="1"/>
  <c r="E8" i="1"/>
  <c r="F8" i="1" s="1"/>
  <c r="G8" i="1" s="1"/>
  <c r="E4" i="1"/>
  <c r="F4" i="1" s="1"/>
  <c r="G4" i="1" s="1"/>
  <c r="D17" i="2"/>
  <c r="D19" i="2"/>
  <c r="E29" i="2"/>
  <c r="E5" i="2"/>
  <c r="E3" i="2"/>
  <c r="D10" i="2"/>
  <c r="D2" i="2"/>
  <c r="E28" i="2"/>
  <c r="D11" i="2"/>
  <c r="E13" i="2"/>
  <c r="E32" i="2"/>
  <c r="D26" i="2"/>
  <c r="D24" i="2"/>
  <c r="D28" i="2"/>
  <c r="D21" i="2"/>
  <c r="D12" i="2"/>
  <c r="E27" i="2"/>
  <c r="E25" i="2"/>
  <c r="E26" i="2"/>
  <c r="D7" i="2"/>
  <c r="E35" i="2"/>
  <c r="E20" i="2"/>
  <c r="D15" i="2"/>
  <c r="D20" i="2"/>
  <c r="D22" i="2"/>
  <c r="D23" i="2"/>
  <c r="E17" i="2"/>
  <c r="E21" i="2"/>
  <c r="E34" i="2"/>
  <c r="D29" i="2"/>
  <c r="E22" i="2"/>
  <c r="D31" i="2"/>
  <c r="D9" i="2"/>
  <c r="D13" i="2"/>
  <c r="E10" i="2"/>
  <c r="D5" i="2"/>
  <c r="E4" i="2"/>
  <c r="E33" i="2"/>
  <c r="E12" i="2"/>
  <c r="D4" i="2"/>
  <c r="E18" i="2"/>
  <c r="E11" i="2"/>
  <c r="D3" i="2"/>
  <c r="D30" i="2"/>
  <c r="E31" i="2"/>
  <c r="D27" i="2"/>
  <c r="E2" i="2"/>
  <c r="D18" i="2"/>
  <c r="D14" i="2"/>
  <c r="D25" i="2"/>
  <c r="E6" i="2"/>
  <c r="D6" i="2"/>
  <c r="E15" i="2"/>
  <c r="E23" i="2"/>
  <c r="E19" i="2"/>
  <c r="E7" i="2"/>
  <c r="E9" i="2"/>
  <c r="E14" i="2"/>
  <c r="E30" i="2"/>
  <c r="D8" i="2"/>
  <c r="E16" i="2"/>
  <c r="D16" i="2" l="1"/>
  <c r="E8" i="2"/>
  <c r="E24" i="2"/>
</calcChain>
</file>

<file path=xl/sharedStrings.xml><?xml version="1.0" encoding="utf-8"?>
<sst xmlns="http://schemas.openxmlformats.org/spreadsheetml/2006/main" count="143" uniqueCount="120">
  <si>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</si>
  <si>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</si>
  <si>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</si>
  <si>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</si>
  <si>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</si>
  <si>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</si>
  <si>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</si>
  <si>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</si>
  <si>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</si>
  <si>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</si>
  <si>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</si>
  <si>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</si>
  <si>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</si>
  <si>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</si>
  <si>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</si>
  <si>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</si>
  <si>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</si>
  <si>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</si>
  <si>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</si>
  <si>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</si>
  <si>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</si>
  <si>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</si>
  <si>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</si>
  <si>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</si>
  <si>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</si>
  <si>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</si>
  <si>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</si>
  <si>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</si>
  <si>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</si>
  <si>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</si>
  <si>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</si>
  <si>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</si>
  <si>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</si>
  <si>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</si>
  <si>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</si>
  <si>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</si>
  <si>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</si>
  <si>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</si>
  <si>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</si>
  <si>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Startrack - 3PL : New Trading Partner Setup</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</si>
  <si>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</si>
  <si>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</si>
  <si>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</si>
  <si>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</si>
  <si>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</si>
  <si>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</si>
  <si>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</si>
  <si>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</si>
  <si>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</si>
  <si>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</si>
  <si>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</si>
  <si>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</si>
  <si>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</si>
  <si>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</si>
  <si>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</si>
  <si>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</si>
  <si>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</si>
  <si>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</si>
  <si>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jana.iddings@magna.com</t>
  </si>
  <si>
    <t>No Contacts</t>
  </si>
  <si>
    <t>Testing : Martha Stewart : New Trading Partner Setup</t>
  </si>
  <si>
    <t>Testing : Pure Country West : New Trading Partner Setup</t>
  </si>
  <si>
    <t>rebeccab@purecountry.com</t>
  </si>
  <si>
    <t>Testing : Reny's - Down East Wholesalers : New Trading Partner Setup</t>
  </si>
  <si>
    <t>Testing : Ollie's Bargain Outlet : New Trading Partner Setup</t>
  </si>
  <si>
    <t>Testing : Humanscale : New Trading Partner Setup</t>
  </si>
  <si>
    <t>Testing : Raynor Gaming : New Trading Partner Setup</t>
  </si>
  <si>
    <t>Laura.Tobia@bgfoods.com</t>
  </si>
  <si>
    <t>dgrossman@raynorgroup.com</t>
  </si>
  <si>
    <t>Testing : Abilityone : New Trading Partner Setup</t>
  </si>
  <si>
    <t>Testing : C2wireless SPS Vendor : New Trading Partner Setup</t>
  </si>
  <si>
    <t>nkumar@nib.org</t>
  </si>
  <si>
    <t>Cstokes@c2wdistribution.com</t>
  </si>
  <si>
    <t>10.9.21 Assign a mapping case: 
9.30.21 Reach out to new Contacts again
9.22.21 Reach out to new contacts
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</si>
  <si>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Testing : Herregan Distributors Inc. : New Trading Partner Setup</t>
  </si>
  <si>
    <t>Testing : Wika Vendor : New Trading Partner Setup</t>
  </si>
  <si>
    <t>Testing : Radiant Wheels : New Trading Partner Setup</t>
  </si>
  <si>
    <t>Testing : Conn's Home Plus : New Trading Partner Setup</t>
  </si>
  <si>
    <t>Testing : HD Supply - White Cap : New Trading Partner Setup</t>
  </si>
  <si>
    <t>Testing : Wormser Corporation-Jaguar Freight XML : New Trading Partner Setup</t>
  </si>
  <si>
    <t>Testing : Radial : New Trading Partner Setup</t>
  </si>
  <si>
    <t>Testing : Tower Automotive - Bellevue : New Trading Partner Setup</t>
  </si>
  <si>
    <t>Testing : Rhenus Contract Logistics - VSC : New Trading Partner Setup</t>
  </si>
  <si>
    <t>Testing : Essendant : New Trading Partner SetupTesting : Warehouse Direct : New Trading Partner Setup</t>
  </si>
  <si>
    <t>Testing : Guitar Center - XML Trading Partner : New Trading Partner Setup</t>
  </si>
  <si>
    <t>Testing : Georges Music XML : New Trading Partner Setup</t>
  </si>
  <si>
    <t>Testing : RG Sellers : New Trading Partner Setup</t>
  </si>
  <si>
    <t>Testing : Valley Bakers : New Trading Partner Setup</t>
  </si>
  <si>
    <t>Testing : Del Mar Fans : New Trading Partner Setup</t>
  </si>
  <si>
    <t>Testing : Stego Germany : New Trading Partner Setup</t>
  </si>
  <si>
    <t>Testing : Sun &amp; Ski Sports : New Trading Partner Setup</t>
  </si>
  <si>
    <t>10.9.21 Reach out to trading partner: 1</t>
  </si>
  <si>
    <t>10.11.21 Reach out to trading partner: 1</t>
  </si>
  <si>
    <t>dgartman@gartman.com</t>
  </si>
  <si>
    <t>Cheryl.Thornton@wika.com</t>
  </si>
  <si>
    <t>spande@radiantdelivers.com</t>
  </si>
  <si>
    <t>Multiple Records</t>
  </si>
  <si>
    <t>JoAnn.Leadbeter@hdsupply.com</t>
  </si>
  <si>
    <t>terrence.bisch@hdsupply.com</t>
  </si>
  <si>
    <t>annmarie@wormsergroup.com</t>
  </si>
  <si>
    <t>Armin@jaguarfreight.com</t>
  </si>
  <si>
    <t>kseibel@autokiniton.com</t>
  </si>
  <si>
    <t>gc@gc.com</t>
  </si>
  <si>
    <t>Mike.Smith@valleybakers.com</t>
  </si>
  <si>
    <t>AshleyD@delmarfans.com</t>
  </si>
  <si>
    <t>ddeschner@Stego.de</t>
  </si>
  <si>
    <t>criley@sunandski.com</t>
  </si>
  <si>
    <t>johnnielboswell@dicentral.com</t>
  </si>
  <si>
    <t>10.13.21 Waiting for FTP credential frome RevCascade
10.8.21 Reach out to RevCascade again:2
9.28.21 Reach out to RevCascade again
9.22.21 Assign a mapping case: 13866980
9.15.21 Reach out to trading partner:3
9.6.21 Reach out to trading partner:2
8.27.21 Reach out to trading partner</t>
  </si>
  <si>
    <t>10.14.21 Reach out to trading partner:3
10.8.21 Reach out to trading partner:2
9.27.21 Reaching out to trading partner</t>
  </si>
  <si>
    <t>10.14.21 Reach our to Brad for contact
10.8.21 Waiting for  contact from Adam
9.26.21 Waiting for  contact from Adam
9.22.21 Waiting for  contact from Adam
9.10.21 Waiting for  contact 
9.3.21 Reach out to IM for a contact
8.27.21 Reach out to IM for a contact</t>
  </si>
  <si>
    <t xml:space="preserve">
10.14.21 Waiting for the updates
10.8.21 Reach out to trading partner:2
9.27.21 Reaching out to trading partner</t>
  </si>
  <si>
    <t>10.14.21 Reach out to Ravi again
10.8.21 Assign a mapping case: 13908268
9.29.21 Ask for a spec
9.26.21 Reach out to Allan Levy for the specification
9.22.21 Reach out to new contact
9.10.21 Reach out to Brandon for a new contact:3
9.3.21 Reach out to Brandon for a new contact:2
8.26.21 Reach out to Brandon Jones for a new contact
8.19.21 Reach out to contact:4
8.11.21 Reach out to Brandon Jones for a new contact
8.5.21 Reach out to trading partner:3</t>
  </si>
  <si>
    <t>10.14.21 Reach out to Cosma for details again:2
10.8.21 Reach out to Cosma for details again
9.29.21 Wait for reply from Cosma
9.26.21 Reach out to Brandon and confirm again 
9.22.21 Reach out to new contact:2
9.10.21 Reach out to new contact
9.3.21 Reach out to Brandon Jones for a new Contact
8.27.21 Reach out to trading partner</t>
  </si>
  <si>
    <t>10.15.21 submitted a Map case: 13933538
10.8.21 Reach out to Brad for transaction type
9.29.21 Reach out to a contact
9.24.21 Reach out to Brad for a contact of Humanscale
9.17.21 No Contacts</t>
  </si>
  <si>
    <t>10.15.21 Reach out to new contact:2
10.8.21 Reach out to new contact:1
9.26.21 Reach out to TP:2
9.17.21 Reach out to trading partner</t>
  </si>
  <si>
    <t>10.15.21 Reach out to Bill agian
10.8.21 Reach out to Bill again
9.28.21 Waiting for reply from Bill
9.22.21 Reach out to trading partenr:2
9.13.21 Reach out to trading partner</t>
  </si>
  <si>
    <t>10.15.21 Ask Brad for a new contact
10.8.21 Reach out to TP:3
9.26.21 Reach out to TP:2
9.17.21 Reach out to trading partner</t>
  </si>
  <si>
    <t>10.15.21 Reach out to contact again:2
10.8.21 Reach out to new contact:1
9.26.21 Reach out to TP:2
9.17.21 Reach out to trading partner</t>
  </si>
  <si>
    <t>10.15.21 Reach out to new Contact:2
10.8.21 Reach out to new Contact
9.28.21 Reach out to IM Lori Stevens for a new contact:3
9.22.21 Reach out to IM Lori Stevens for a new contact:2
9.15.21 Reach out to IM Lori Stevens for a new contact
9.6.21 Reached out to trading partner:3
8.27.21 Reached out to trading partner:2
8.20.21 Reached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</si>
</sst>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9">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40">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165" fontId="0" fillId="0" borderId="0" xfId="0" applyNumberFormat="1" applyBorder="1" applyAlignment="1">
      <alignment vertical="top"/>
    </xf>
    <xf numFmtId="0" fontId="7" fillId="6" borderId="0" xfId="0" applyFont="1" applyFill="1" applyBorder="1" applyAlignment="1">
      <alignment vertical="top"/>
    </xf>
    <xf numFmtId="0" fontId="6" fillId="5" borderId="0" xfId="5" applyAlignment="1">
      <alignment vertical="top" wrapText="1"/>
    </xf>
    <xf numFmtId="0" fontId="0" fillId="8" borderId="0" xfId="0" applyFill="1"/>
    <xf numFmtId="0" fontId="0" fillId="0" borderId="0" xfId="0" applyBorder="1" applyAlignment="1">
      <alignment vertical="top" wrapText="1"/>
    </xf>
    <xf numFmtId="0" fontId="0" fillId="0" borderId="0" xfId="0" applyNumberFormat="1"/>
    <xf numFmtId="0" fontId="2" fillId="0" borderId="0" xfId="0" applyFont="1" applyBorder="1" applyAlignment="1">
      <alignment vertical="top"/>
    </xf>
    <xf numFmtId="0" fontId="2" fillId="6" borderId="0" xfId="0" applyFont="1" applyFill="1" applyBorder="1" applyAlignment="1">
      <alignment horizontal="left" vertical="top"/>
    </xf>
    <xf numFmtId="0" fontId="2" fillId="0" borderId="0" xfId="0" applyFont="1" applyAlignment="1"/>
    <xf numFmtId="0" fontId="2" fillId="0" borderId="0" xfId="0" applyFont="1" applyBorder="1" applyAlignment="1"/>
    <xf numFmtId="0" fontId="4" fillId="0" borderId="0" xfId="3" applyAlignment="1"/>
    <xf numFmtId="0" fontId="2" fillId="0" borderId="2" xfId="0" applyFont="1" applyBorder="1" applyAlignment="1"/>
    <xf numFmtId="0" fontId="2" fillId="6" borderId="0" xfId="0" applyFont="1" applyFill="1" applyBorder="1" applyAlignment="1">
      <alignment horizontal="left" vertical="center"/>
    </xf>
    <xf numFmtId="0" fontId="2" fillId="0" borderId="2" xfId="0" applyFont="1" applyBorder="1" applyAlignment="1">
      <alignment vertical="top"/>
    </xf>
    <xf numFmtId="0" fontId="0" fillId="0" borderId="0" xfId="0" applyAlignment="1">
      <alignment wrapText="1"/>
    </xf>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58" totalsRowShown="0" headerRowDxfId="29" dataDxfId="28" headerRowCellStyle="Check Cell" dataCellStyle="Normal">
  <autoFilter ref="A1:AB158"/>
  <sortState ref="A2:AB162">
    <sortCondition ref="G1:G162"/>
  </sortState>
  <tableColumns count="28">
    <tableColumn id="1" name="PSA Task Name" dataDxfId="27" dataCellStyle="Normal"/>
    <tableColumn id="2" name="Customer  Name" dataDxfId="26" dataCellStyle="Normal">
      <calculatedColumnFormula xml:space="preserve"> MID(A2,SEARCH(":",A2)+2,SEARCH(":",A2,SEARCH(":",A2)+1)-SEARCH(":",A2)-3)</calculatedColumnFormula>
    </tableColumn>
    <tableColumn id="3" name="Partner Name2" dataDxfId="25" dataCellStyle="Normal">
      <calculatedColumnFormula>"part:"&amp;MID(A2,SEARCH(":",A2)+1,SEARCH(":",A2,SEARCH(":",A2)+1)-SEARCH(":",A2)-1)</calculatedColumnFormula>
    </tableColumn>
    <tableColumn id="29" name="Notes" dataDxfId="24"/>
    <tableColumn id="4" name="Latest Note" dataDxfId="23" dataCellStyle="Normal"/>
    <tableColumn id="5" name="4/30/21" dataDxfId="22" dataCellStyle="Normal">
      <calculatedColumnFormula>DATEVALUE(SUBSTITUTE(LEFT(E2,SEARCH(" ",E2)-1),".","/"))</calculatedColumnFormula>
    </tableColumn>
    <tableColumn id="6" name="Date" dataDxfId="21" dataCellStyle="Normal"/>
    <tableColumn id="7" name="Contact" dataDxfId="20" dataCellStyle="Normal"/>
    <tableColumn id="8" name="Email" dataDxfId="19" dataCellStyle="Normal"/>
    <tableColumn id="9" name="Column1" dataDxfId="18" dataCellStyle="Normal"/>
    <tableColumn id="10" name="directions" dataDxfId="17" dataCellStyle="Normal"/>
    <tableColumn id="11" name="Specs" dataDxfId="16" dataCellStyle="Normal"/>
    <tableColumn id="12" name="EDI ID" dataDxfId="15" dataCellStyle="Normal"/>
    <tableColumn id="13" name="Van/AS2/FTP" dataDxfId="14" dataCellStyle="Normal"/>
    <tableColumn id="14" name="Column10" dataDxfId="13" dataCellStyle="Normal"/>
    <tableColumn id="15" name="Column11" dataDxfId="12" dataCellStyle="Normal"/>
    <tableColumn id="16" name="Column12" dataDxfId="11" dataCellStyle="Normal"/>
    <tableColumn id="17" name="Column13" dataDxfId="10" dataCellStyle="Normal"/>
    <tableColumn id="18" name="Column14" dataDxfId="9" dataCellStyle="Normal"/>
    <tableColumn id="19" name="Column15" dataDxfId="8" dataCellStyle="Normal"/>
    <tableColumn id="20" name="Column16" dataDxfId="7" dataCellStyle="Normal"/>
    <tableColumn id="21" name="Column17" dataDxfId="6" dataCellStyle="Normal"/>
    <tableColumn id="22" name="Column18" dataDxfId="5" dataCellStyle="Normal"/>
    <tableColumn id="23" name="Column19" dataDxfId="4" dataCellStyle="Normal"/>
    <tableColumn id="24" name="Column20" dataDxfId="3" dataCellStyle="Normal"/>
    <tableColumn id="25" name="Column21" dataDxfId="2" dataCellStyle="Normal"/>
    <tableColumn id="26" name="Column22" dataDxfId="1" dataCellStyle="Normal"/>
    <tableColumn id="27" name="Column23" dataDxfId="0"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58"/>
  <sheetViews>
    <sheetView tabSelected="1" zoomScale="85" zoomScaleNormal="85" workbookViewId="0">
      <selection activeCell="D6" sqref="D6"/>
    </sheetView>
  </sheetViews>
  <sheetFormatPr defaultRowHeight="15" x14ac:dyDescent="0.25"/>
  <cols>
    <col min="1" max="1" width="55.140625" style="15" customWidth="1"/>
    <col min="2" max="2" width="26.42578125" customWidth="1"/>
    <col min="3" max="3" width="32.7109375" customWidth="1"/>
    <col min="4" max="4" width="103.42578125" style="3" customWidth="1"/>
    <col min="5" max="5" width="51.28515625"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11</v>
      </c>
      <c r="B1" s="1" t="s">
        <v>55</v>
      </c>
      <c r="C1" s="1" t="s">
        <v>12</v>
      </c>
      <c r="D1" s="15" t="s">
        <v>51</v>
      </c>
      <c r="E1" s="1" t="s">
        <v>13</v>
      </c>
      <c r="F1" s="1" t="s">
        <v>14</v>
      </c>
      <c r="G1" s="6" t="s">
        <v>15</v>
      </c>
      <c r="H1" s="1" t="s">
        <v>16</v>
      </c>
      <c r="I1" s="1" t="s">
        <v>17</v>
      </c>
      <c r="J1" s="10" t="s">
        <v>46</v>
      </c>
      <c r="K1" s="1" t="s">
        <v>42</v>
      </c>
      <c r="L1" s="1" t="s">
        <v>43</v>
      </c>
      <c r="M1" s="1" t="s">
        <v>44</v>
      </c>
      <c r="N1" s="1" t="s">
        <v>45</v>
      </c>
      <c r="O1" s="1" t="s">
        <v>0</v>
      </c>
      <c r="P1" s="8" t="s">
        <v>1</v>
      </c>
      <c r="Q1" s="8" t="s">
        <v>2</v>
      </c>
      <c r="R1" s="8" t="s">
        <v>3</v>
      </c>
      <c r="S1" s="9" t="s">
        <v>4</v>
      </c>
      <c r="T1" s="9" t="s">
        <v>5</v>
      </c>
      <c r="U1" s="9" t="s">
        <v>6</v>
      </c>
      <c r="V1" s="9" t="s">
        <v>7</v>
      </c>
      <c r="W1" s="9" t="s">
        <v>8</v>
      </c>
      <c r="X1" s="9" t="s">
        <v>9</v>
      </c>
      <c r="Y1" s="9" t="s">
        <v>10</v>
      </c>
      <c r="Z1" s="9" t="s">
        <v>18</v>
      </c>
      <c r="AA1" s="9" t="s">
        <v>19</v>
      </c>
      <c r="AB1" s="9" t="s">
        <v>20</v>
      </c>
    </row>
    <row r="2" spans="1:28" ht="165.75" thickTop="1" x14ac:dyDescent="0.25">
      <c r="A2" s="30" t="s">
        <v>47</v>
      </c>
      <c r="B2" s="16" t="str">
        <f t="shared" ref="B2:B31" si="0" xml:space="preserve"> MID(A2,SEARCH(":",A2)+2,SEARCH(":",A2,SEARCH(":",A2)+1)-SEARCH(":",A2)-3)</f>
        <v>Commercial Spring &amp; Tool</v>
      </c>
      <c r="C2" s="16" t="str">
        <f t="shared" ref="C2:C31" si="1">"part:"&amp;MID(A2,SEARCH(":",A2)+1,SEARCH(":",A2,SEARCH(":",A2)+1)-SEARCH(":",A2)-1)</f>
        <v xml:space="preserve">part: Commercial Spring &amp; Tool </v>
      </c>
      <c r="D2" s="27" t="s">
        <v>112</v>
      </c>
      <c r="E2" s="15" t="str">
        <f>IF(Table2[[#This Row],[Notes]]="","",LEFT(Table2[[#This Row],[Notes]],FIND(CHAR(10),Table2[[#This Row],[Notes]]&amp;CHAR(10))-1))</f>
        <v>10.14.21 Reach out to Ravi again</v>
      </c>
      <c r="F2" s="16">
        <f t="shared" ref="F2:F31" si="2">DATEVALUE(SUBSTITUTE(LEFT(E2,SEARCH(" ",E2)-1),".","/"))</f>
        <v>44483</v>
      </c>
      <c r="G2" s="20">
        <f t="shared" ref="G2:G31" ca="1" si="3">IF(ISERROR(F2),TODAY(),F2)</f>
        <v>44483</v>
      </c>
      <c r="H2" s="24"/>
      <c r="I2" s="21" t="s">
        <v>48</v>
      </c>
      <c r="J2" s="23"/>
      <c r="K2" s="16"/>
      <c r="L2" s="16"/>
      <c r="M2" s="16"/>
      <c r="N2" s="16"/>
      <c r="O2" s="16"/>
      <c r="P2" s="16"/>
      <c r="Q2" s="16"/>
      <c r="R2" s="16"/>
      <c r="S2" s="16"/>
      <c r="T2" s="16"/>
      <c r="U2" s="16"/>
      <c r="V2" s="16"/>
      <c r="W2" s="16"/>
      <c r="X2" s="16"/>
      <c r="Y2" s="16"/>
      <c r="Z2" s="16"/>
      <c r="AA2" s="16"/>
      <c r="AB2" s="16"/>
    </row>
    <row r="3" spans="1:28" ht="120" x14ac:dyDescent="0.25">
      <c r="A3" s="29" t="s">
        <v>57</v>
      </c>
      <c r="B3" s="16" t="str">
        <f t="shared" si="0"/>
        <v>Cosma - Bowling Green Metalforming</v>
      </c>
      <c r="C3" s="16" t="str">
        <f t="shared" si="1"/>
        <v xml:space="preserve">part: Cosma - Bowling Green Metalforming </v>
      </c>
      <c r="D3" s="27" t="s">
        <v>113</v>
      </c>
      <c r="E3" s="15" t="str">
        <f>IF(Table2[[#This Row],[Notes]]="","",LEFT(Table2[[#This Row],[Notes]],FIND(CHAR(10),Table2[[#This Row],[Notes]]&amp;CHAR(10))-1))</f>
        <v>10.14.21 Reach out to Cosma for details again:2</v>
      </c>
      <c r="F3" s="16">
        <f t="shared" si="2"/>
        <v>44483</v>
      </c>
      <c r="G3" s="20">
        <f t="shared" ca="1" si="3"/>
        <v>44483</v>
      </c>
      <c r="H3" s="21" t="s">
        <v>58</v>
      </c>
      <c r="I3" s="16"/>
      <c r="J3" s="23"/>
      <c r="K3" s="16"/>
      <c r="L3" s="16"/>
      <c r="M3" s="16"/>
      <c r="N3" s="16"/>
      <c r="O3" s="16"/>
      <c r="P3" s="16"/>
      <c r="Q3" s="16"/>
      <c r="R3" s="16"/>
      <c r="S3" s="16"/>
      <c r="T3" s="16"/>
      <c r="U3" s="16"/>
      <c r="V3" s="16"/>
      <c r="W3" s="16"/>
      <c r="X3" s="16"/>
      <c r="Y3" s="16"/>
      <c r="Z3" s="16"/>
      <c r="AA3" s="16"/>
      <c r="AB3" s="16"/>
    </row>
    <row r="4" spans="1:28" ht="75" x14ac:dyDescent="0.25">
      <c r="A4" s="32" t="s">
        <v>65</v>
      </c>
      <c r="B4" s="15" t="str">
        <f t="shared" si="0"/>
        <v>Humanscale</v>
      </c>
      <c r="C4" s="15" t="str">
        <f t="shared" si="1"/>
        <v xml:space="preserve">part: Humanscale </v>
      </c>
      <c r="D4" s="1" t="s">
        <v>114</v>
      </c>
      <c r="E4" s="15" t="str">
        <f>IF(Table2[[#This Row],[Notes]]="","",LEFT(Table2[[#This Row],[Notes]],FIND(CHAR(10),Table2[[#This Row],[Notes]]&amp;CHAR(10))-1))</f>
        <v>10.15.21 submitted a Map case: 13933538</v>
      </c>
      <c r="F4" s="15">
        <f t="shared" si="2"/>
        <v>44484</v>
      </c>
      <c r="G4" s="20">
        <f t="shared" ca="1" si="3"/>
        <v>44484</v>
      </c>
      <c r="H4" s="3" t="s">
        <v>59</v>
      </c>
      <c r="I4" s="15"/>
      <c r="J4" s="22"/>
      <c r="K4" s="15"/>
      <c r="L4" s="15"/>
      <c r="M4" s="15"/>
      <c r="N4" s="15"/>
      <c r="O4" s="15"/>
      <c r="P4" s="15"/>
      <c r="Q4" s="15"/>
      <c r="R4" s="15"/>
      <c r="S4" s="15"/>
      <c r="T4" s="15"/>
      <c r="U4" s="15"/>
      <c r="V4" s="15"/>
      <c r="W4" s="15"/>
      <c r="X4" s="15"/>
      <c r="Y4" s="15"/>
      <c r="Z4" s="15"/>
      <c r="AA4" s="15"/>
      <c r="AB4" s="15"/>
    </row>
    <row r="5" spans="1:28" s="1" customFormat="1" ht="60" x14ac:dyDescent="0.25">
      <c r="A5" s="31" t="s">
        <v>64</v>
      </c>
      <c r="B5" s="15" t="str">
        <f t="shared" si="0"/>
        <v>Ollie's Bargain Outlet</v>
      </c>
      <c r="C5" s="15" t="str">
        <f t="shared" si="1"/>
        <v xml:space="preserve">part: Ollie's Bargain Outlet </v>
      </c>
      <c r="D5" s="1" t="s">
        <v>115</v>
      </c>
      <c r="E5" s="15" t="str">
        <f>IF(Table2[[#This Row],[Notes]]="","",LEFT(Table2[[#This Row],[Notes]],FIND(CHAR(10),Table2[[#This Row],[Notes]]&amp;CHAR(10))-1))</f>
        <v>10.15.21 Reach out to new contact:2</v>
      </c>
      <c r="F5" s="15">
        <f t="shared" si="2"/>
        <v>44484</v>
      </c>
      <c r="G5" s="20">
        <f t="shared" ca="1" si="3"/>
        <v>44484</v>
      </c>
      <c r="H5" s="3" t="s">
        <v>67</v>
      </c>
      <c r="I5" s="15"/>
      <c r="J5" s="22"/>
      <c r="K5" s="15"/>
      <c r="L5" s="15"/>
      <c r="M5" s="15"/>
      <c r="N5" s="15"/>
      <c r="O5" s="15"/>
      <c r="P5" s="15"/>
      <c r="Q5" s="15"/>
      <c r="R5" s="15"/>
      <c r="S5" s="15"/>
      <c r="T5" s="15"/>
      <c r="U5" s="15"/>
      <c r="V5" s="15"/>
      <c r="W5" s="15"/>
      <c r="X5" s="15"/>
      <c r="Y5" s="15"/>
      <c r="Z5" s="15"/>
      <c r="AA5" s="15"/>
      <c r="AB5" s="15"/>
    </row>
    <row r="6" spans="1:28" ht="75" x14ac:dyDescent="0.25">
      <c r="A6" s="29" t="s">
        <v>61</v>
      </c>
      <c r="B6" s="15" t="str">
        <f t="shared" si="0"/>
        <v>Pure Country West</v>
      </c>
      <c r="C6" s="15" t="str">
        <f t="shared" si="1"/>
        <v xml:space="preserve">part: Pure Country West </v>
      </c>
      <c r="D6" s="1" t="s">
        <v>116</v>
      </c>
      <c r="E6" s="15" t="str">
        <f>IF(Table2[[#This Row],[Notes]]="","",LEFT(Table2[[#This Row],[Notes]],FIND(CHAR(10),Table2[[#This Row],[Notes]]&amp;CHAR(10))-1))</f>
        <v>10.15.21 Reach out to Bill agian</v>
      </c>
      <c r="F6" s="15">
        <f t="shared" si="2"/>
        <v>44484</v>
      </c>
      <c r="G6" s="20">
        <f t="shared" ca="1" si="3"/>
        <v>44484</v>
      </c>
      <c r="H6" s="33" t="s">
        <v>62</v>
      </c>
      <c r="I6" s="15"/>
      <c r="J6" s="22"/>
      <c r="K6" s="15"/>
      <c r="L6" s="15"/>
      <c r="M6" s="15"/>
      <c r="N6" s="15"/>
      <c r="O6" s="15"/>
      <c r="P6" s="15"/>
      <c r="Q6" s="15"/>
      <c r="R6" s="15"/>
      <c r="S6" s="15"/>
      <c r="T6" s="15"/>
      <c r="U6" s="15"/>
      <c r="V6" s="15"/>
      <c r="W6" s="15"/>
      <c r="X6" s="15"/>
      <c r="Y6" s="15"/>
      <c r="Z6" s="15"/>
      <c r="AA6" s="15"/>
      <c r="AB6" s="15"/>
    </row>
    <row r="7" spans="1:28" s="13" customFormat="1" ht="60" x14ac:dyDescent="0.25">
      <c r="A7" s="32" t="s">
        <v>66</v>
      </c>
      <c r="B7" s="15" t="str">
        <f t="shared" si="0"/>
        <v>Raynor Gaming</v>
      </c>
      <c r="C7" s="15" t="str">
        <f t="shared" si="1"/>
        <v xml:space="preserve">part: Raynor Gaming </v>
      </c>
      <c r="D7" s="1" t="s">
        <v>117</v>
      </c>
      <c r="E7" s="15" t="str">
        <f>IF(Table2[[#This Row],[Notes]]="","",LEFT(Table2[[#This Row],[Notes]],FIND(CHAR(10),Table2[[#This Row],[Notes]]&amp;CHAR(10))-1))</f>
        <v>10.15.21 Ask Brad for a new contact</v>
      </c>
      <c r="F7" s="15">
        <f t="shared" si="2"/>
        <v>44484</v>
      </c>
      <c r="G7" s="20">
        <f t="shared" ca="1" si="3"/>
        <v>44484</v>
      </c>
      <c r="H7" s="3" t="s">
        <v>68</v>
      </c>
      <c r="I7" s="15"/>
      <c r="J7" s="22"/>
      <c r="K7" s="15"/>
      <c r="L7" s="15"/>
      <c r="M7" s="15"/>
      <c r="N7" s="15"/>
      <c r="O7" s="15"/>
      <c r="P7" s="15"/>
      <c r="Q7" s="15"/>
      <c r="R7" s="15"/>
      <c r="S7" s="15"/>
      <c r="T7" s="15"/>
      <c r="U7" s="15"/>
      <c r="V7" s="15"/>
      <c r="W7" s="15"/>
      <c r="X7" s="15"/>
      <c r="Y7" s="15"/>
      <c r="Z7" s="15"/>
      <c r="AA7" s="15"/>
      <c r="AB7" s="15"/>
    </row>
    <row r="8" spans="1:28" s="5" customFormat="1" ht="60" x14ac:dyDescent="0.25">
      <c r="A8" s="31" t="s">
        <v>63</v>
      </c>
      <c r="B8" s="15" t="str">
        <f t="shared" si="0"/>
        <v>Reny's - Down East Wholesalers</v>
      </c>
      <c r="C8" s="15" t="str">
        <f t="shared" si="1"/>
        <v xml:space="preserve">part: Reny's - Down East Wholesalers </v>
      </c>
      <c r="D8" s="1" t="s">
        <v>118</v>
      </c>
      <c r="E8" s="15" t="str">
        <f>IF(Table2[[#This Row],[Notes]]="","",LEFT(Table2[[#This Row],[Notes]],FIND(CHAR(10),Table2[[#This Row],[Notes]]&amp;CHAR(10))-1))</f>
        <v>10.15.21 Reach out to contact again:2</v>
      </c>
      <c r="F8" s="15">
        <f t="shared" si="2"/>
        <v>44484</v>
      </c>
      <c r="G8" s="20">
        <f t="shared" ca="1" si="3"/>
        <v>44484</v>
      </c>
      <c r="H8" s="3" t="s">
        <v>67</v>
      </c>
      <c r="I8" s="15"/>
      <c r="J8" s="22"/>
      <c r="K8" s="15"/>
      <c r="L8" s="15"/>
      <c r="M8" s="15"/>
      <c r="N8" s="15"/>
      <c r="O8" s="15"/>
      <c r="P8" s="15"/>
      <c r="Q8" s="15"/>
      <c r="R8" s="15"/>
      <c r="S8" s="15"/>
      <c r="T8" s="15"/>
      <c r="U8" s="15"/>
      <c r="V8" s="15"/>
      <c r="W8" s="15"/>
      <c r="X8" s="15"/>
      <c r="Y8" s="15"/>
      <c r="Z8" s="15"/>
      <c r="AA8" s="15"/>
      <c r="AB8" s="15"/>
    </row>
    <row r="9" spans="1:28" ht="120" x14ac:dyDescent="0.25">
      <c r="A9" s="29" t="s">
        <v>54</v>
      </c>
      <c r="B9" s="16" t="str">
        <f t="shared" si="0"/>
        <v>Trenton Cold Storage</v>
      </c>
      <c r="C9" s="16" t="str">
        <f t="shared" si="1"/>
        <v xml:space="preserve">part: Trenton Cold Storage </v>
      </c>
      <c r="D9" s="27" t="s">
        <v>119</v>
      </c>
      <c r="E9" s="15" t="str">
        <f>IF(Table2[[#This Row],[Notes]]="","",LEFT(Table2[[#This Row],[Notes]],FIND(CHAR(10),Table2[[#This Row],[Notes]]&amp;CHAR(10))-1))</f>
        <v>10.15.21 Reach out to new Contact:2</v>
      </c>
      <c r="F9" s="16">
        <f t="shared" si="2"/>
        <v>44484</v>
      </c>
      <c r="G9" s="20">
        <f t="shared" ca="1" si="3"/>
        <v>44484</v>
      </c>
      <c r="H9" s="16"/>
      <c r="I9" s="16"/>
      <c r="J9" s="23"/>
      <c r="K9" s="16"/>
      <c r="L9" s="16"/>
      <c r="M9" s="16"/>
      <c r="N9" s="16"/>
      <c r="O9" s="16"/>
      <c r="P9" s="16"/>
      <c r="Q9" s="16"/>
      <c r="R9" s="16"/>
      <c r="S9" s="16"/>
      <c r="T9" s="16"/>
      <c r="U9" s="16"/>
      <c r="V9" s="16"/>
      <c r="W9" s="16"/>
      <c r="X9" s="16"/>
      <c r="Y9" s="16"/>
      <c r="Z9" s="16"/>
      <c r="AA9" s="16"/>
      <c r="AB9" s="16"/>
    </row>
    <row r="10" spans="1:28" s="18" customFormat="1" x14ac:dyDescent="0.25">
      <c r="A10" s="35" t="s">
        <v>77</v>
      </c>
      <c r="B10" s="16" t="str">
        <f t="shared" si="0"/>
        <v>Conn's Home Plus</v>
      </c>
      <c r="C10" s="15" t="str">
        <f t="shared" si="1"/>
        <v xml:space="preserve">part: Conn's Home Plus </v>
      </c>
      <c r="D10" s="15" t="s">
        <v>91</v>
      </c>
      <c r="E10" s="15" t="str">
        <f>IF(Table2[[#This Row],[Notes]]="","",LEFT(Table2[[#This Row],[Notes]],FIND(CHAR(10),Table2[[#This Row],[Notes]]&amp;CHAR(10))-1))</f>
        <v>10.9.21 Reach out to trading partner: 1</v>
      </c>
      <c r="F10" s="15">
        <f t="shared" si="2"/>
        <v>44478</v>
      </c>
      <c r="G10" s="20">
        <f t="shared" ca="1" si="3"/>
        <v>44478</v>
      </c>
      <c r="H10" s="3" t="s">
        <v>96</v>
      </c>
      <c r="I10" s="3"/>
      <c r="J10" s="22"/>
      <c r="K10" s="15"/>
      <c r="L10" s="15"/>
      <c r="M10" s="15"/>
      <c r="N10" s="15"/>
      <c r="O10" s="15"/>
      <c r="P10" s="15"/>
      <c r="Q10" s="15"/>
      <c r="R10" s="15"/>
      <c r="S10" s="15"/>
      <c r="T10" s="15"/>
      <c r="U10" s="15"/>
      <c r="V10" s="15"/>
      <c r="W10" s="15"/>
      <c r="X10" s="15"/>
      <c r="Y10" s="15"/>
      <c r="Z10" s="15"/>
      <c r="AA10" s="15"/>
      <c r="AB10" s="15"/>
    </row>
    <row r="11" spans="1:28" x14ac:dyDescent="0.25">
      <c r="A11" s="31" t="s">
        <v>78</v>
      </c>
      <c r="B11" s="16" t="str">
        <f t="shared" si="0"/>
        <v>HD Supply - White Cap</v>
      </c>
      <c r="C11" s="15" t="str">
        <f t="shared" si="1"/>
        <v xml:space="preserve">part: HD Supply - White Cap </v>
      </c>
      <c r="D11" s="15" t="s">
        <v>91</v>
      </c>
      <c r="E11" s="15" t="str">
        <f>IF(Table2[[#This Row],[Notes]]="","",LEFT(Table2[[#This Row],[Notes]],FIND(CHAR(10),Table2[[#This Row],[Notes]]&amp;CHAR(10))-1))</f>
        <v>10.9.21 Reach out to trading partner: 1</v>
      </c>
      <c r="F11" s="15">
        <f t="shared" si="2"/>
        <v>44478</v>
      </c>
      <c r="G11" s="20">
        <f t="shared" ca="1" si="3"/>
        <v>44478</v>
      </c>
      <c r="H11" s="3" t="s">
        <v>97</v>
      </c>
      <c r="I11" s="3" t="s">
        <v>98</v>
      </c>
      <c r="J11" s="22"/>
      <c r="K11" s="15"/>
      <c r="L11" s="15"/>
      <c r="M11" s="15"/>
      <c r="N11" s="15"/>
      <c r="O11" s="15"/>
      <c r="P11" s="15"/>
      <c r="Q11" s="15"/>
      <c r="R11" s="15"/>
      <c r="S11" s="15"/>
      <c r="T11" s="15"/>
      <c r="U11" s="15"/>
      <c r="V11" s="15"/>
      <c r="W11" s="15"/>
      <c r="X11" s="15"/>
      <c r="Y11" s="15"/>
      <c r="Z11" s="15"/>
      <c r="AA11" s="15"/>
      <c r="AB11" s="15"/>
    </row>
    <row r="12" spans="1:28" s="1" customFormat="1" x14ac:dyDescent="0.25">
      <c r="A12" s="31" t="s">
        <v>74</v>
      </c>
      <c r="B12" s="16" t="str">
        <f t="shared" si="0"/>
        <v>Herregan Distributors Inc.</v>
      </c>
      <c r="C12" s="15" t="str">
        <f t="shared" si="1"/>
        <v xml:space="preserve">part: Herregan Distributors Inc. </v>
      </c>
      <c r="D12" s="15" t="s">
        <v>91</v>
      </c>
      <c r="E12" s="15" t="str">
        <f>IF(Table2[[#This Row],[Notes]]="","",LEFT(Table2[[#This Row],[Notes]],FIND(CHAR(10),Table2[[#This Row],[Notes]]&amp;CHAR(10))-1))</f>
        <v>10.9.21 Reach out to trading partner: 1</v>
      </c>
      <c r="F12" s="15">
        <f t="shared" si="2"/>
        <v>44478</v>
      </c>
      <c r="G12" s="20">
        <f t="shared" ca="1" si="3"/>
        <v>44478</v>
      </c>
      <c r="H12" s="3" t="s">
        <v>93</v>
      </c>
      <c r="I12" s="3"/>
      <c r="J12" s="22"/>
      <c r="K12" s="15"/>
      <c r="L12" s="15"/>
      <c r="M12" s="15"/>
      <c r="N12" s="15"/>
      <c r="O12" s="15"/>
      <c r="P12" s="15"/>
      <c r="Q12" s="15"/>
      <c r="R12" s="15"/>
      <c r="S12" s="15"/>
      <c r="T12" s="15"/>
      <c r="U12" s="15"/>
      <c r="V12" s="15"/>
      <c r="W12" s="15"/>
      <c r="X12" s="15"/>
      <c r="Y12" s="15"/>
      <c r="Z12" s="15"/>
      <c r="AA12" s="15"/>
      <c r="AB12" s="15"/>
    </row>
    <row r="13" spans="1:28" x14ac:dyDescent="0.25">
      <c r="A13" s="31" t="s">
        <v>80</v>
      </c>
      <c r="B13" s="16" t="str">
        <f t="shared" si="0"/>
        <v>Radial</v>
      </c>
      <c r="C13" s="15" t="str">
        <f t="shared" si="1"/>
        <v xml:space="preserve">part: Radial </v>
      </c>
      <c r="D13" s="15" t="s">
        <v>91</v>
      </c>
      <c r="E13" s="15" t="str">
        <f>IF(Table2[[#This Row],[Notes]]="","",LEFT(Table2[[#This Row],[Notes]],FIND(CHAR(10),Table2[[#This Row],[Notes]]&amp;CHAR(10))-1))</f>
        <v>10.9.21 Reach out to trading partner: 1</v>
      </c>
      <c r="F13" s="15">
        <f t="shared" si="2"/>
        <v>44478</v>
      </c>
      <c r="G13" s="20">
        <f t="shared" ca="1" si="3"/>
        <v>44478</v>
      </c>
      <c r="H13" s="3" t="s">
        <v>96</v>
      </c>
      <c r="J13" s="22"/>
      <c r="K13" s="15"/>
      <c r="L13" s="15"/>
      <c r="M13" s="15"/>
      <c r="N13" s="15"/>
      <c r="O13" s="15"/>
      <c r="P13" s="15"/>
      <c r="Q13" s="15"/>
      <c r="R13" s="15"/>
      <c r="S13" s="15"/>
      <c r="T13" s="15"/>
      <c r="U13" s="15"/>
      <c r="V13" s="15"/>
      <c r="W13" s="15"/>
      <c r="X13" s="15"/>
      <c r="Y13" s="15"/>
      <c r="Z13" s="15"/>
      <c r="AA13" s="15"/>
      <c r="AB13" s="15"/>
    </row>
    <row r="14" spans="1:28" x14ac:dyDescent="0.25">
      <c r="A14" s="31" t="s">
        <v>76</v>
      </c>
      <c r="B14" s="16" t="str">
        <f t="shared" si="0"/>
        <v>Radiant Wheels</v>
      </c>
      <c r="C14" s="15" t="str">
        <f t="shared" si="1"/>
        <v xml:space="preserve">part: Radiant Wheels </v>
      </c>
      <c r="D14" s="15" t="s">
        <v>91</v>
      </c>
      <c r="E14" s="15" t="str">
        <f>IF(Table2[[#This Row],[Notes]]="","",LEFT(Table2[[#This Row],[Notes]],FIND(CHAR(10),Table2[[#This Row],[Notes]]&amp;CHAR(10))-1))</f>
        <v>10.9.21 Reach out to trading partner: 1</v>
      </c>
      <c r="F14" s="15">
        <f t="shared" si="2"/>
        <v>44478</v>
      </c>
      <c r="G14" s="20">
        <f t="shared" ca="1" si="3"/>
        <v>44478</v>
      </c>
      <c r="H14" s="3" t="s">
        <v>41</v>
      </c>
      <c r="I14" s="3" t="s">
        <v>95</v>
      </c>
      <c r="J14" s="22"/>
      <c r="K14" s="15"/>
      <c r="L14" s="15"/>
      <c r="M14" s="15"/>
      <c r="N14" s="15"/>
      <c r="O14" s="15"/>
      <c r="P14" s="15"/>
      <c r="Q14" s="15"/>
      <c r="R14" s="15"/>
      <c r="S14" s="15"/>
      <c r="T14" s="15"/>
      <c r="U14" s="15"/>
      <c r="V14" s="15"/>
      <c r="W14" s="15"/>
      <c r="X14" s="15"/>
      <c r="Y14" s="15"/>
      <c r="Z14" s="15"/>
      <c r="AA14" s="15"/>
      <c r="AB14" s="15"/>
    </row>
    <row r="15" spans="1:28" x14ac:dyDescent="0.25">
      <c r="A15" s="30" t="s">
        <v>39</v>
      </c>
      <c r="B15" s="16" t="str">
        <f t="shared" si="0"/>
        <v>Startrack - 3PL</v>
      </c>
      <c r="C15" s="16" t="str">
        <f t="shared" si="1"/>
        <v xml:space="preserve">part: Startrack - 3PL </v>
      </c>
      <c r="D15" s="16" t="s">
        <v>73</v>
      </c>
      <c r="E15" s="15" t="str">
        <f>IF(Table2[[#This Row],[Notes]]="","",LEFT(Table2[[#This Row],[Notes]],FIND(CHAR(10),Table2[[#This Row],[Notes]]&amp;CHAR(10))-1))</f>
        <v xml:space="preserve">10.9.21 Assign a mapping case: </v>
      </c>
      <c r="F15" s="16">
        <f t="shared" si="2"/>
        <v>44478</v>
      </c>
      <c r="G15" s="20">
        <f t="shared" ca="1" si="3"/>
        <v>44478</v>
      </c>
      <c r="H15" s="21" t="s">
        <v>40</v>
      </c>
      <c r="I15" s="21" t="s">
        <v>41</v>
      </c>
      <c r="J15" s="23"/>
      <c r="K15" s="16"/>
      <c r="L15" s="16"/>
      <c r="M15" s="16"/>
      <c r="N15" s="16"/>
      <c r="O15" s="16"/>
      <c r="P15" s="16"/>
      <c r="Q15" s="16"/>
      <c r="R15" s="16"/>
      <c r="S15" s="16"/>
      <c r="T15" s="16"/>
      <c r="U15" s="16"/>
      <c r="V15" s="16"/>
      <c r="W15" s="16"/>
      <c r="X15" s="16"/>
      <c r="Y15" s="16"/>
      <c r="Z15" s="16"/>
      <c r="AA15" s="16"/>
      <c r="AB15" s="16"/>
    </row>
    <row r="16" spans="1:28" s="19" customFormat="1" x14ac:dyDescent="0.25">
      <c r="A16" s="31" t="s">
        <v>75</v>
      </c>
      <c r="B16" s="16" t="str">
        <f t="shared" si="0"/>
        <v>Wika Vendor</v>
      </c>
      <c r="C16" s="15" t="str">
        <f t="shared" si="1"/>
        <v xml:space="preserve">part: Wika Vendor </v>
      </c>
      <c r="D16" s="15" t="s">
        <v>91</v>
      </c>
      <c r="E16" s="15" t="str">
        <f>IF(Table2[[#This Row],[Notes]]="","",LEFT(Table2[[#This Row],[Notes]],FIND(CHAR(10),Table2[[#This Row],[Notes]]&amp;CHAR(10))-1))</f>
        <v>10.9.21 Reach out to trading partner: 1</v>
      </c>
      <c r="F16" s="15">
        <f t="shared" si="2"/>
        <v>44478</v>
      </c>
      <c r="G16" s="20">
        <f t="shared" ca="1" si="3"/>
        <v>44478</v>
      </c>
      <c r="H16" s="3" t="s">
        <v>94</v>
      </c>
      <c r="I16" s="3"/>
      <c r="J16" s="22"/>
      <c r="K16" s="15"/>
      <c r="L16" s="15"/>
      <c r="M16" s="15"/>
      <c r="N16" s="15"/>
      <c r="O16" s="15"/>
      <c r="P16" s="15"/>
      <c r="Q16" s="15"/>
      <c r="R16" s="15"/>
      <c r="S16" s="15"/>
      <c r="T16" s="15"/>
      <c r="U16" s="15"/>
      <c r="V16" s="15"/>
      <c r="W16" s="15"/>
      <c r="X16" s="15"/>
      <c r="Y16" s="15"/>
      <c r="Z16" s="15"/>
      <c r="AA16" s="15"/>
      <c r="AB16" s="15"/>
    </row>
    <row r="17" spans="1:28" x14ac:dyDescent="0.25">
      <c r="A17" s="31" t="s">
        <v>79</v>
      </c>
      <c r="B17" s="16" t="str">
        <f t="shared" si="0"/>
        <v>Wormser Corporation-Jaguar Freight XML</v>
      </c>
      <c r="C17" s="15" t="str">
        <f t="shared" si="1"/>
        <v xml:space="preserve">part: Wormser Corporation-Jaguar Freight XML </v>
      </c>
      <c r="D17" s="15" t="s">
        <v>91</v>
      </c>
      <c r="E17" s="15" t="str">
        <f>IF(Table2[[#This Row],[Notes]]="","",LEFT(Table2[[#This Row],[Notes]],FIND(CHAR(10),Table2[[#This Row],[Notes]]&amp;CHAR(10))-1))</f>
        <v>10.9.21 Reach out to trading partner: 1</v>
      </c>
      <c r="F17" s="15">
        <f t="shared" si="2"/>
        <v>44478</v>
      </c>
      <c r="G17" s="20">
        <f t="shared" ca="1" si="3"/>
        <v>44478</v>
      </c>
      <c r="H17" s="3" t="s">
        <v>99</v>
      </c>
      <c r="I17" s="3" t="s">
        <v>100</v>
      </c>
      <c r="J17" s="22"/>
      <c r="K17" s="15"/>
      <c r="L17" s="15"/>
      <c r="M17" s="15"/>
      <c r="N17" s="15"/>
      <c r="O17" s="15"/>
      <c r="P17" s="15"/>
      <c r="Q17" s="15"/>
      <c r="R17" s="15"/>
      <c r="S17" s="15"/>
      <c r="T17" s="15"/>
      <c r="U17" s="15"/>
      <c r="V17" s="15"/>
      <c r="W17" s="15"/>
      <c r="X17" s="15"/>
      <c r="Y17" s="15"/>
      <c r="Z17" s="15"/>
      <c r="AA17" s="15"/>
      <c r="AB17" s="15"/>
    </row>
    <row r="18" spans="1:28" s="4" customFormat="1" ht="15.75" thickBot="1" x14ac:dyDescent="0.3">
      <c r="A18" s="31" t="s">
        <v>88</v>
      </c>
      <c r="B18" s="16" t="str">
        <f t="shared" si="0"/>
        <v>Del Mar Fans</v>
      </c>
      <c r="C18" s="15" t="str">
        <f t="shared" si="1"/>
        <v xml:space="preserve">part: Del Mar Fans </v>
      </c>
      <c r="D18" s="15" t="s">
        <v>92</v>
      </c>
      <c r="E18" s="15" t="str">
        <f>IF(Table2[[#This Row],[Notes]]="","",LEFT(Table2[[#This Row],[Notes]],FIND(CHAR(10),Table2[[#This Row],[Notes]]&amp;CHAR(10))-1))</f>
        <v>10.11.21 Reach out to trading partner: 1</v>
      </c>
      <c r="F18" s="15">
        <f t="shared" si="2"/>
        <v>44480</v>
      </c>
      <c r="G18" s="20">
        <f t="shared" ca="1" si="3"/>
        <v>44480</v>
      </c>
      <c r="H18" s="3" t="s">
        <v>104</v>
      </c>
      <c r="I18" s="3"/>
      <c r="J18" s="22"/>
      <c r="K18" s="15"/>
      <c r="L18" s="15"/>
      <c r="M18" s="15"/>
      <c r="N18" s="15"/>
      <c r="O18" s="15"/>
      <c r="P18" s="15"/>
      <c r="Q18" s="15"/>
      <c r="R18" s="15"/>
      <c r="S18" s="15"/>
      <c r="T18" s="15"/>
      <c r="U18" s="15"/>
      <c r="V18" s="15"/>
      <c r="W18" s="15"/>
      <c r="X18" s="15"/>
      <c r="Y18" s="15"/>
      <c r="Z18" s="15"/>
      <c r="AA18" s="15"/>
      <c r="AB18" s="15"/>
    </row>
    <row r="19" spans="1:28" s="4" customFormat="1" x14ac:dyDescent="0.25">
      <c r="A19" s="34" t="s">
        <v>83</v>
      </c>
      <c r="B19" s="16" t="str">
        <f t="shared" si="0"/>
        <v>Essendant</v>
      </c>
      <c r="C19" s="15" t="str">
        <f t="shared" si="1"/>
        <v xml:space="preserve">part: Essendant </v>
      </c>
      <c r="D19" s="15" t="s">
        <v>92</v>
      </c>
      <c r="E19" s="15" t="str">
        <f>IF(Table2[[#This Row],[Notes]]="","",LEFT(Table2[[#This Row],[Notes]],FIND(CHAR(10),Table2[[#This Row],[Notes]]&amp;CHAR(10))-1))</f>
        <v>10.11.21 Reach out to trading partner: 1</v>
      </c>
      <c r="F19" s="15">
        <f t="shared" si="2"/>
        <v>44480</v>
      </c>
      <c r="G19" s="20">
        <f t="shared" ca="1" si="3"/>
        <v>44480</v>
      </c>
      <c r="H19" s="3" t="s">
        <v>96</v>
      </c>
      <c r="I19" s="3"/>
      <c r="J19" s="22"/>
      <c r="K19" s="15"/>
      <c r="L19" s="15"/>
      <c r="M19" s="15"/>
      <c r="N19" s="15"/>
      <c r="O19" s="15"/>
      <c r="P19" s="15"/>
      <c r="Q19" s="15"/>
      <c r="R19" s="15"/>
      <c r="S19" s="15"/>
      <c r="T19" s="15"/>
      <c r="U19" s="15"/>
      <c r="V19" s="15"/>
      <c r="W19" s="15"/>
      <c r="X19" s="15"/>
      <c r="Y19" s="15"/>
      <c r="Z19" s="15"/>
      <c r="AA19" s="15"/>
      <c r="AB19" s="15"/>
    </row>
    <row r="20" spans="1:28" s="4" customFormat="1" x14ac:dyDescent="0.25">
      <c r="A20" s="31" t="s">
        <v>85</v>
      </c>
      <c r="B20" s="16" t="str">
        <f t="shared" si="0"/>
        <v>Georges Music XML</v>
      </c>
      <c r="C20" s="15" t="str">
        <f t="shared" si="1"/>
        <v xml:space="preserve">part: Georges Music XML </v>
      </c>
      <c r="D20" s="15" t="s">
        <v>92</v>
      </c>
      <c r="E20" s="15" t="str">
        <f>IF(Table2[[#This Row],[Notes]]="","",LEFT(Table2[[#This Row],[Notes]],FIND(CHAR(10),Table2[[#This Row],[Notes]]&amp;CHAR(10))-1))</f>
        <v>10.11.21 Reach out to trading partner: 1</v>
      </c>
      <c r="F20" s="15">
        <f t="shared" si="2"/>
        <v>44480</v>
      </c>
      <c r="G20" s="20">
        <f t="shared" ca="1" si="3"/>
        <v>44480</v>
      </c>
      <c r="H20" s="3" t="s">
        <v>59</v>
      </c>
      <c r="I20" s="3"/>
      <c r="J20" s="22"/>
      <c r="K20" s="15"/>
      <c r="L20" s="15"/>
      <c r="M20" s="15"/>
      <c r="N20" s="15"/>
      <c r="O20" s="15"/>
      <c r="P20" s="15"/>
      <c r="Q20" s="15"/>
      <c r="R20" s="15"/>
      <c r="S20" s="15"/>
      <c r="T20" s="15"/>
      <c r="U20" s="15"/>
      <c r="V20" s="15"/>
      <c r="W20" s="15"/>
      <c r="X20" s="15"/>
      <c r="Y20" s="15"/>
      <c r="Z20" s="15"/>
      <c r="AA20" s="15"/>
      <c r="AB20" s="15"/>
    </row>
    <row r="21" spans="1:28" s="26" customFormat="1" x14ac:dyDescent="0.25">
      <c r="A21" s="31" t="s">
        <v>84</v>
      </c>
      <c r="B21" s="16" t="str">
        <f t="shared" si="0"/>
        <v>Guitar Center - XML Trading Partner</v>
      </c>
      <c r="C21" s="15" t="str">
        <f t="shared" si="1"/>
        <v xml:space="preserve">part: Guitar Center - XML Trading Partner </v>
      </c>
      <c r="D21" s="15" t="s">
        <v>92</v>
      </c>
      <c r="E21" s="15" t="str">
        <f>IF(Table2[[#This Row],[Notes]]="","",LEFT(Table2[[#This Row],[Notes]],FIND(CHAR(10),Table2[[#This Row],[Notes]]&amp;CHAR(10))-1))</f>
        <v>10.11.21 Reach out to trading partner: 1</v>
      </c>
      <c r="F21" s="15">
        <f t="shared" si="2"/>
        <v>44480</v>
      </c>
      <c r="G21" s="20">
        <f t="shared" ca="1" si="3"/>
        <v>44480</v>
      </c>
      <c r="H21" s="3" t="s">
        <v>102</v>
      </c>
      <c r="I21" s="3"/>
      <c r="J21" s="22"/>
      <c r="K21" s="15"/>
      <c r="L21" s="15"/>
      <c r="M21" s="15"/>
      <c r="N21" s="15"/>
      <c r="O21" s="15"/>
      <c r="P21" s="15"/>
      <c r="Q21" s="15"/>
      <c r="R21" s="15"/>
      <c r="S21" s="15"/>
      <c r="T21" s="15"/>
      <c r="U21" s="15"/>
      <c r="V21" s="15"/>
      <c r="W21" s="15"/>
      <c r="X21" s="15"/>
      <c r="Y21" s="15"/>
      <c r="Z21" s="15"/>
      <c r="AA21" s="15"/>
      <c r="AB21" s="15"/>
    </row>
    <row r="22" spans="1:28" s="25" customFormat="1" x14ac:dyDescent="0.25">
      <c r="A22" s="31" t="s">
        <v>86</v>
      </c>
      <c r="B22" s="16" t="str">
        <f t="shared" si="0"/>
        <v>RG Sellers</v>
      </c>
      <c r="C22" s="15" t="str">
        <f t="shared" si="1"/>
        <v xml:space="preserve">part: RG Sellers </v>
      </c>
      <c r="D22" s="15" t="s">
        <v>92</v>
      </c>
      <c r="E22" s="15" t="str">
        <f>IF(Table2[[#This Row],[Notes]]="","",LEFT(Table2[[#This Row],[Notes]],FIND(CHAR(10),Table2[[#This Row],[Notes]]&amp;CHAR(10))-1))</f>
        <v>10.11.21 Reach out to trading partner: 1</v>
      </c>
      <c r="F22" s="15">
        <f t="shared" si="2"/>
        <v>44480</v>
      </c>
      <c r="G22" s="20">
        <f t="shared" ca="1" si="3"/>
        <v>44480</v>
      </c>
      <c r="H22" s="3" t="s">
        <v>96</v>
      </c>
      <c r="I22" s="3"/>
      <c r="J22" s="22"/>
      <c r="K22" s="15"/>
      <c r="L22" s="15"/>
      <c r="M22" s="15"/>
      <c r="N22" s="15"/>
      <c r="O22" s="15"/>
      <c r="P22" s="15"/>
      <c r="Q22" s="15"/>
      <c r="R22" s="15"/>
      <c r="S22" s="15"/>
      <c r="T22" s="15"/>
      <c r="U22" s="15"/>
      <c r="V22" s="15"/>
      <c r="W22" s="15"/>
      <c r="X22" s="15"/>
      <c r="Y22" s="15"/>
      <c r="Z22" s="15"/>
      <c r="AA22" s="15"/>
      <c r="AB22" s="15"/>
    </row>
    <row r="23" spans="1:28" x14ac:dyDescent="0.25">
      <c r="A23" s="31" t="s">
        <v>82</v>
      </c>
      <c r="B23" s="16" t="str">
        <f t="shared" si="0"/>
        <v>Rhenus Contract Logistics - VSC</v>
      </c>
      <c r="C23" s="15" t="str">
        <f t="shared" si="1"/>
        <v xml:space="preserve">part: Rhenus Contract Logistics - VSC </v>
      </c>
      <c r="D23" s="15" t="s">
        <v>92</v>
      </c>
      <c r="E23" s="15" t="str">
        <f>IF(Table2[[#This Row],[Notes]]="","",LEFT(Table2[[#This Row],[Notes]],FIND(CHAR(10),Table2[[#This Row],[Notes]]&amp;CHAR(10))-1))</f>
        <v>10.11.21 Reach out to trading partner: 1</v>
      </c>
      <c r="F23" s="15">
        <f t="shared" si="2"/>
        <v>44480</v>
      </c>
      <c r="G23" s="20">
        <f t="shared" ca="1" si="3"/>
        <v>44480</v>
      </c>
      <c r="H23" s="3" t="s">
        <v>59</v>
      </c>
      <c r="J23" s="22"/>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31" t="s">
        <v>89</v>
      </c>
      <c r="B24" s="15" t="str">
        <f t="shared" si="0"/>
        <v>Stego Germany</v>
      </c>
      <c r="C24" s="15" t="str">
        <f t="shared" si="1"/>
        <v xml:space="preserve">part: Stego Germany </v>
      </c>
      <c r="D24" s="15" t="s">
        <v>92</v>
      </c>
      <c r="E24" s="15" t="str">
        <f>IF(Table2[[#This Row],[Notes]]="","",LEFT(Table2[[#This Row],[Notes]],FIND(CHAR(10),Table2[[#This Row],[Notes]]&amp;CHAR(10))-1))</f>
        <v>10.11.21 Reach out to trading partner: 1</v>
      </c>
      <c r="F24" s="15">
        <f t="shared" si="2"/>
        <v>44480</v>
      </c>
      <c r="G24" s="20">
        <f t="shared" ca="1" si="3"/>
        <v>44480</v>
      </c>
      <c r="H24" s="3" t="s">
        <v>105</v>
      </c>
      <c r="I24" s="3"/>
      <c r="J24" s="22"/>
      <c r="K24" s="15"/>
      <c r="L24" s="15"/>
      <c r="M24" s="15"/>
      <c r="N24" s="15"/>
      <c r="O24" s="15"/>
      <c r="P24" s="15"/>
      <c r="Q24" s="15"/>
      <c r="R24" s="15"/>
      <c r="S24" s="15"/>
      <c r="T24" s="15"/>
      <c r="U24" s="15"/>
      <c r="V24" s="15"/>
      <c r="W24" s="15"/>
      <c r="X24" s="15"/>
      <c r="Y24" s="15"/>
      <c r="Z24" s="15"/>
      <c r="AA24" s="15"/>
      <c r="AB24" s="15"/>
    </row>
    <row r="25" spans="1:28" x14ac:dyDescent="0.25">
      <c r="A25" s="31" t="s">
        <v>90</v>
      </c>
      <c r="B25" s="15" t="str">
        <f t="shared" si="0"/>
        <v>Sun &amp; Ski Sports</v>
      </c>
      <c r="C25" s="15" t="str">
        <f t="shared" si="1"/>
        <v xml:space="preserve">part: Sun &amp; Ski Sports </v>
      </c>
      <c r="D25" s="15" t="s">
        <v>92</v>
      </c>
      <c r="E25" s="15" t="str">
        <f>IF(Table2[[#This Row],[Notes]]="","",LEFT(Table2[[#This Row],[Notes]],FIND(CHAR(10),Table2[[#This Row],[Notes]]&amp;CHAR(10))-1))</f>
        <v>10.11.21 Reach out to trading partner: 1</v>
      </c>
      <c r="F25" s="15">
        <f t="shared" si="2"/>
        <v>44480</v>
      </c>
      <c r="G25" s="20">
        <f t="shared" ca="1" si="3"/>
        <v>44480</v>
      </c>
      <c r="H25" s="3" t="s">
        <v>106</v>
      </c>
      <c r="I25" s="3" t="s">
        <v>107</v>
      </c>
      <c r="J25" s="22"/>
      <c r="K25" s="15"/>
      <c r="L25" s="15"/>
      <c r="M25" s="15"/>
      <c r="N25" s="15"/>
      <c r="O25" s="15"/>
      <c r="P25" s="15"/>
      <c r="Q25" s="15"/>
      <c r="R25" s="15"/>
      <c r="S25" s="15"/>
      <c r="T25" s="15"/>
      <c r="U25" s="15"/>
      <c r="V25" s="15"/>
      <c r="W25" s="15"/>
      <c r="X25" s="15"/>
      <c r="Y25" s="15"/>
      <c r="Z25" s="15"/>
      <c r="AA25" s="15"/>
      <c r="AB25" s="15"/>
    </row>
    <row r="26" spans="1:28" x14ac:dyDescent="0.25">
      <c r="A26" s="31" t="s">
        <v>81</v>
      </c>
      <c r="B26" s="16" t="str">
        <f t="shared" si="0"/>
        <v>Tower Automotive - Bellevue</v>
      </c>
      <c r="C26" s="15" t="str">
        <f t="shared" si="1"/>
        <v xml:space="preserve">part: Tower Automotive - Bellevue </v>
      </c>
      <c r="D26" s="15" t="s">
        <v>92</v>
      </c>
      <c r="E26" s="15" t="str">
        <f>IF(Table2[[#This Row],[Notes]]="","",LEFT(Table2[[#This Row],[Notes]],FIND(CHAR(10),Table2[[#This Row],[Notes]]&amp;CHAR(10))-1))</f>
        <v>10.11.21 Reach out to trading partner: 1</v>
      </c>
      <c r="F26" s="15">
        <f t="shared" si="2"/>
        <v>44480</v>
      </c>
      <c r="G26" s="20">
        <f t="shared" ca="1" si="3"/>
        <v>44480</v>
      </c>
      <c r="H26" s="3" t="s">
        <v>101</v>
      </c>
      <c r="J26" s="22"/>
      <c r="K26" s="15"/>
      <c r="L26" s="15"/>
      <c r="M26" s="15"/>
      <c r="N26" s="15"/>
      <c r="O26" s="15"/>
      <c r="P26" s="15"/>
      <c r="Q26" s="15"/>
      <c r="R26" s="15"/>
      <c r="S26" s="15"/>
      <c r="T26" s="15"/>
      <c r="U26" s="15"/>
      <c r="V26" s="15"/>
      <c r="W26" s="15"/>
      <c r="X26" s="15"/>
      <c r="Y26" s="15"/>
      <c r="Z26" s="15"/>
      <c r="AA26" s="15"/>
      <c r="AB26" s="15"/>
    </row>
    <row r="27" spans="1:28" ht="15.75" thickBot="1" x14ac:dyDescent="0.3">
      <c r="A27" s="35" t="s">
        <v>87</v>
      </c>
      <c r="B27" s="16" t="str">
        <f t="shared" si="0"/>
        <v>Valley Bakers</v>
      </c>
      <c r="C27" s="15" t="str">
        <f t="shared" si="1"/>
        <v xml:space="preserve">part: Valley Bakers </v>
      </c>
      <c r="D27" s="15" t="s">
        <v>92</v>
      </c>
      <c r="E27" s="15" t="str">
        <f>IF(Table2[[#This Row],[Notes]]="","",LEFT(Table2[[#This Row],[Notes]],FIND(CHAR(10),Table2[[#This Row],[Notes]]&amp;CHAR(10))-1))</f>
        <v>10.11.21 Reach out to trading partner: 1</v>
      </c>
      <c r="F27" s="15">
        <f t="shared" si="2"/>
        <v>44480</v>
      </c>
      <c r="G27" s="20">
        <f t="shared" ca="1" si="3"/>
        <v>44480</v>
      </c>
      <c r="H27" s="3" t="s">
        <v>103</v>
      </c>
      <c r="J27" s="22"/>
      <c r="K27" s="15"/>
      <c r="L27" s="15"/>
      <c r="M27" s="15"/>
      <c r="N27" s="15"/>
      <c r="O27" s="15"/>
      <c r="P27" s="15"/>
      <c r="Q27" s="15"/>
      <c r="R27" s="15"/>
      <c r="S27" s="15"/>
      <c r="T27" s="15"/>
      <c r="U27" s="15"/>
      <c r="V27" s="15"/>
      <c r="W27" s="15"/>
      <c r="X27" s="15"/>
      <c r="Y27" s="15"/>
      <c r="Z27" s="15"/>
      <c r="AA27" s="15"/>
      <c r="AB27" s="15"/>
    </row>
    <row r="28" spans="1:28" ht="105" x14ac:dyDescent="0.25">
      <c r="A28" s="36" t="s">
        <v>60</v>
      </c>
      <c r="B28" s="15" t="str">
        <f t="shared" si="0"/>
        <v>Martha Stewart</v>
      </c>
      <c r="C28" s="15" t="str">
        <f t="shared" si="1"/>
        <v xml:space="preserve">part: Martha Stewart </v>
      </c>
      <c r="D28" s="1" t="s">
        <v>108</v>
      </c>
      <c r="E28" s="15" t="str">
        <f>IF(Table2[[#This Row],[Notes]]="","",LEFT(Table2[[#This Row],[Notes]],FIND(CHAR(10),Table2[[#This Row],[Notes]]&amp;CHAR(10))-1))</f>
        <v>10.13.21 Waiting for FTP credential frome RevCascade</v>
      </c>
      <c r="F28" s="15">
        <f t="shared" si="2"/>
        <v>44482</v>
      </c>
      <c r="G28" s="20">
        <f t="shared" ca="1" si="3"/>
        <v>44482</v>
      </c>
      <c r="H28" s="3" t="s">
        <v>59</v>
      </c>
      <c r="I28" s="15"/>
      <c r="J28" s="22"/>
      <c r="K28" s="15"/>
      <c r="L28" s="15"/>
      <c r="M28" s="15"/>
      <c r="N28" s="15"/>
      <c r="O28" s="15"/>
      <c r="P28" s="15"/>
      <c r="Q28" s="15"/>
      <c r="R28" s="15"/>
      <c r="S28" s="15"/>
      <c r="T28" s="15"/>
      <c r="U28" s="15"/>
      <c r="V28" s="15"/>
      <c r="W28" s="15"/>
      <c r="X28" s="15"/>
      <c r="Y28" s="15"/>
      <c r="Z28" s="15"/>
      <c r="AA28" s="15"/>
      <c r="AB28" s="15"/>
    </row>
    <row r="29" spans="1:28" ht="45.75" thickBot="1" x14ac:dyDescent="0.3">
      <c r="A29" s="31" t="s">
        <v>69</v>
      </c>
      <c r="B29" s="16" t="str">
        <f t="shared" si="0"/>
        <v>Abilityone</v>
      </c>
      <c r="C29" s="15" t="str">
        <f t="shared" si="1"/>
        <v xml:space="preserve">part: Abilityone </v>
      </c>
      <c r="D29" s="37" t="s">
        <v>109</v>
      </c>
      <c r="E29" s="15" t="str">
        <f>IF(Table2[[#This Row],[Notes]]="","",LEFT(Table2[[#This Row],[Notes]],FIND(CHAR(10),Table2[[#This Row],[Notes]]&amp;CHAR(10))-1))</f>
        <v>10.14.21 Reach out to trading partner:3</v>
      </c>
      <c r="F29" s="15">
        <f t="shared" si="2"/>
        <v>44483</v>
      </c>
      <c r="G29" s="20">
        <f t="shared" ca="1" si="3"/>
        <v>44483</v>
      </c>
      <c r="H29" s="3" t="s">
        <v>71</v>
      </c>
      <c r="I29" s="15"/>
      <c r="J29" s="22"/>
      <c r="K29" s="15"/>
      <c r="L29" s="15"/>
      <c r="M29" s="15"/>
      <c r="N29" s="15"/>
      <c r="O29" s="15"/>
      <c r="P29" s="15"/>
      <c r="Q29" s="15"/>
      <c r="R29" s="15"/>
      <c r="S29" s="15"/>
      <c r="T29" s="15"/>
      <c r="U29" s="15"/>
      <c r="V29" s="15"/>
      <c r="W29" s="15"/>
      <c r="X29" s="15"/>
      <c r="Y29" s="15"/>
      <c r="Z29" s="15"/>
      <c r="AA29" s="15"/>
      <c r="AB29" s="15"/>
    </row>
    <row r="30" spans="1:28" s="7" customFormat="1" ht="105" x14ac:dyDescent="0.25">
      <c r="A30" s="29" t="s">
        <v>56</v>
      </c>
      <c r="B30" s="16" t="str">
        <f t="shared" si="0"/>
        <v>Bioplus Specialty Pharmacy</v>
      </c>
      <c r="C30" s="16" t="str">
        <f t="shared" si="1"/>
        <v xml:space="preserve">part: Bioplus Specialty Pharmacy </v>
      </c>
      <c r="D30" s="27" t="s">
        <v>110</v>
      </c>
      <c r="E30" s="15" t="str">
        <f>IF(Table2[[#This Row],[Notes]]="","",LEFT(Table2[[#This Row],[Notes]],FIND(CHAR(10),Table2[[#This Row],[Notes]]&amp;CHAR(10))-1))</f>
        <v>10.14.21 Reach our to Brad for contact</v>
      </c>
      <c r="F30" s="16">
        <f t="shared" si="2"/>
        <v>44483</v>
      </c>
      <c r="G30" s="20">
        <f t="shared" ca="1" si="3"/>
        <v>44483</v>
      </c>
      <c r="H30" s="16"/>
      <c r="I30" s="16"/>
      <c r="J30" s="23"/>
      <c r="K30" s="16"/>
      <c r="L30" s="16"/>
      <c r="M30" s="16"/>
      <c r="N30" s="16"/>
      <c r="O30" s="16"/>
      <c r="P30" s="16"/>
      <c r="Q30" s="16"/>
      <c r="R30" s="16"/>
      <c r="S30" s="16"/>
      <c r="T30" s="16"/>
      <c r="U30" s="16"/>
      <c r="V30" s="16"/>
      <c r="W30" s="16"/>
      <c r="X30" s="16"/>
      <c r="Y30" s="16"/>
      <c r="Z30" s="16"/>
      <c r="AA30" s="16"/>
      <c r="AB30" s="16"/>
    </row>
    <row r="31" spans="1:28" ht="60" x14ac:dyDescent="0.25">
      <c r="A31" s="30" t="s">
        <v>70</v>
      </c>
      <c r="B31" s="16" t="str">
        <f t="shared" si="0"/>
        <v>C2wireless SPS Vendor</v>
      </c>
      <c r="C31" s="15" t="str">
        <f t="shared" si="1"/>
        <v xml:space="preserve">part: C2wireless SPS Vendor </v>
      </c>
      <c r="D31" s="37" t="s">
        <v>111</v>
      </c>
      <c r="E31" s="15" t="str">
        <f>IF(Table2[[#This Row],[Notes]]="","",LEFT(Table2[[#This Row],[Notes]],FIND(CHAR(10),Table2[[#This Row],[Notes]]&amp;CHAR(10))-1))</f>
        <v/>
      </c>
      <c r="F31" s="15" t="e">
        <f t="shared" si="2"/>
        <v>#VALUE!</v>
      </c>
      <c r="G31" s="20">
        <f t="shared" ca="1" si="3"/>
        <v>44484</v>
      </c>
      <c r="H31" s="3" t="s">
        <v>72</v>
      </c>
      <c r="I31" s="15"/>
      <c r="J31" s="22"/>
      <c r="K31" s="15"/>
      <c r="L31" s="15"/>
      <c r="M31" s="15"/>
      <c r="N31" s="15"/>
      <c r="O31" s="15"/>
      <c r="P31" s="15"/>
      <c r="Q31" s="15"/>
      <c r="R31" s="15"/>
      <c r="S31" s="15"/>
      <c r="T31" s="15"/>
      <c r="U31" s="15"/>
      <c r="V31" s="15"/>
      <c r="W31" s="15"/>
      <c r="X31" s="15"/>
      <c r="Y31" s="15"/>
      <c r="Z31" s="15"/>
      <c r="AA31" s="15"/>
      <c r="AB31" s="15"/>
    </row>
    <row r="32" spans="1:28" x14ac:dyDescent="0.25">
      <c r="B32" s="15" t="e">
        <f t="shared" ref="B32:B63" si="4" xml:space="preserve"> MID(A32,SEARCH(":",A32)+2,SEARCH(":",A32,SEARCH(":",A32)+1)-SEARCH(":",A32)-3)</f>
        <v>#VALUE!</v>
      </c>
      <c r="C32" s="15" t="e">
        <f t="shared" ref="C32:C63" si="5">"part:"&amp;MID(A32,SEARCH(":",A32)+1,SEARCH(":",A32,SEARCH(":",A32)+1)-SEARCH(":",A32)-1)</f>
        <v>#VALUE!</v>
      </c>
      <c r="D32" s="15"/>
      <c r="E32" s="15" t="str">
        <f>IF(Table2[[#This Row],[Notes]]="","",LEFT(Table2[[#This Row],[Notes]],FIND(CHAR(10),Table2[[#This Row],[Notes]]&amp;CHAR(10))-1))</f>
        <v/>
      </c>
      <c r="F32" s="15" t="e">
        <f t="shared" ref="F32:F63" si="6">DATEVALUE(SUBSTITUTE(LEFT(E32,SEARCH(" ",E32)-1),".","/"))</f>
        <v>#VALUE!</v>
      </c>
      <c r="G32" s="20">
        <f t="shared" ref="G32:G63" ca="1" si="7">IF(ISERROR(F32),TODAY(),F32)</f>
        <v>44484</v>
      </c>
      <c r="H32" s="15"/>
      <c r="I32" s="15"/>
      <c r="J32" s="22"/>
      <c r="K32" s="15"/>
      <c r="L32" s="15"/>
      <c r="M32" s="15"/>
      <c r="N32" s="15"/>
      <c r="O32" s="15"/>
      <c r="P32" s="15"/>
      <c r="Q32" s="15"/>
      <c r="R32" s="15"/>
      <c r="S32" s="15"/>
      <c r="T32" s="15"/>
      <c r="U32" s="15"/>
      <c r="V32" s="15"/>
      <c r="W32" s="15"/>
      <c r="X32" s="15"/>
      <c r="Y32" s="15"/>
      <c r="Z32" s="15"/>
      <c r="AA32" s="15"/>
      <c r="AB32" s="15"/>
    </row>
    <row r="33" spans="2:28" x14ac:dyDescent="0.25">
      <c r="B33" s="15" t="e">
        <f t="shared" si="4"/>
        <v>#VALUE!</v>
      </c>
      <c r="C33" s="15" t="e">
        <f t="shared" si="5"/>
        <v>#VALUE!</v>
      </c>
      <c r="D33" s="15"/>
      <c r="E33" s="15" t="str">
        <f>IF(Table2[[#This Row],[Notes]]="","",LEFT(Table2[[#This Row],[Notes]],FIND(CHAR(10),Table2[[#This Row],[Notes]]&amp;CHAR(10))-1))</f>
        <v/>
      </c>
      <c r="F33" s="15" t="e">
        <f t="shared" si="6"/>
        <v>#VALUE!</v>
      </c>
      <c r="G33" s="20">
        <f t="shared" ca="1" si="7"/>
        <v>44484</v>
      </c>
      <c r="H33" s="15"/>
      <c r="I33" s="15"/>
      <c r="J33" s="22"/>
      <c r="K33" s="15"/>
      <c r="L33" s="15"/>
      <c r="M33" s="15"/>
      <c r="N33" s="15"/>
      <c r="O33" s="15"/>
      <c r="P33" s="15"/>
      <c r="Q33" s="15"/>
      <c r="R33" s="15"/>
      <c r="S33" s="15"/>
      <c r="T33" s="15"/>
      <c r="U33" s="15"/>
      <c r="V33" s="15"/>
      <c r="W33" s="15"/>
      <c r="X33" s="15"/>
      <c r="Y33" s="15"/>
      <c r="Z33" s="15"/>
      <c r="AA33" s="15"/>
      <c r="AB33" s="15"/>
    </row>
    <row r="34" spans="2:28" x14ac:dyDescent="0.25">
      <c r="B34" s="15" t="e">
        <f t="shared" si="4"/>
        <v>#VALUE!</v>
      </c>
      <c r="C34" s="15" t="e">
        <f t="shared" si="5"/>
        <v>#VALUE!</v>
      </c>
      <c r="D34" s="15"/>
      <c r="E34" s="15" t="str">
        <f>IF(Table2[[#This Row],[Notes]]="","",LEFT(Table2[[#This Row],[Notes]],FIND(CHAR(10),Table2[[#This Row],[Notes]]&amp;CHAR(10))-1))</f>
        <v/>
      </c>
      <c r="F34" s="15" t="e">
        <f t="shared" si="6"/>
        <v>#VALUE!</v>
      </c>
      <c r="G34" s="20">
        <f t="shared" ca="1" si="7"/>
        <v>44484</v>
      </c>
      <c r="H34" s="15"/>
      <c r="I34" s="15"/>
      <c r="J34" s="22"/>
      <c r="K34" s="15"/>
      <c r="L34" s="15"/>
      <c r="M34" s="15"/>
      <c r="N34" s="15"/>
      <c r="O34" s="15"/>
      <c r="P34" s="15"/>
      <c r="Q34" s="15"/>
      <c r="R34" s="15"/>
      <c r="S34" s="15"/>
      <c r="T34" s="15"/>
      <c r="U34" s="15"/>
      <c r="V34" s="15"/>
      <c r="W34" s="15"/>
      <c r="X34" s="15"/>
      <c r="Y34" s="15"/>
      <c r="Z34" s="15"/>
      <c r="AA34" s="15"/>
      <c r="AB34" s="15"/>
    </row>
    <row r="35" spans="2:28" x14ac:dyDescent="0.25">
      <c r="B35" s="15" t="e">
        <f t="shared" si="4"/>
        <v>#VALUE!</v>
      </c>
      <c r="C35" s="15" t="e">
        <f t="shared" si="5"/>
        <v>#VALUE!</v>
      </c>
      <c r="D35" s="15"/>
      <c r="E35" s="15" t="str">
        <f>IF(Table2[[#This Row],[Notes]]="","",LEFT(Table2[[#This Row],[Notes]],FIND(CHAR(10),Table2[[#This Row],[Notes]]&amp;CHAR(10))-1))</f>
        <v/>
      </c>
      <c r="F35" s="15" t="e">
        <f t="shared" si="6"/>
        <v>#VALUE!</v>
      </c>
      <c r="G35" s="20">
        <f t="shared" ca="1" si="7"/>
        <v>44484</v>
      </c>
      <c r="H35" s="15"/>
      <c r="I35" s="15"/>
      <c r="J35" s="22"/>
      <c r="K35" s="15"/>
      <c r="L35" s="15"/>
      <c r="M35" s="15"/>
      <c r="N35" s="15"/>
      <c r="O35" s="15"/>
      <c r="P35" s="15"/>
      <c r="Q35" s="15"/>
      <c r="R35" s="15"/>
      <c r="S35" s="15"/>
      <c r="T35" s="15"/>
      <c r="U35" s="15"/>
      <c r="V35" s="15"/>
      <c r="W35" s="15"/>
      <c r="X35" s="15"/>
      <c r="Y35" s="15"/>
      <c r="Z35" s="15"/>
      <c r="AA35" s="15"/>
      <c r="AB35" s="15"/>
    </row>
    <row r="36" spans="2:28" x14ac:dyDescent="0.25">
      <c r="B36" s="15" t="e">
        <f t="shared" si="4"/>
        <v>#VALUE!</v>
      </c>
      <c r="C36" s="15" t="e">
        <f t="shared" si="5"/>
        <v>#VALUE!</v>
      </c>
      <c r="D36" s="15"/>
      <c r="E36" s="15" t="str">
        <f>IF(Table2[[#This Row],[Notes]]="","",LEFT(Table2[[#This Row],[Notes]],FIND(CHAR(10),Table2[[#This Row],[Notes]]&amp;CHAR(10))-1))</f>
        <v/>
      </c>
      <c r="F36" s="15" t="e">
        <f t="shared" si="6"/>
        <v>#VALUE!</v>
      </c>
      <c r="G36" s="20">
        <f t="shared" ca="1" si="7"/>
        <v>44484</v>
      </c>
      <c r="H36" s="15"/>
      <c r="I36" s="15"/>
      <c r="J36" s="22"/>
      <c r="K36" s="15"/>
      <c r="L36" s="15"/>
      <c r="M36" s="15"/>
      <c r="N36" s="15"/>
      <c r="O36" s="15"/>
      <c r="P36" s="15"/>
      <c r="Q36" s="15"/>
      <c r="R36" s="15"/>
      <c r="S36" s="15"/>
      <c r="T36" s="15"/>
      <c r="U36" s="15"/>
      <c r="V36" s="15"/>
      <c r="W36" s="15"/>
      <c r="X36" s="15"/>
      <c r="Y36" s="15"/>
      <c r="Z36" s="15"/>
      <c r="AA36" s="15"/>
      <c r="AB36" s="15"/>
    </row>
    <row r="37" spans="2:28" x14ac:dyDescent="0.25">
      <c r="B37" s="15" t="e">
        <f t="shared" si="4"/>
        <v>#VALUE!</v>
      </c>
      <c r="C37" s="15" t="e">
        <f t="shared" si="5"/>
        <v>#VALUE!</v>
      </c>
      <c r="D37" s="15"/>
      <c r="E37" s="15" t="str">
        <f>IF(Table2[[#This Row],[Notes]]="","",LEFT(Table2[[#This Row],[Notes]],FIND(CHAR(10),Table2[[#This Row],[Notes]]&amp;CHAR(10))-1))</f>
        <v/>
      </c>
      <c r="F37" s="15" t="e">
        <f t="shared" si="6"/>
        <v>#VALUE!</v>
      </c>
      <c r="G37" s="20">
        <f t="shared" ca="1" si="7"/>
        <v>44484</v>
      </c>
      <c r="H37" s="15"/>
      <c r="I37" s="15"/>
      <c r="J37" s="22"/>
      <c r="K37" s="15"/>
      <c r="L37" s="15"/>
      <c r="M37" s="15"/>
      <c r="N37" s="15"/>
      <c r="O37" s="15"/>
      <c r="P37" s="15"/>
      <c r="Q37" s="15"/>
      <c r="R37" s="15"/>
      <c r="S37" s="15"/>
      <c r="T37" s="15"/>
      <c r="U37" s="15"/>
      <c r="V37" s="15"/>
      <c r="W37" s="15"/>
      <c r="X37" s="15"/>
      <c r="Y37" s="15"/>
      <c r="Z37" s="15"/>
      <c r="AA37" s="15"/>
      <c r="AB37" s="15"/>
    </row>
    <row r="38" spans="2:28" x14ac:dyDescent="0.25">
      <c r="B38" s="15" t="e">
        <f t="shared" si="4"/>
        <v>#VALUE!</v>
      </c>
      <c r="C38" s="15" t="e">
        <f t="shared" si="5"/>
        <v>#VALUE!</v>
      </c>
      <c r="D38" s="15"/>
      <c r="E38" s="15" t="str">
        <f>IF(Table2[[#This Row],[Notes]]="","",LEFT(Table2[[#This Row],[Notes]],FIND(CHAR(10),Table2[[#This Row],[Notes]]&amp;CHAR(10))-1))</f>
        <v/>
      </c>
      <c r="F38" s="15" t="e">
        <f t="shared" si="6"/>
        <v>#VALUE!</v>
      </c>
      <c r="G38" s="20">
        <f t="shared" ca="1" si="7"/>
        <v>44484</v>
      </c>
      <c r="H38" s="15"/>
      <c r="I38" s="15"/>
      <c r="J38" s="22"/>
      <c r="K38" s="15"/>
      <c r="L38" s="15"/>
      <c r="M38" s="15"/>
      <c r="N38" s="15"/>
      <c r="O38" s="15"/>
      <c r="P38" s="15"/>
      <c r="Q38" s="15"/>
      <c r="R38" s="15"/>
      <c r="S38" s="15"/>
      <c r="T38" s="15"/>
      <c r="U38" s="15"/>
      <c r="V38" s="15"/>
      <c r="W38" s="15"/>
      <c r="X38" s="15"/>
      <c r="Y38" s="15"/>
      <c r="Z38" s="15"/>
      <c r="AA38" s="15"/>
      <c r="AB38" s="15"/>
    </row>
    <row r="39" spans="2:28" x14ac:dyDescent="0.25">
      <c r="B39" s="15" t="e">
        <f t="shared" si="4"/>
        <v>#VALUE!</v>
      </c>
      <c r="C39" s="15" t="e">
        <f t="shared" si="5"/>
        <v>#VALUE!</v>
      </c>
      <c r="D39" s="15"/>
      <c r="E39" s="15" t="str">
        <f>IF(Table2[[#This Row],[Notes]]="","",LEFT(Table2[[#This Row],[Notes]],FIND(CHAR(10),Table2[[#This Row],[Notes]]&amp;CHAR(10))-1))</f>
        <v/>
      </c>
      <c r="F39" s="15" t="e">
        <f t="shared" si="6"/>
        <v>#VALUE!</v>
      </c>
      <c r="G39" s="20">
        <f t="shared" ca="1" si="7"/>
        <v>44484</v>
      </c>
      <c r="H39" s="15"/>
      <c r="I39" s="15"/>
      <c r="J39" s="22"/>
      <c r="K39" s="15"/>
      <c r="L39" s="15"/>
      <c r="M39" s="15"/>
      <c r="N39" s="15"/>
      <c r="O39" s="15"/>
      <c r="P39" s="15"/>
      <c r="Q39" s="15"/>
      <c r="R39" s="15"/>
      <c r="S39" s="15"/>
      <c r="T39" s="15"/>
      <c r="U39" s="15"/>
      <c r="V39" s="15"/>
      <c r="W39" s="15"/>
      <c r="X39" s="15"/>
      <c r="Y39" s="15"/>
      <c r="Z39" s="15"/>
      <c r="AA39" s="15"/>
      <c r="AB39" s="15"/>
    </row>
    <row r="40" spans="2:28" x14ac:dyDescent="0.25">
      <c r="B40" s="15" t="e">
        <f t="shared" si="4"/>
        <v>#VALUE!</v>
      </c>
      <c r="C40" s="15" t="e">
        <f t="shared" si="5"/>
        <v>#VALUE!</v>
      </c>
      <c r="D40" s="15"/>
      <c r="E40" s="15" t="str">
        <f>IF(Table2[[#This Row],[Notes]]="","",LEFT(Table2[[#This Row],[Notes]],FIND(CHAR(10),Table2[[#This Row],[Notes]]&amp;CHAR(10))-1))</f>
        <v/>
      </c>
      <c r="F40" s="15" t="e">
        <f t="shared" si="6"/>
        <v>#VALUE!</v>
      </c>
      <c r="G40" s="20">
        <f t="shared" ca="1" si="7"/>
        <v>44484</v>
      </c>
      <c r="H40" s="15"/>
      <c r="I40" s="15"/>
      <c r="J40" s="22"/>
      <c r="K40" s="15"/>
      <c r="L40" s="15"/>
      <c r="M40" s="15"/>
      <c r="N40" s="15"/>
      <c r="O40" s="15"/>
      <c r="P40" s="15"/>
      <c r="Q40" s="15"/>
      <c r="R40" s="15"/>
      <c r="S40" s="15"/>
      <c r="T40" s="15"/>
      <c r="U40" s="15"/>
      <c r="V40" s="15"/>
      <c r="W40" s="15"/>
      <c r="X40" s="15"/>
      <c r="Y40" s="15"/>
      <c r="Z40" s="15"/>
      <c r="AA40" s="15"/>
      <c r="AB40" s="15"/>
    </row>
    <row r="41" spans="2:28" x14ac:dyDescent="0.25">
      <c r="B41" s="15" t="e">
        <f t="shared" si="4"/>
        <v>#VALUE!</v>
      </c>
      <c r="C41" s="15" t="e">
        <f t="shared" si="5"/>
        <v>#VALUE!</v>
      </c>
      <c r="D41" s="15"/>
      <c r="E41" s="15" t="str">
        <f>IF(Table2[[#This Row],[Notes]]="","",LEFT(Table2[[#This Row],[Notes]],FIND(CHAR(10),Table2[[#This Row],[Notes]]&amp;CHAR(10))-1))</f>
        <v/>
      </c>
      <c r="F41" s="15" t="e">
        <f t="shared" si="6"/>
        <v>#VALUE!</v>
      </c>
      <c r="G41" s="20">
        <f t="shared" ca="1" si="7"/>
        <v>44484</v>
      </c>
      <c r="H41" s="15"/>
      <c r="I41" s="15"/>
      <c r="J41" s="22"/>
      <c r="K41" s="15"/>
      <c r="L41" s="15"/>
      <c r="M41" s="15"/>
      <c r="N41" s="15"/>
      <c r="O41" s="15"/>
      <c r="P41" s="15"/>
      <c r="Q41" s="15"/>
      <c r="R41" s="15"/>
      <c r="S41" s="15"/>
      <c r="T41" s="15"/>
      <c r="U41" s="15"/>
      <c r="V41" s="15"/>
      <c r="W41" s="15"/>
      <c r="X41" s="15"/>
      <c r="Y41" s="15"/>
      <c r="Z41" s="15"/>
      <c r="AA41" s="15"/>
      <c r="AB41" s="15"/>
    </row>
    <row r="42" spans="2:28" x14ac:dyDescent="0.25">
      <c r="B42" s="15" t="e">
        <f t="shared" si="4"/>
        <v>#VALUE!</v>
      </c>
      <c r="C42" s="15" t="e">
        <f t="shared" si="5"/>
        <v>#VALUE!</v>
      </c>
      <c r="D42" s="15"/>
      <c r="E42" s="15" t="str">
        <f>IF(Table2[[#This Row],[Notes]]="","",LEFT(Table2[[#This Row],[Notes]],FIND(CHAR(10),Table2[[#This Row],[Notes]]&amp;CHAR(10))-1))</f>
        <v/>
      </c>
      <c r="F42" s="15" t="e">
        <f t="shared" si="6"/>
        <v>#VALUE!</v>
      </c>
      <c r="G42" s="20">
        <f t="shared" ca="1" si="7"/>
        <v>44484</v>
      </c>
      <c r="H42" s="15"/>
      <c r="I42" s="15"/>
      <c r="J42" s="22"/>
      <c r="K42" s="15"/>
      <c r="L42" s="15"/>
      <c r="M42" s="15"/>
      <c r="N42" s="15"/>
      <c r="O42" s="15"/>
      <c r="P42" s="15"/>
      <c r="Q42" s="15"/>
      <c r="R42" s="15"/>
      <c r="S42" s="15"/>
      <c r="T42" s="15"/>
      <c r="U42" s="15"/>
      <c r="V42" s="15"/>
      <c r="W42" s="15"/>
      <c r="X42" s="15"/>
      <c r="Y42" s="15"/>
      <c r="Z42" s="15"/>
      <c r="AA42" s="15"/>
      <c r="AB42" s="15"/>
    </row>
    <row r="43" spans="2:28" x14ac:dyDescent="0.25">
      <c r="B43" s="15" t="e">
        <f t="shared" si="4"/>
        <v>#VALUE!</v>
      </c>
      <c r="C43" s="15" t="e">
        <f t="shared" si="5"/>
        <v>#VALUE!</v>
      </c>
      <c r="D43" s="15"/>
      <c r="E43" s="15" t="str">
        <f>IF(Table2[[#This Row],[Notes]]="","",LEFT(Table2[[#This Row],[Notes]],FIND(CHAR(10),Table2[[#This Row],[Notes]]&amp;CHAR(10))-1))</f>
        <v/>
      </c>
      <c r="F43" s="15" t="e">
        <f t="shared" si="6"/>
        <v>#VALUE!</v>
      </c>
      <c r="G43" s="20">
        <f t="shared" ca="1" si="7"/>
        <v>44484</v>
      </c>
      <c r="H43" s="15"/>
      <c r="I43" s="15"/>
      <c r="J43" s="22"/>
      <c r="K43" s="15"/>
      <c r="L43" s="15"/>
      <c r="M43" s="15"/>
      <c r="N43" s="15"/>
      <c r="O43" s="15"/>
      <c r="P43" s="15"/>
      <c r="Q43" s="15"/>
      <c r="R43" s="15"/>
      <c r="S43" s="15"/>
      <c r="T43" s="15"/>
      <c r="U43" s="15"/>
      <c r="V43" s="15"/>
      <c r="W43" s="15"/>
      <c r="X43" s="15"/>
      <c r="Y43" s="15"/>
      <c r="Z43" s="15"/>
      <c r="AA43" s="15"/>
      <c r="AB43" s="15"/>
    </row>
    <row r="44" spans="2:28" x14ac:dyDescent="0.25">
      <c r="B44" s="15" t="e">
        <f t="shared" si="4"/>
        <v>#VALUE!</v>
      </c>
      <c r="C44" s="15" t="e">
        <f t="shared" si="5"/>
        <v>#VALUE!</v>
      </c>
      <c r="D44" s="15"/>
      <c r="E44" s="15" t="str">
        <f>IF(Table2[[#This Row],[Notes]]="","",LEFT(Table2[[#This Row],[Notes]],FIND(CHAR(10),Table2[[#This Row],[Notes]]&amp;CHAR(10))-1))</f>
        <v/>
      </c>
      <c r="F44" s="15" t="e">
        <f t="shared" si="6"/>
        <v>#VALUE!</v>
      </c>
      <c r="G44" s="20">
        <f t="shared" ca="1" si="7"/>
        <v>44484</v>
      </c>
      <c r="H44" s="15"/>
      <c r="I44" s="15"/>
      <c r="J44" s="22"/>
      <c r="K44" s="15"/>
      <c r="L44" s="15"/>
      <c r="M44" s="15"/>
      <c r="N44" s="15"/>
      <c r="O44" s="15"/>
      <c r="P44" s="15"/>
      <c r="Q44" s="15"/>
      <c r="R44" s="15"/>
      <c r="S44" s="15"/>
      <c r="T44" s="15"/>
      <c r="U44" s="15"/>
      <c r="V44" s="15"/>
      <c r="W44" s="15"/>
      <c r="X44" s="15"/>
      <c r="Y44" s="15"/>
      <c r="Z44" s="15"/>
      <c r="AA44" s="15"/>
      <c r="AB44" s="15"/>
    </row>
    <row r="45" spans="2:28" x14ac:dyDescent="0.25">
      <c r="B45" s="15" t="e">
        <f t="shared" si="4"/>
        <v>#VALUE!</v>
      </c>
      <c r="C45" s="15" t="e">
        <f t="shared" si="5"/>
        <v>#VALUE!</v>
      </c>
      <c r="D45" s="15"/>
      <c r="E45" s="15" t="str">
        <f>IF(Table2[[#This Row],[Notes]]="","",LEFT(Table2[[#This Row],[Notes]],FIND(CHAR(10),Table2[[#This Row],[Notes]]&amp;CHAR(10))-1))</f>
        <v/>
      </c>
      <c r="F45" s="15" t="e">
        <f t="shared" si="6"/>
        <v>#VALUE!</v>
      </c>
      <c r="G45" s="20">
        <f t="shared" ca="1" si="7"/>
        <v>44484</v>
      </c>
      <c r="H45" s="15"/>
      <c r="I45" s="15"/>
      <c r="J45" s="22"/>
      <c r="K45" s="15"/>
      <c r="L45" s="15"/>
      <c r="M45" s="15"/>
      <c r="N45" s="15"/>
      <c r="O45" s="15"/>
      <c r="P45" s="15"/>
      <c r="Q45" s="15"/>
      <c r="R45" s="15"/>
      <c r="S45" s="15"/>
      <c r="T45" s="15"/>
      <c r="U45" s="15"/>
      <c r="V45" s="15"/>
      <c r="W45" s="15"/>
      <c r="X45" s="15"/>
      <c r="Y45" s="15"/>
      <c r="Z45" s="15"/>
      <c r="AA45" s="15"/>
      <c r="AB45" s="15"/>
    </row>
    <row r="46" spans="2:28" x14ac:dyDescent="0.25">
      <c r="B46" s="15" t="e">
        <f t="shared" si="4"/>
        <v>#VALUE!</v>
      </c>
      <c r="C46" s="15" t="e">
        <f t="shared" si="5"/>
        <v>#VALUE!</v>
      </c>
      <c r="D46" s="15"/>
      <c r="E46" s="15" t="str">
        <f>IF(Table2[[#This Row],[Notes]]="","",LEFT(Table2[[#This Row],[Notes]],FIND(CHAR(10),Table2[[#This Row],[Notes]]&amp;CHAR(10))-1))</f>
        <v/>
      </c>
      <c r="F46" s="15" t="e">
        <f t="shared" si="6"/>
        <v>#VALUE!</v>
      </c>
      <c r="G46" s="20">
        <f t="shared" ca="1" si="7"/>
        <v>44484</v>
      </c>
      <c r="H46" s="15"/>
      <c r="I46" s="15"/>
      <c r="J46" s="22"/>
      <c r="K46" s="15"/>
      <c r="L46" s="15"/>
      <c r="M46" s="15"/>
      <c r="N46" s="15"/>
      <c r="O46" s="15"/>
      <c r="P46" s="15"/>
      <c r="Q46" s="15"/>
      <c r="R46" s="15"/>
      <c r="S46" s="15"/>
      <c r="T46" s="15"/>
      <c r="U46" s="15"/>
      <c r="V46" s="15"/>
      <c r="W46" s="15"/>
      <c r="X46" s="15"/>
      <c r="Y46" s="15"/>
      <c r="Z46" s="15"/>
      <c r="AA46" s="15"/>
      <c r="AB46" s="15"/>
    </row>
    <row r="47" spans="2:28" x14ac:dyDescent="0.25">
      <c r="B47" s="15" t="e">
        <f t="shared" si="4"/>
        <v>#VALUE!</v>
      </c>
      <c r="C47" s="15" t="e">
        <f t="shared" si="5"/>
        <v>#VALUE!</v>
      </c>
      <c r="D47" s="15"/>
      <c r="E47" s="15" t="str">
        <f>IF(Table2[[#This Row],[Notes]]="","",LEFT(Table2[[#This Row],[Notes]],FIND(CHAR(10),Table2[[#This Row],[Notes]]&amp;CHAR(10))-1))</f>
        <v/>
      </c>
      <c r="F47" s="15" t="e">
        <f t="shared" si="6"/>
        <v>#VALUE!</v>
      </c>
      <c r="G47" s="20">
        <f t="shared" ca="1" si="7"/>
        <v>44484</v>
      </c>
      <c r="H47" s="15"/>
      <c r="I47" s="15"/>
      <c r="J47" s="22"/>
      <c r="K47" s="15"/>
      <c r="L47" s="15"/>
      <c r="M47" s="15"/>
      <c r="N47" s="15"/>
      <c r="O47" s="15"/>
      <c r="P47" s="15"/>
      <c r="Q47" s="15"/>
      <c r="R47" s="15"/>
      <c r="S47" s="15"/>
      <c r="T47" s="15"/>
      <c r="U47" s="15"/>
      <c r="V47" s="15"/>
      <c r="W47" s="15"/>
      <c r="X47" s="15"/>
      <c r="Y47" s="15"/>
      <c r="Z47" s="15"/>
      <c r="AA47" s="15"/>
      <c r="AB47" s="15"/>
    </row>
    <row r="48" spans="2:28" x14ac:dyDescent="0.25">
      <c r="B48" s="15" t="e">
        <f t="shared" si="4"/>
        <v>#VALUE!</v>
      </c>
      <c r="C48" s="15" t="e">
        <f t="shared" si="5"/>
        <v>#VALUE!</v>
      </c>
      <c r="D48" s="15"/>
      <c r="E48" s="15" t="str">
        <f>IF(Table2[[#This Row],[Notes]]="","",LEFT(Table2[[#This Row],[Notes]],FIND(CHAR(10),Table2[[#This Row],[Notes]]&amp;CHAR(10))-1))</f>
        <v/>
      </c>
      <c r="F48" s="15" t="e">
        <f t="shared" si="6"/>
        <v>#VALUE!</v>
      </c>
      <c r="G48" s="20">
        <f t="shared" ca="1" si="7"/>
        <v>44484</v>
      </c>
      <c r="H48" s="15"/>
      <c r="I48" s="15"/>
      <c r="J48" s="22"/>
      <c r="K48" s="15"/>
      <c r="L48" s="15"/>
      <c r="M48" s="15"/>
      <c r="N48" s="15"/>
      <c r="O48" s="15"/>
      <c r="P48" s="15"/>
      <c r="Q48" s="15"/>
      <c r="R48" s="15"/>
      <c r="S48" s="15"/>
      <c r="T48" s="15"/>
      <c r="U48" s="15"/>
      <c r="V48" s="15"/>
      <c r="W48" s="15"/>
      <c r="X48" s="15"/>
      <c r="Y48" s="15"/>
      <c r="Z48" s="15"/>
      <c r="AA48" s="15"/>
      <c r="AB48" s="15"/>
    </row>
    <row r="49" spans="2:28" x14ac:dyDescent="0.25">
      <c r="B49" s="15" t="e">
        <f t="shared" si="4"/>
        <v>#VALUE!</v>
      </c>
      <c r="C49" s="15" t="e">
        <f t="shared" si="5"/>
        <v>#VALUE!</v>
      </c>
      <c r="D49" s="15"/>
      <c r="E49" s="15" t="str">
        <f>IF(Table2[[#This Row],[Notes]]="","",LEFT(Table2[[#This Row],[Notes]],FIND(CHAR(10),Table2[[#This Row],[Notes]]&amp;CHAR(10))-1))</f>
        <v/>
      </c>
      <c r="F49" s="15" t="e">
        <f t="shared" si="6"/>
        <v>#VALUE!</v>
      </c>
      <c r="G49" s="20">
        <f t="shared" ca="1" si="7"/>
        <v>44484</v>
      </c>
      <c r="H49" s="15"/>
      <c r="I49" s="15"/>
      <c r="J49" s="22"/>
      <c r="K49" s="15"/>
      <c r="L49" s="15"/>
      <c r="M49" s="15"/>
      <c r="N49" s="15"/>
      <c r="O49" s="15"/>
      <c r="P49" s="15"/>
      <c r="Q49" s="15"/>
      <c r="R49" s="15"/>
      <c r="S49" s="15"/>
      <c r="T49" s="15"/>
      <c r="U49" s="15"/>
      <c r="V49" s="15"/>
      <c r="W49" s="15"/>
      <c r="X49" s="15"/>
      <c r="Y49" s="15"/>
      <c r="Z49" s="15"/>
      <c r="AA49" s="15"/>
      <c r="AB49" s="15"/>
    </row>
    <row r="50" spans="2:28" x14ac:dyDescent="0.25">
      <c r="B50" s="15" t="e">
        <f t="shared" si="4"/>
        <v>#VALUE!</v>
      </c>
      <c r="C50" s="15" t="e">
        <f t="shared" si="5"/>
        <v>#VALUE!</v>
      </c>
      <c r="D50" s="15"/>
      <c r="E50" s="15" t="str">
        <f>IF(Table2[[#This Row],[Notes]]="","",LEFT(Table2[[#This Row],[Notes]],FIND(CHAR(10),Table2[[#This Row],[Notes]]&amp;CHAR(10))-1))</f>
        <v/>
      </c>
      <c r="F50" s="15" t="e">
        <f t="shared" si="6"/>
        <v>#VALUE!</v>
      </c>
      <c r="G50" s="20">
        <f t="shared" ca="1" si="7"/>
        <v>44484</v>
      </c>
      <c r="H50" s="15"/>
      <c r="I50" s="15"/>
      <c r="J50" s="22"/>
      <c r="K50" s="15"/>
      <c r="L50" s="15"/>
      <c r="M50" s="15"/>
      <c r="N50" s="15"/>
      <c r="O50" s="15"/>
      <c r="P50" s="15"/>
      <c r="Q50" s="15"/>
      <c r="R50" s="15"/>
      <c r="S50" s="15"/>
      <c r="T50" s="15"/>
      <c r="U50" s="15"/>
      <c r="V50" s="15"/>
      <c r="W50" s="15"/>
      <c r="X50" s="15"/>
      <c r="Y50" s="15"/>
      <c r="Z50" s="15"/>
      <c r="AA50" s="15"/>
      <c r="AB50" s="15"/>
    </row>
    <row r="51" spans="2:28" x14ac:dyDescent="0.25">
      <c r="B51" s="15" t="e">
        <f t="shared" si="4"/>
        <v>#VALUE!</v>
      </c>
      <c r="C51" s="15" t="e">
        <f t="shared" si="5"/>
        <v>#VALUE!</v>
      </c>
      <c r="D51" s="15"/>
      <c r="E51" s="15" t="str">
        <f>IF(Table2[[#This Row],[Notes]]="","",LEFT(Table2[[#This Row],[Notes]],FIND(CHAR(10),Table2[[#This Row],[Notes]]&amp;CHAR(10))-1))</f>
        <v/>
      </c>
      <c r="F51" s="15" t="e">
        <f t="shared" si="6"/>
        <v>#VALUE!</v>
      </c>
      <c r="G51" s="20">
        <f t="shared" ca="1" si="7"/>
        <v>44484</v>
      </c>
      <c r="H51" s="15"/>
      <c r="I51" s="15"/>
      <c r="J51" s="22"/>
      <c r="K51" s="15"/>
      <c r="L51" s="15"/>
      <c r="M51" s="15"/>
      <c r="N51" s="15"/>
      <c r="O51" s="15"/>
      <c r="P51" s="15"/>
      <c r="Q51" s="15"/>
      <c r="R51" s="15"/>
      <c r="S51" s="15"/>
      <c r="T51" s="15"/>
      <c r="U51" s="15"/>
      <c r="V51" s="15"/>
      <c r="W51" s="15"/>
      <c r="X51" s="15"/>
      <c r="Y51" s="15"/>
      <c r="Z51" s="15"/>
      <c r="AA51" s="15"/>
      <c r="AB51" s="15"/>
    </row>
    <row r="52" spans="2:28" x14ac:dyDescent="0.25">
      <c r="B52" s="15" t="e">
        <f t="shared" si="4"/>
        <v>#VALUE!</v>
      </c>
      <c r="C52" s="15" t="e">
        <f t="shared" si="5"/>
        <v>#VALUE!</v>
      </c>
      <c r="D52" s="15"/>
      <c r="E52" s="15" t="str">
        <f>IF(Table2[[#This Row],[Notes]]="","",LEFT(Table2[[#This Row],[Notes]],FIND(CHAR(10),Table2[[#This Row],[Notes]]&amp;CHAR(10))-1))</f>
        <v/>
      </c>
      <c r="F52" s="15" t="e">
        <f t="shared" si="6"/>
        <v>#VALUE!</v>
      </c>
      <c r="G52" s="20">
        <f t="shared" ca="1" si="7"/>
        <v>44484</v>
      </c>
      <c r="H52" s="15"/>
      <c r="I52" s="15"/>
      <c r="J52" s="22"/>
      <c r="K52" s="15"/>
      <c r="L52" s="15"/>
      <c r="M52" s="15"/>
      <c r="N52" s="15"/>
      <c r="O52" s="15"/>
      <c r="P52" s="15"/>
      <c r="Q52" s="15"/>
      <c r="R52" s="15"/>
      <c r="S52" s="15"/>
      <c r="T52" s="15"/>
      <c r="U52" s="15"/>
      <c r="V52" s="15"/>
      <c r="W52" s="15"/>
      <c r="X52" s="15"/>
      <c r="Y52" s="15"/>
      <c r="Z52" s="15"/>
      <c r="AA52" s="15"/>
      <c r="AB52" s="15"/>
    </row>
    <row r="53" spans="2:28" x14ac:dyDescent="0.25">
      <c r="B53" s="15" t="e">
        <f t="shared" si="4"/>
        <v>#VALUE!</v>
      </c>
      <c r="C53" s="15" t="e">
        <f t="shared" si="5"/>
        <v>#VALUE!</v>
      </c>
      <c r="D53" s="15"/>
      <c r="E53" s="15" t="str">
        <f>IF(Table2[[#This Row],[Notes]]="","",LEFT(Table2[[#This Row],[Notes]],FIND(CHAR(10),Table2[[#This Row],[Notes]]&amp;CHAR(10))-1))</f>
        <v/>
      </c>
      <c r="F53" s="15" t="e">
        <f t="shared" si="6"/>
        <v>#VALUE!</v>
      </c>
      <c r="G53" s="20">
        <f t="shared" ca="1" si="7"/>
        <v>44484</v>
      </c>
      <c r="H53" s="15"/>
      <c r="I53" s="15"/>
      <c r="J53" s="22"/>
      <c r="K53" s="15"/>
      <c r="L53" s="15"/>
      <c r="M53" s="15"/>
      <c r="N53" s="15"/>
      <c r="O53" s="15"/>
      <c r="P53" s="15"/>
      <c r="Q53" s="15"/>
      <c r="R53" s="15"/>
      <c r="S53" s="15"/>
      <c r="T53" s="15"/>
      <c r="U53" s="15"/>
      <c r="V53" s="15"/>
      <c r="W53" s="15"/>
      <c r="X53" s="15"/>
      <c r="Y53" s="15"/>
      <c r="Z53" s="15"/>
      <c r="AA53" s="15"/>
      <c r="AB53" s="15"/>
    </row>
    <row r="54" spans="2:28" x14ac:dyDescent="0.25">
      <c r="B54" s="15" t="e">
        <f t="shared" si="4"/>
        <v>#VALUE!</v>
      </c>
      <c r="C54" s="15" t="e">
        <f t="shared" si="5"/>
        <v>#VALUE!</v>
      </c>
      <c r="D54" s="15"/>
      <c r="E54" s="15" t="str">
        <f>IF(Table2[[#This Row],[Notes]]="","",LEFT(Table2[[#This Row],[Notes]],FIND(CHAR(10),Table2[[#This Row],[Notes]]&amp;CHAR(10))-1))</f>
        <v/>
      </c>
      <c r="F54" s="15" t="e">
        <f t="shared" si="6"/>
        <v>#VALUE!</v>
      </c>
      <c r="G54" s="20">
        <f t="shared" ca="1" si="7"/>
        <v>44484</v>
      </c>
      <c r="H54" s="15"/>
      <c r="I54" s="15"/>
      <c r="J54" s="22"/>
      <c r="K54" s="15"/>
      <c r="L54" s="15"/>
      <c r="M54" s="15"/>
      <c r="N54" s="15"/>
      <c r="O54" s="15"/>
      <c r="P54" s="15"/>
      <c r="Q54" s="15"/>
      <c r="R54" s="15"/>
      <c r="S54" s="15"/>
      <c r="T54" s="15"/>
      <c r="U54" s="15"/>
      <c r="V54" s="15"/>
      <c r="W54" s="15"/>
      <c r="X54" s="15"/>
      <c r="Y54" s="15"/>
      <c r="Z54" s="15"/>
      <c r="AA54" s="15"/>
      <c r="AB54" s="15"/>
    </row>
    <row r="55" spans="2:28" x14ac:dyDescent="0.25">
      <c r="B55" s="15" t="e">
        <f t="shared" si="4"/>
        <v>#VALUE!</v>
      </c>
      <c r="C55" s="15" t="e">
        <f t="shared" si="5"/>
        <v>#VALUE!</v>
      </c>
      <c r="D55" s="15"/>
      <c r="E55" s="15" t="str">
        <f>IF(Table2[[#This Row],[Notes]]="","",LEFT(Table2[[#This Row],[Notes]],FIND(CHAR(10),Table2[[#This Row],[Notes]]&amp;CHAR(10))-1))</f>
        <v/>
      </c>
      <c r="F55" s="15" t="e">
        <f t="shared" si="6"/>
        <v>#VALUE!</v>
      </c>
      <c r="G55" s="20">
        <f t="shared" ca="1" si="7"/>
        <v>44484</v>
      </c>
      <c r="H55" s="15"/>
      <c r="I55" s="15"/>
      <c r="J55" s="22"/>
      <c r="K55" s="15"/>
      <c r="L55" s="15"/>
      <c r="M55" s="15"/>
      <c r="N55" s="15"/>
      <c r="O55" s="15"/>
      <c r="P55" s="15"/>
      <c r="Q55" s="15"/>
      <c r="R55" s="15"/>
      <c r="S55" s="15"/>
      <c r="T55" s="15"/>
      <c r="U55" s="15"/>
      <c r="V55" s="15"/>
      <c r="W55" s="15"/>
      <c r="X55" s="15"/>
      <c r="Y55" s="15"/>
      <c r="Z55" s="15"/>
      <c r="AA55" s="15"/>
      <c r="AB55" s="15"/>
    </row>
    <row r="56" spans="2:28" x14ac:dyDescent="0.25">
      <c r="B56" s="15" t="e">
        <f t="shared" si="4"/>
        <v>#VALUE!</v>
      </c>
      <c r="C56" s="15" t="e">
        <f t="shared" si="5"/>
        <v>#VALUE!</v>
      </c>
      <c r="D56" s="15"/>
      <c r="E56" s="15" t="str">
        <f>IF(Table2[[#This Row],[Notes]]="","",LEFT(Table2[[#This Row],[Notes]],FIND(CHAR(10),Table2[[#This Row],[Notes]]&amp;CHAR(10))-1))</f>
        <v/>
      </c>
      <c r="F56" s="15" t="e">
        <f t="shared" si="6"/>
        <v>#VALUE!</v>
      </c>
      <c r="G56" s="20">
        <f t="shared" ca="1" si="7"/>
        <v>44484</v>
      </c>
      <c r="H56" s="15"/>
      <c r="I56" s="15"/>
      <c r="J56" s="22"/>
      <c r="K56" s="15"/>
      <c r="L56" s="15"/>
      <c r="M56" s="15"/>
      <c r="N56" s="15"/>
      <c r="O56" s="15"/>
      <c r="P56" s="15"/>
      <c r="Q56" s="15"/>
      <c r="R56" s="15"/>
      <c r="S56" s="15"/>
      <c r="T56" s="15"/>
      <c r="U56" s="15"/>
      <c r="V56" s="15"/>
      <c r="W56" s="15"/>
      <c r="X56" s="15"/>
      <c r="Y56" s="15"/>
      <c r="Z56" s="15"/>
      <c r="AA56" s="15"/>
      <c r="AB56" s="15"/>
    </row>
    <row r="57" spans="2:28" x14ac:dyDescent="0.25">
      <c r="B57" s="15" t="e">
        <f t="shared" si="4"/>
        <v>#VALUE!</v>
      </c>
      <c r="C57" s="15" t="e">
        <f t="shared" si="5"/>
        <v>#VALUE!</v>
      </c>
      <c r="D57" s="15"/>
      <c r="E57" s="15" t="str">
        <f>IF(Table2[[#This Row],[Notes]]="","",LEFT(Table2[[#This Row],[Notes]],FIND(CHAR(10),Table2[[#This Row],[Notes]]&amp;CHAR(10))-1))</f>
        <v/>
      </c>
      <c r="F57" s="15" t="e">
        <f t="shared" si="6"/>
        <v>#VALUE!</v>
      </c>
      <c r="G57" s="20">
        <f t="shared" ca="1" si="7"/>
        <v>44484</v>
      </c>
      <c r="H57" s="15"/>
      <c r="I57" s="15"/>
      <c r="J57" s="22"/>
      <c r="K57" s="15"/>
      <c r="L57" s="15"/>
      <c r="M57" s="15"/>
      <c r="N57" s="15"/>
      <c r="O57" s="15"/>
      <c r="P57" s="15"/>
      <c r="Q57" s="15"/>
      <c r="R57" s="15"/>
      <c r="S57" s="15"/>
      <c r="T57" s="15"/>
      <c r="U57" s="15"/>
      <c r="V57" s="15"/>
      <c r="W57" s="15"/>
      <c r="X57" s="15"/>
      <c r="Y57" s="15"/>
      <c r="Z57" s="15"/>
      <c r="AA57" s="15"/>
      <c r="AB57" s="15"/>
    </row>
    <row r="58" spans="2:28" x14ac:dyDescent="0.25">
      <c r="B58" s="15" t="e">
        <f t="shared" si="4"/>
        <v>#VALUE!</v>
      </c>
      <c r="C58" s="15" t="e">
        <f t="shared" si="5"/>
        <v>#VALUE!</v>
      </c>
      <c r="D58" s="15"/>
      <c r="E58" s="15" t="str">
        <f>IF(Table2[[#This Row],[Notes]]="","",LEFT(Table2[[#This Row],[Notes]],FIND(CHAR(10),Table2[[#This Row],[Notes]]&amp;CHAR(10))-1))</f>
        <v/>
      </c>
      <c r="F58" s="15" t="e">
        <f t="shared" si="6"/>
        <v>#VALUE!</v>
      </c>
      <c r="G58" s="20">
        <f t="shared" ca="1" si="7"/>
        <v>44484</v>
      </c>
      <c r="H58" s="15"/>
      <c r="I58" s="15"/>
      <c r="J58" s="22"/>
      <c r="K58" s="15"/>
      <c r="L58" s="15"/>
      <c r="M58" s="15"/>
      <c r="N58" s="15"/>
      <c r="O58" s="15"/>
      <c r="P58" s="15"/>
      <c r="Q58" s="15"/>
      <c r="R58" s="15"/>
      <c r="S58" s="15"/>
      <c r="T58" s="15"/>
      <c r="U58" s="15"/>
      <c r="V58" s="15"/>
      <c r="W58" s="15"/>
      <c r="X58" s="15"/>
      <c r="Y58" s="15"/>
      <c r="Z58" s="15"/>
      <c r="AA58" s="15"/>
      <c r="AB58" s="15"/>
    </row>
    <row r="59" spans="2:28" x14ac:dyDescent="0.25">
      <c r="B59" s="15" t="e">
        <f t="shared" si="4"/>
        <v>#VALUE!</v>
      </c>
      <c r="C59" s="15" t="e">
        <f t="shared" si="5"/>
        <v>#VALUE!</v>
      </c>
      <c r="D59" s="15"/>
      <c r="E59" s="15" t="str">
        <f>IF(Table2[[#This Row],[Notes]]="","",LEFT(Table2[[#This Row],[Notes]],FIND(CHAR(10),Table2[[#This Row],[Notes]]&amp;CHAR(10))-1))</f>
        <v/>
      </c>
      <c r="F59" s="15" t="e">
        <f t="shared" si="6"/>
        <v>#VALUE!</v>
      </c>
      <c r="G59" s="20">
        <f t="shared" ca="1" si="7"/>
        <v>44484</v>
      </c>
      <c r="H59" s="15"/>
      <c r="I59" s="15"/>
      <c r="J59" s="22"/>
      <c r="K59" s="15"/>
      <c r="L59" s="15"/>
      <c r="M59" s="15"/>
      <c r="N59" s="15"/>
      <c r="O59" s="15"/>
      <c r="P59" s="15"/>
      <c r="Q59" s="15"/>
      <c r="R59" s="15"/>
      <c r="S59" s="15"/>
      <c r="T59" s="15"/>
      <c r="U59" s="15"/>
      <c r="V59" s="15"/>
      <c r="W59" s="15"/>
      <c r="X59" s="15"/>
      <c r="Y59" s="15"/>
      <c r="Z59" s="15"/>
      <c r="AA59" s="15"/>
      <c r="AB59" s="15"/>
    </row>
    <row r="60" spans="2:28" x14ac:dyDescent="0.25">
      <c r="B60" s="15" t="e">
        <f t="shared" si="4"/>
        <v>#VALUE!</v>
      </c>
      <c r="C60" s="15" t="e">
        <f t="shared" si="5"/>
        <v>#VALUE!</v>
      </c>
      <c r="D60" s="15"/>
      <c r="E60" s="15" t="str">
        <f>IF(Table2[[#This Row],[Notes]]="","",LEFT(Table2[[#This Row],[Notes]],FIND(CHAR(10),Table2[[#This Row],[Notes]]&amp;CHAR(10))-1))</f>
        <v/>
      </c>
      <c r="F60" s="15" t="e">
        <f t="shared" si="6"/>
        <v>#VALUE!</v>
      </c>
      <c r="G60" s="20">
        <f t="shared" ca="1" si="7"/>
        <v>44484</v>
      </c>
      <c r="H60" s="15"/>
      <c r="I60" s="15"/>
      <c r="J60" s="22"/>
      <c r="K60" s="15"/>
      <c r="L60" s="15"/>
      <c r="M60" s="15"/>
      <c r="N60" s="15"/>
      <c r="O60" s="15"/>
      <c r="P60" s="15"/>
      <c r="Q60" s="15"/>
      <c r="R60" s="15"/>
      <c r="S60" s="15"/>
      <c r="T60" s="15"/>
      <c r="U60" s="15"/>
      <c r="V60" s="15"/>
      <c r="W60" s="15"/>
      <c r="X60" s="15"/>
      <c r="Y60" s="15"/>
      <c r="Z60" s="15"/>
      <c r="AA60" s="15"/>
      <c r="AB60" s="15"/>
    </row>
    <row r="61" spans="2:28" x14ac:dyDescent="0.25">
      <c r="B61" s="15" t="e">
        <f t="shared" si="4"/>
        <v>#VALUE!</v>
      </c>
      <c r="C61" s="15" t="e">
        <f t="shared" si="5"/>
        <v>#VALUE!</v>
      </c>
      <c r="D61" s="15"/>
      <c r="E61" s="15" t="str">
        <f>IF(Table2[[#This Row],[Notes]]="","",LEFT(Table2[[#This Row],[Notes]],FIND(CHAR(10),Table2[[#This Row],[Notes]]&amp;CHAR(10))-1))</f>
        <v/>
      </c>
      <c r="F61" s="15" t="e">
        <f t="shared" si="6"/>
        <v>#VALUE!</v>
      </c>
      <c r="G61" s="20">
        <f t="shared" ca="1" si="7"/>
        <v>44484</v>
      </c>
      <c r="H61" s="15"/>
      <c r="I61" s="15"/>
      <c r="J61" s="22"/>
      <c r="K61" s="15"/>
      <c r="L61" s="15"/>
      <c r="M61" s="15"/>
      <c r="N61" s="15"/>
      <c r="O61" s="15"/>
      <c r="P61" s="15"/>
      <c r="Q61" s="15"/>
      <c r="R61" s="15"/>
      <c r="S61" s="15"/>
      <c r="T61" s="15"/>
      <c r="U61" s="15"/>
      <c r="V61" s="15"/>
      <c r="W61" s="15"/>
      <c r="X61" s="15"/>
      <c r="Y61" s="15"/>
      <c r="Z61" s="15"/>
      <c r="AA61" s="15"/>
      <c r="AB61" s="15"/>
    </row>
    <row r="62" spans="2:28" x14ac:dyDescent="0.25">
      <c r="B62" s="15" t="e">
        <f t="shared" si="4"/>
        <v>#VALUE!</v>
      </c>
      <c r="C62" s="15" t="e">
        <f t="shared" si="5"/>
        <v>#VALUE!</v>
      </c>
      <c r="D62" s="15"/>
      <c r="E62" s="15" t="str">
        <f>IF(Table2[[#This Row],[Notes]]="","",LEFT(Table2[[#This Row],[Notes]],FIND(CHAR(10),Table2[[#This Row],[Notes]]&amp;CHAR(10))-1))</f>
        <v/>
      </c>
      <c r="F62" s="15" t="e">
        <f t="shared" si="6"/>
        <v>#VALUE!</v>
      </c>
      <c r="G62" s="20">
        <f t="shared" ca="1" si="7"/>
        <v>44484</v>
      </c>
      <c r="H62" s="15"/>
      <c r="I62" s="15"/>
      <c r="J62" s="22"/>
      <c r="K62" s="15"/>
      <c r="L62" s="15"/>
      <c r="M62" s="15"/>
      <c r="N62" s="15"/>
      <c r="O62" s="15"/>
      <c r="P62" s="15"/>
      <c r="Q62" s="15"/>
      <c r="R62" s="15"/>
      <c r="S62" s="15"/>
      <c r="T62" s="15"/>
      <c r="U62" s="15"/>
      <c r="V62" s="15"/>
      <c r="W62" s="15"/>
      <c r="X62" s="15"/>
      <c r="Y62" s="15"/>
      <c r="Z62" s="15"/>
      <c r="AA62" s="15"/>
      <c r="AB62" s="15"/>
    </row>
    <row r="63" spans="2:28" x14ac:dyDescent="0.25">
      <c r="B63" s="15" t="e">
        <f t="shared" si="4"/>
        <v>#VALUE!</v>
      </c>
      <c r="C63" s="15" t="e">
        <f t="shared" si="5"/>
        <v>#VALUE!</v>
      </c>
      <c r="D63" s="15"/>
      <c r="E63" s="15" t="str">
        <f>IF(Table2[[#This Row],[Notes]]="","",LEFT(Table2[[#This Row],[Notes]],FIND(CHAR(10),Table2[[#This Row],[Notes]]&amp;CHAR(10))-1))</f>
        <v/>
      </c>
      <c r="F63" s="15" t="e">
        <f t="shared" si="6"/>
        <v>#VALUE!</v>
      </c>
      <c r="G63" s="20">
        <f t="shared" ca="1" si="7"/>
        <v>44484</v>
      </c>
      <c r="H63" s="15"/>
      <c r="I63" s="15"/>
      <c r="J63" s="22"/>
      <c r="K63" s="15"/>
      <c r="L63" s="15"/>
      <c r="M63" s="15"/>
      <c r="N63" s="15"/>
      <c r="O63" s="15"/>
      <c r="P63" s="15"/>
      <c r="Q63" s="15"/>
      <c r="R63" s="15"/>
      <c r="S63" s="15"/>
      <c r="T63" s="15"/>
      <c r="U63" s="15"/>
      <c r="V63" s="15"/>
      <c r="W63" s="15"/>
      <c r="X63" s="15"/>
      <c r="Y63" s="15"/>
      <c r="Z63" s="15"/>
      <c r="AA63" s="15"/>
      <c r="AB63" s="15"/>
    </row>
    <row r="64" spans="2:28" x14ac:dyDescent="0.25">
      <c r="B64" s="15" t="e">
        <f t="shared" ref="B64:B95" si="8" xml:space="preserve"> MID(A64,SEARCH(":",A64)+2,SEARCH(":",A64,SEARCH(":",A64)+1)-SEARCH(":",A64)-3)</f>
        <v>#VALUE!</v>
      </c>
      <c r="C64" s="15" t="e">
        <f t="shared" ref="C64:C95" si="9">"part:"&amp;MID(A64,SEARCH(":",A64)+1,SEARCH(":",A64,SEARCH(":",A64)+1)-SEARCH(":",A64)-1)</f>
        <v>#VALUE!</v>
      </c>
      <c r="D64" s="15"/>
      <c r="E64" s="15" t="str">
        <f>IF(Table2[[#This Row],[Notes]]="","",LEFT(Table2[[#This Row],[Notes]],FIND(CHAR(10),Table2[[#This Row],[Notes]]&amp;CHAR(10))-1))</f>
        <v/>
      </c>
      <c r="F64" s="15" t="e">
        <f t="shared" ref="F64:F95" si="10">DATEVALUE(SUBSTITUTE(LEFT(E64,SEARCH(" ",E64)-1),".","/"))</f>
        <v>#VALUE!</v>
      </c>
      <c r="G64" s="20">
        <f t="shared" ref="G64:G95" ca="1" si="11">IF(ISERROR(F64),TODAY(),F64)</f>
        <v>44484</v>
      </c>
      <c r="H64" s="15"/>
      <c r="I64" s="15"/>
      <c r="J64" s="22"/>
      <c r="K64" s="15"/>
      <c r="L64" s="15"/>
      <c r="M64" s="15"/>
      <c r="N64" s="15"/>
      <c r="O64" s="15"/>
      <c r="P64" s="15"/>
      <c r="Q64" s="15"/>
      <c r="R64" s="15"/>
      <c r="S64" s="15"/>
      <c r="T64" s="15"/>
      <c r="U64" s="15"/>
      <c r="V64" s="15"/>
      <c r="W64" s="15"/>
      <c r="X64" s="15"/>
      <c r="Y64" s="15"/>
      <c r="Z64" s="15"/>
      <c r="AA64" s="15"/>
      <c r="AB64" s="15"/>
    </row>
    <row r="65" spans="2:28" x14ac:dyDescent="0.25">
      <c r="B65" s="15" t="e">
        <f t="shared" si="8"/>
        <v>#VALUE!</v>
      </c>
      <c r="C65" s="15" t="e">
        <f t="shared" si="9"/>
        <v>#VALUE!</v>
      </c>
      <c r="D65" s="15"/>
      <c r="E65" s="15" t="str">
        <f>IF(Table2[[#This Row],[Notes]]="","",LEFT(Table2[[#This Row],[Notes]],FIND(CHAR(10),Table2[[#This Row],[Notes]]&amp;CHAR(10))-1))</f>
        <v/>
      </c>
      <c r="F65" s="15" t="e">
        <f t="shared" si="10"/>
        <v>#VALUE!</v>
      </c>
      <c r="G65" s="20">
        <f t="shared" ca="1" si="11"/>
        <v>44484</v>
      </c>
      <c r="H65" s="15"/>
      <c r="I65" s="15"/>
      <c r="J65" s="22"/>
      <c r="K65" s="15"/>
      <c r="L65" s="15"/>
      <c r="M65" s="15"/>
      <c r="N65" s="15"/>
      <c r="O65" s="15"/>
      <c r="P65" s="15"/>
      <c r="Q65" s="15"/>
      <c r="R65" s="15"/>
      <c r="S65" s="15"/>
      <c r="T65" s="15"/>
      <c r="U65" s="15"/>
      <c r="V65" s="15"/>
      <c r="W65" s="15"/>
      <c r="X65" s="15"/>
      <c r="Y65" s="15"/>
      <c r="Z65" s="15"/>
      <c r="AA65" s="15"/>
      <c r="AB65" s="15"/>
    </row>
    <row r="66" spans="2:28" x14ac:dyDescent="0.25">
      <c r="B66" s="15" t="e">
        <f t="shared" si="8"/>
        <v>#VALUE!</v>
      </c>
      <c r="C66" s="15" t="e">
        <f t="shared" si="9"/>
        <v>#VALUE!</v>
      </c>
      <c r="D66" s="15"/>
      <c r="E66" s="15" t="str">
        <f>IF(Table2[[#This Row],[Notes]]="","",LEFT(Table2[[#This Row],[Notes]],FIND(CHAR(10),Table2[[#This Row],[Notes]]&amp;CHAR(10))-1))</f>
        <v/>
      </c>
      <c r="F66" s="15" t="e">
        <f t="shared" si="10"/>
        <v>#VALUE!</v>
      </c>
      <c r="G66" s="20">
        <f t="shared" ca="1" si="11"/>
        <v>44484</v>
      </c>
      <c r="H66" s="15"/>
      <c r="I66" s="15"/>
      <c r="J66" s="22"/>
      <c r="K66" s="15"/>
      <c r="L66" s="15"/>
      <c r="M66" s="15"/>
      <c r="N66" s="15"/>
      <c r="O66" s="15"/>
      <c r="P66" s="15"/>
      <c r="Q66" s="15"/>
      <c r="R66" s="15"/>
      <c r="S66" s="15"/>
      <c r="T66" s="15"/>
      <c r="U66" s="15"/>
      <c r="V66" s="15"/>
      <c r="W66" s="15"/>
      <c r="X66" s="15"/>
      <c r="Y66" s="15"/>
      <c r="Z66" s="15"/>
      <c r="AA66" s="15"/>
      <c r="AB66" s="15"/>
    </row>
    <row r="67" spans="2:28" x14ac:dyDescent="0.25">
      <c r="B67" s="15" t="e">
        <f t="shared" si="8"/>
        <v>#VALUE!</v>
      </c>
      <c r="C67" s="15" t="e">
        <f t="shared" si="9"/>
        <v>#VALUE!</v>
      </c>
      <c r="D67" s="15"/>
      <c r="E67" s="15" t="str">
        <f>IF(Table2[[#This Row],[Notes]]="","",LEFT(Table2[[#This Row],[Notes]],FIND(CHAR(10),Table2[[#This Row],[Notes]]&amp;CHAR(10))-1))</f>
        <v/>
      </c>
      <c r="F67" s="15" t="e">
        <f t="shared" si="10"/>
        <v>#VALUE!</v>
      </c>
      <c r="G67" s="20">
        <f t="shared" ca="1" si="11"/>
        <v>44484</v>
      </c>
      <c r="H67" s="15"/>
      <c r="I67" s="15"/>
      <c r="J67" s="22"/>
      <c r="K67" s="15"/>
      <c r="L67" s="15"/>
      <c r="M67" s="15"/>
      <c r="N67" s="15"/>
      <c r="O67" s="15"/>
      <c r="P67" s="15"/>
      <c r="Q67" s="15"/>
      <c r="R67" s="15"/>
      <c r="S67" s="15"/>
      <c r="T67" s="15"/>
      <c r="U67" s="15"/>
      <c r="V67" s="15"/>
      <c r="W67" s="15"/>
      <c r="X67" s="15"/>
      <c r="Y67" s="15"/>
      <c r="Z67" s="15"/>
      <c r="AA67" s="15"/>
      <c r="AB67" s="15"/>
    </row>
    <row r="68" spans="2:28" x14ac:dyDescent="0.25">
      <c r="B68" s="15" t="e">
        <f t="shared" si="8"/>
        <v>#VALUE!</v>
      </c>
      <c r="C68" s="15" t="e">
        <f t="shared" si="9"/>
        <v>#VALUE!</v>
      </c>
      <c r="D68" s="15"/>
      <c r="E68" s="15" t="str">
        <f>IF(Table2[[#This Row],[Notes]]="","",LEFT(Table2[[#This Row],[Notes]],FIND(CHAR(10),Table2[[#This Row],[Notes]]&amp;CHAR(10))-1))</f>
        <v/>
      </c>
      <c r="F68" s="15" t="e">
        <f t="shared" si="10"/>
        <v>#VALUE!</v>
      </c>
      <c r="G68" s="20">
        <f t="shared" ca="1" si="11"/>
        <v>44484</v>
      </c>
      <c r="H68" s="15"/>
      <c r="I68" s="15"/>
      <c r="J68" s="22"/>
      <c r="K68" s="15"/>
      <c r="L68" s="15"/>
      <c r="M68" s="15"/>
      <c r="N68" s="15"/>
      <c r="O68" s="15"/>
      <c r="P68" s="15"/>
      <c r="Q68" s="15"/>
      <c r="R68" s="15"/>
      <c r="S68" s="15"/>
      <c r="T68" s="15"/>
      <c r="U68" s="15"/>
      <c r="V68" s="15"/>
      <c r="W68" s="15"/>
      <c r="X68" s="15"/>
      <c r="Y68" s="15"/>
      <c r="Z68" s="15"/>
      <c r="AA68" s="15"/>
      <c r="AB68" s="15"/>
    </row>
    <row r="69" spans="2:28" x14ac:dyDescent="0.25">
      <c r="B69" s="15" t="e">
        <f t="shared" si="8"/>
        <v>#VALUE!</v>
      </c>
      <c r="C69" s="15" t="e">
        <f t="shared" si="9"/>
        <v>#VALUE!</v>
      </c>
      <c r="D69" s="15"/>
      <c r="E69" s="15" t="str">
        <f>IF(Table2[[#This Row],[Notes]]="","",LEFT(Table2[[#This Row],[Notes]],FIND(CHAR(10),Table2[[#This Row],[Notes]]&amp;CHAR(10))-1))</f>
        <v/>
      </c>
      <c r="F69" s="15" t="e">
        <f t="shared" si="10"/>
        <v>#VALUE!</v>
      </c>
      <c r="G69" s="20">
        <f t="shared" ca="1" si="11"/>
        <v>44484</v>
      </c>
      <c r="H69" s="15"/>
      <c r="I69" s="15"/>
      <c r="J69" s="22"/>
      <c r="K69" s="15"/>
      <c r="L69" s="15"/>
      <c r="M69" s="15"/>
      <c r="N69" s="15"/>
      <c r="O69" s="15"/>
      <c r="P69" s="15"/>
      <c r="Q69" s="15"/>
      <c r="R69" s="15"/>
      <c r="S69" s="15"/>
      <c r="T69" s="15"/>
      <c r="U69" s="15"/>
      <c r="V69" s="15"/>
      <c r="W69" s="15"/>
      <c r="X69" s="15"/>
      <c r="Y69" s="15"/>
      <c r="Z69" s="15"/>
      <c r="AA69" s="15"/>
      <c r="AB69" s="15"/>
    </row>
    <row r="70" spans="2:28" x14ac:dyDescent="0.25">
      <c r="B70" s="15" t="e">
        <f t="shared" si="8"/>
        <v>#VALUE!</v>
      </c>
      <c r="C70" s="15" t="e">
        <f t="shared" si="9"/>
        <v>#VALUE!</v>
      </c>
      <c r="D70" s="15"/>
      <c r="E70" s="15" t="str">
        <f>IF(Table2[[#This Row],[Notes]]="","",LEFT(Table2[[#This Row],[Notes]],FIND(CHAR(10),Table2[[#This Row],[Notes]]&amp;CHAR(10))-1))</f>
        <v/>
      </c>
      <c r="F70" s="15" t="e">
        <f t="shared" si="10"/>
        <v>#VALUE!</v>
      </c>
      <c r="G70" s="20">
        <f t="shared" ca="1" si="11"/>
        <v>44484</v>
      </c>
      <c r="H70" s="15"/>
      <c r="I70" s="15"/>
      <c r="J70" s="22"/>
      <c r="K70" s="15"/>
      <c r="L70" s="15"/>
      <c r="M70" s="15"/>
      <c r="N70" s="15"/>
      <c r="O70" s="15"/>
      <c r="P70" s="15"/>
      <c r="Q70" s="15"/>
      <c r="R70" s="15"/>
      <c r="S70" s="15"/>
      <c r="T70" s="15"/>
      <c r="U70" s="15"/>
      <c r="V70" s="15"/>
      <c r="W70" s="15"/>
      <c r="X70" s="15"/>
      <c r="Y70" s="15"/>
      <c r="Z70" s="15"/>
      <c r="AA70" s="15"/>
      <c r="AB70" s="15"/>
    </row>
    <row r="71" spans="2:28" x14ac:dyDescent="0.25">
      <c r="B71" s="15" t="e">
        <f t="shared" si="8"/>
        <v>#VALUE!</v>
      </c>
      <c r="C71" s="15" t="e">
        <f t="shared" si="9"/>
        <v>#VALUE!</v>
      </c>
      <c r="D71" s="15"/>
      <c r="E71" s="15" t="str">
        <f>IF(Table2[[#This Row],[Notes]]="","",LEFT(Table2[[#This Row],[Notes]],FIND(CHAR(10),Table2[[#This Row],[Notes]]&amp;CHAR(10))-1))</f>
        <v/>
      </c>
      <c r="F71" s="15" t="e">
        <f t="shared" si="10"/>
        <v>#VALUE!</v>
      </c>
      <c r="G71" s="20">
        <f t="shared" ca="1" si="11"/>
        <v>44484</v>
      </c>
      <c r="H71" s="15"/>
      <c r="I71" s="15"/>
      <c r="J71" s="22"/>
      <c r="K71" s="15"/>
      <c r="L71" s="15"/>
      <c r="M71" s="15"/>
      <c r="N71" s="15"/>
      <c r="O71" s="15"/>
      <c r="P71" s="15"/>
      <c r="Q71" s="15"/>
      <c r="R71" s="15"/>
      <c r="S71" s="15"/>
      <c r="T71" s="15"/>
      <c r="U71" s="15"/>
      <c r="V71" s="15"/>
      <c r="W71" s="15"/>
      <c r="X71" s="15"/>
      <c r="Y71" s="15"/>
      <c r="Z71" s="15"/>
      <c r="AA71" s="15"/>
      <c r="AB71" s="15"/>
    </row>
    <row r="72" spans="2:28" x14ac:dyDescent="0.25">
      <c r="B72" s="15" t="e">
        <f t="shared" si="8"/>
        <v>#VALUE!</v>
      </c>
      <c r="C72" s="15" t="e">
        <f t="shared" si="9"/>
        <v>#VALUE!</v>
      </c>
      <c r="D72" s="15"/>
      <c r="E72" s="15" t="str">
        <f>IF(Table2[[#This Row],[Notes]]="","",LEFT(Table2[[#This Row],[Notes]],FIND(CHAR(10),Table2[[#This Row],[Notes]]&amp;CHAR(10))-1))</f>
        <v/>
      </c>
      <c r="F72" s="15" t="e">
        <f t="shared" si="10"/>
        <v>#VALUE!</v>
      </c>
      <c r="G72" s="20">
        <f t="shared" ca="1" si="11"/>
        <v>44484</v>
      </c>
      <c r="H72" s="15"/>
      <c r="I72" s="15"/>
      <c r="J72" s="22"/>
      <c r="K72" s="15"/>
      <c r="L72" s="15"/>
      <c r="M72" s="15"/>
      <c r="N72" s="15"/>
      <c r="O72" s="15"/>
      <c r="P72" s="15"/>
      <c r="Q72" s="15"/>
      <c r="R72" s="15"/>
      <c r="S72" s="15"/>
      <c r="T72" s="15"/>
      <c r="U72" s="15"/>
      <c r="V72" s="15"/>
      <c r="W72" s="15"/>
      <c r="X72" s="15"/>
      <c r="Y72" s="15"/>
      <c r="Z72" s="15"/>
      <c r="AA72" s="15"/>
      <c r="AB72" s="15"/>
    </row>
    <row r="73" spans="2:28" x14ac:dyDescent="0.25">
      <c r="B73" s="15" t="e">
        <f t="shared" si="8"/>
        <v>#VALUE!</v>
      </c>
      <c r="C73" s="15" t="e">
        <f t="shared" si="9"/>
        <v>#VALUE!</v>
      </c>
      <c r="D73" s="15"/>
      <c r="E73" s="15" t="str">
        <f>IF(Table2[[#This Row],[Notes]]="","",LEFT(Table2[[#This Row],[Notes]],FIND(CHAR(10),Table2[[#This Row],[Notes]]&amp;CHAR(10))-1))</f>
        <v/>
      </c>
      <c r="F73" s="15" t="e">
        <f t="shared" si="10"/>
        <v>#VALUE!</v>
      </c>
      <c r="G73" s="20">
        <f t="shared" ca="1" si="11"/>
        <v>44484</v>
      </c>
      <c r="H73" s="15"/>
      <c r="I73" s="15"/>
      <c r="J73" s="22"/>
      <c r="K73" s="15"/>
      <c r="L73" s="15"/>
      <c r="M73" s="15"/>
      <c r="N73" s="15"/>
      <c r="O73" s="15"/>
      <c r="P73" s="15"/>
      <c r="Q73" s="15"/>
      <c r="R73" s="15"/>
      <c r="S73" s="15"/>
      <c r="T73" s="15"/>
      <c r="U73" s="15"/>
      <c r="V73" s="15"/>
      <c r="W73" s="15"/>
      <c r="X73" s="15"/>
      <c r="Y73" s="15"/>
      <c r="Z73" s="15"/>
      <c r="AA73" s="15"/>
      <c r="AB73" s="15"/>
    </row>
    <row r="74" spans="2:28" x14ac:dyDescent="0.25">
      <c r="B74" s="15" t="e">
        <f t="shared" si="8"/>
        <v>#VALUE!</v>
      </c>
      <c r="C74" s="15" t="e">
        <f t="shared" si="9"/>
        <v>#VALUE!</v>
      </c>
      <c r="D74" s="15"/>
      <c r="E74" s="15" t="str">
        <f>IF(Table2[[#This Row],[Notes]]="","",LEFT(Table2[[#This Row],[Notes]],FIND(CHAR(10),Table2[[#This Row],[Notes]]&amp;CHAR(10))-1))</f>
        <v/>
      </c>
      <c r="F74" s="15" t="e">
        <f t="shared" si="10"/>
        <v>#VALUE!</v>
      </c>
      <c r="G74" s="20">
        <f t="shared" ca="1" si="11"/>
        <v>44484</v>
      </c>
      <c r="H74" s="15"/>
      <c r="I74" s="15"/>
      <c r="J74" s="22"/>
      <c r="K74" s="15"/>
      <c r="L74" s="15"/>
      <c r="M74" s="15"/>
      <c r="N74" s="15"/>
      <c r="O74" s="15"/>
      <c r="P74" s="15"/>
      <c r="Q74" s="15"/>
      <c r="R74" s="15"/>
      <c r="S74" s="15"/>
      <c r="T74" s="15"/>
      <c r="U74" s="15"/>
      <c r="V74" s="15"/>
      <c r="W74" s="15"/>
      <c r="X74" s="15"/>
      <c r="Y74" s="15"/>
      <c r="Z74" s="15"/>
      <c r="AA74" s="15"/>
      <c r="AB74" s="15"/>
    </row>
    <row r="75" spans="2:28" x14ac:dyDescent="0.25">
      <c r="B75" s="15" t="e">
        <f t="shared" si="8"/>
        <v>#VALUE!</v>
      </c>
      <c r="C75" s="15" t="e">
        <f t="shared" si="9"/>
        <v>#VALUE!</v>
      </c>
      <c r="D75" s="15"/>
      <c r="E75" s="15" t="str">
        <f>IF(Table2[[#This Row],[Notes]]="","",LEFT(Table2[[#This Row],[Notes]],FIND(CHAR(10),Table2[[#This Row],[Notes]]&amp;CHAR(10))-1))</f>
        <v/>
      </c>
      <c r="F75" s="15" t="e">
        <f t="shared" si="10"/>
        <v>#VALUE!</v>
      </c>
      <c r="G75" s="20">
        <f t="shared" ca="1" si="11"/>
        <v>44484</v>
      </c>
      <c r="H75" s="15"/>
      <c r="I75" s="15"/>
      <c r="J75" s="22"/>
      <c r="K75" s="15"/>
      <c r="L75" s="15"/>
      <c r="M75" s="15"/>
      <c r="N75" s="15"/>
      <c r="O75" s="15"/>
      <c r="P75" s="15"/>
      <c r="Q75" s="15"/>
      <c r="R75" s="15"/>
      <c r="S75" s="15"/>
      <c r="T75" s="15"/>
      <c r="U75" s="15"/>
      <c r="V75" s="15"/>
      <c r="W75" s="15"/>
      <c r="X75" s="15"/>
      <c r="Y75" s="15"/>
      <c r="Z75" s="15"/>
      <c r="AA75" s="15"/>
      <c r="AB75" s="15"/>
    </row>
    <row r="76" spans="2:28" x14ac:dyDescent="0.25">
      <c r="B76" s="15" t="e">
        <f t="shared" si="8"/>
        <v>#VALUE!</v>
      </c>
      <c r="C76" s="15" t="e">
        <f t="shared" si="9"/>
        <v>#VALUE!</v>
      </c>
      <c r="D76" s="15"/>
      <c r="E76" s="15" t="str">
        <f>IF(Table2[[#This Row],[Notes]]="","",LEFT(Table2[[#This Row],[Notes]],FIND(CHAR(10),Table2[[#This Row],[Notes]]&amp;CHAR(10))-1))</f>
        <v/>
      </c>
      <c r="F76" s="15" t="e">
        <f t="shared" si="10"/>
        <v>#VALUE!</v>
      </c>
      <c r="G76" s="20">
        <f t="shared" ca="1" si="11"/>
        <v>44484</v>
      </c>
      <c r="H76" s="15"/>
      <c r="I76" s="15"/>
      <c r="J76" s="22"/>
      <c r="K76" s="15"/>
      <c r="L76" s="15"/>
      <c r="M76" s="15"/>
      <c r="N76" s="15"/>
      <c r="O76" s="15"/>
      <c r="P76" s="15"/>
      <c r="Q76" s="15"/>
      <c r="R76" s="15"/>
      <c r="S76" s="15"/>
      <c r="T76" s="15"/>
      <c r="U76" s="15"/>
      <c r="V76" s="15"/>
      <c r="W76" s="15"/>
      <c r="X76" s="15"/>
      <c r="Y76" s="15"/>
      <c r="Z76" s="15"/>
      <c r="AA76" s="15"/>
      <c r="AB76" s="15"/>
    </row>
    <row r="77" spans="2:28" x14ac:dyDescent="0.25">
      <c r="B77" s="15" t="e">
        <f t="shared" si="8"/>
        <v>#VALUE!</v>
      </c>
      <c r="C77" s="15" t="e">
        <f t="shared" si="9"/>
        <v>#VALUE!</v>
      </c>
      <c r="D77" s="15"/>
      <c r="E77" s="15" t="str">
        <f>IF(Table2[[#This Row],[Notes]]="","",LEFT(Table2[[#This Row],[Notes]],FIND(CHAR(10),Table2[[#This Row],[Notes]]&amp;CHAR(10))-1))</f>
        <v/>
      </c>
      <c r="F77" s="15" t="e">
        <f t="shared" si="10"/>
        <v>#VALUE!</v>
      </c>
      <c r="G77" s="20">
        <f t="shared" ca="1" si="11"/>
        <v>44484</v>
      </c>
      <c r="H77" s="15"/>
      <c r="I77" s="15"/>
      <c r="J77" s="22"/>
      <c r="K77" s="15"/>
      <c r="L77" s="15"/>
      <c r="M77" s="15"/>
      <c r="N77" s="15"/>
      <c r="O77" s="15"/>
      <c r="P77" s="15"/>
      <c r="Q77" s="15"/>
      <c r="R77" s="15"/>
      <c r="S77" s="15"/>
      <c r="T77" s="15"/>
      <c r="U77" s="15"/>
      <c r="V77" s="15"/>
      <c r="W77" s="15"/>
      <c r="X77" s="15"/>
      <c r="Y77" s="15"/>
      <c r="Z77" s="15"/>
      <c r="AA77" s="15"/>
      <c r="AB77" s="15"/>
    </row>
    <row r="78" spans="2:28" x14ac:dyDescent="0.25">
      <c r="B78" s="15" t="e">
        <f t="shared" si="8"/>
        <v>#VALUE!</v>
      </c>
      <c r="C78" s="15" t="e">
        <f t="shared" si="9"/>
        <v>#VALUE!</v>
      </c>
      <c r="D78" s="15"/>
      <c r="E78" s="15" t="str">
        <f>IF(Table2[[#This Row],[Notes]]="","",LEFT(Table2[[#This Row],[Notes]],FIND(CHAR(10),Table2[[#This Row],[Notes]]&amp;CHAR(10))-1))</f>
        <v/>
      </c>
      <c r="F78" s="15" t="e">
        <f t="shared" si="10"/>
        <v>#VALUE!</v>
      </c>
      <c r="G78" s="20">
        <f t="shared" ca="1" si="11"/>
        <v>44484</v>
      </c>
      <c r="H78" s="15"/>
      <c r="I78" s="15"/>
      <c r="J78" s="22"/>
      <c r="K78" s="15"/>
      <c r="L78" s="15"/>
      <c r="M78" s="15"/>
      <c r="N78" s="15"/>
      <c r="O78" s="15"/>
      <c r="P78" s="15"/>
      <c r="Q78" s="15"/>
      <c r="R78" s="15"/>
      <c r="S78" s="15"/>
      <c r="T78" s="15"/>
      <c r="U78" s="15"/>
      <c r="V78" s="15"/>
      <c r="W78" s="15"/>
      <c r="X78" s="15"/>
      <c r="Y78" s="15"/>
      <c r="Z78" s="15"/>
      <c r="AA78" s="15"/>
      <c r="AB78" s="15"/>
    </row>
    <row r="79" spans="2:28" x14ac:dyDescent="0.25">
      <c r="B79" s="15" t="e">
        <f t="shared" si="8"/>
        <v>#VALUE!</v>
      </c>
      <c r="C79" s="15" t="e">
        <f t="shared" si="9"/>
        <v>#VALUE!</v>
      </c>
      <c r="D79" s="15"/>
      <c r="E79" s="15" t="str">
        <f>IF(Table2[[#This Row],[Notes]]="","",LEFT(Table2[[#This Row],[Notes]],FIND(CHAR(10),Table2[[#This Row],[Notes]]&amp;CHAR(10))-1))</f>
        <v/>
      </c>
      <c r="F79" s="15" t="e">
        <f t="shared" si="10"/>
        <v>#VALUE!</v>
      </c>
      <c r="G79" s="20">
        <f t="shared" ca="1" si="11"/>
        <v>44484</v>
      </c>
      <c r="H79" s="15"/>
      <c r="I79" s="15"/>
      <c r="J79" s="22"/>
      <c r="K79" s="15"/>
      <c r="L79" s="15"/>
      <c r="M79" s="15"/>
      <c r="N79" s="15"/>
      <c r="O79" s="15"/>
      <c r="P79" s="15"/>
      <c r="Q79" s="15"/>
      <c r="R79" s="15"/>
      <c r="S79" s="15"/>
      <c r="T79" s="15"/>
      <c r="U79" s="15"/>
      <c r="V79" s="15"/>
      <c r="W79" s="15"/>
      <c r="X79" s="15"/>
      <c r="Y79" s="15"/>
      <c r="Z79" s="15"/>
      <c r="AA79" s="15"/>
      <c r="AB79" s="15"/>
    </row>
    <row r="80" spans="2:28" x14ac:dyDescent="0.25">
      <c r="B80" s="15" t="e">
        <f t="shared" si="8"/>
        <v>#VALUE!</v>
      </c>
      <c r="C80" s="15" t="e">
        <f t="shared" si="9"/>
        <v>#VALUE!</v>
      </c>
      <c r="D80" s="15"/>
      <c r="E80" s="15" t="str">
        <f>IF(Table2[[#This Row],[Notes]]="","",LEFT(Table2[[#This Row],[Notes]],FIND(CHAR(10),Table2[[#This Row],[Notes]]&amp;CHAR(10))-1))</f>
        <v/>
      </c>
      <c r="F80" s="15" t="e">
        <f t="shared" si="10"/>
        <v>#VALUE!</v>
      </c>
      <c r="G80" s="20">
        <f t="shared" ca="1" si="11"/>
        <v>44484</v>
      </c>
      <c r="H80" s="15"/>
      <c r="I80" s="15"/>
      <c r="J80" s="22"/>
      <c r="K80" s="15"/>
      <c r="L80" s="15"/>
      <c r="M80" s="15"/>
      <c r="N80" s="15"/>
      <c r="O80" s="15"/>
      <c r="P80" s="15"/>
      <c r="Q80" s="15"/>
      <c r="R80" s="15"/>
      <c r="S80" s="15"/>
      <c r="T80" s="15"/>
      <c r="U80" s="15"/>
      <c r="V80" s="15"/>
      <c r="W80" s="15"/>
      <c r="X80" s="15"/>
      <c r="Y80" s="15"/>
      <c r="Z80" s="15"/>
      <c r="AA80" s="15"/>
      <c r="AB80" s="15"/>
    </row>
    <row r="81" spans="2:28" x14ac:dyDescent="0.25">
      <c r="B81" s="15" t="e">
        <f t="shared" si="8"/>
        <v>#VALUE!</v>
      </c>
      <c r="C81" s="15" t="e">
        <f t="shared" si="9"/>
        <v>#VALUE!</v>
      </c>
      <c r="D81" s="15"/>
      <c r="E81" s="15" t="str">
        <f>IF(Table2[[#This Row],[Notes]]="","",LEFT(Table2[[#This Row],[Notes]],FIND(CHAR(10),Table2[[#This Row],[Notes]]&amp;CHAR(10))-1))</f>
        <v/>
      </c>
      <c r="F81" s="15" t="e">
        <f t="shared" si="10"/>
        <v>#VALUE!</v>
      </c>
      <c r="G81" s="20">
        <f t="shared" ca="1" si="11"/>
        <v>44484</v>
      </c>
      <c r="H81" s="15"/>
      <c r="I81" s="15"/>
      <c r="J81" s="22"/>
      <c r="K81" s="15"/>
      <c r="L81" s="15"/>
      <c r="M81" s="15"/>
      <c r="N81" s="15"/>
      <c r="O81" s="15"/>
      <c r="P81" s="15"/>
      <c r="Q81" s="15"/>
      <c r="R81" s="15"/>
      <c r="S81" s="15"/>
      <c r="T81" s="15"/>
      <c r="U81" s="15"/>
      <c r="V81" s="15"/>
      <c r="W81" s="15"/>
      <c r="X81" s="15"/>
      <c r="Y81" s="15"/>
      <c r="Z81" s="15"/>
      <c r="AA81" s="15"/>
      <c r="AB81" s="15"/>
    </row>
    <row r="82" spans="2:28" x14ac:dyDescent="0.25">
      <c r="B82" s="15" t="e">
        <f t="shared" si="8"/>
        <v>#VALUE!</v>
      </c>
      <c r="C82" s="15" t="e">
        <f t="shared" si="9"/>
        <v>#VALUE!</v>
      </c>
      <c r="D82" s="15"/>
      <c r="E82" s="15" t="str">
        <f>IF(Table2[[#This Row],[Notes]]="","",LEFT(Table2[[#This Row],[Notes]],FIND(CHAR(10),Table2[[#This Row],[Notes]]&amp;CHAR(10))-1))</f>
        <v/>
      </c>
      <c r="F82" s="15" t="e">
        <f t="shared" si="10"/>
        <v>#VALUE!</v>
      </c>
      <c r="G82" s="20">
        <f t="shared" ca="1" si="11"/>
        <v>44484</v>
      </c>
      <c r="H82" s="15"/>
      <c r="I82" s="15"/>
      <c r="J82" s="22"/>
      <c r="K82" s="15"/>
      <c r="L82" s="15"/>
      <c r="M82" s="15"/>
      <c r="N82" s="15"/>
      <c r="O82" s="15"/>
      <c r="P82" s="15"/>
      <c r="Q82" s="15"/>
      <c r="R82" s="15"/>
      <c r="S82" s="15"/>
      <c r="T82" s="15"/>
      <c r="U82" s="15"/>
      <c r="V82" s="15"/>
      <c r="W82" s="15"/>
      <c r="X82" s="15"/>
      <c r="Y82" s="15"/>
      <c r="Z82" s="15"/>
      <c r="AA82" s="15"/>
      <c r="AB82" s="15"/>
    </row>
    <row r="83" spans="2:28" x14ac:dyDescent="0.25">
      <c r="B83" s="15" t="e">
        <f t="shared" si="8"/>
        <v>#VALUE!</v>
      </c>
      <c r="C83" s="15" t="e">
        <f t="shared" si="9"/>
        <v>#VALUE!</v>
      </c>
      <c r="D83" s="15"/>
      <c r="E83" s="15" t="str">
        <f>IF(Table2[[#This Row],[Notes]]="","",LEFT(Table2[[#This Row],[Notes]],FIND(CHAR(10),Table2[[#This Row],[Notes]]&amp;CHAR(10))-1))</f>
        <v/>
      </c>
      <c r="F83" s="15" t="e">
        <f t="shared" si="10"/>
        <v>#VALUE!</v>
      </c>
      <c r="G83" s="20">
        <f t="shared" ca="1" si="11"/>
        <v>44484</v>
      </c>
      <c r="H83" s="15"/>
      <c r="I83" s="15"/>
      <c r="J83" s="22"/>
      <c r="K83" s="15"/>
      <c r="L83" s="15"/>
      <c r="M83" s="15"/>
      <c r="N83" s="15"/>
      <c r="O83" s="15"/>
      <c r="P83" s="15"/>
      <c r="Q83" s="15"/>
      <c r="R83" s="15"/>
      <c r="S83" s="15"/>
      <c r="T83" s="15"/>
      <c r="U83" s="15"/>
      <c r="V83" s="15"/>
      <c r="W83" s="15"/>
      <c r="X83" s="15"/>
      <c r="Y83" s="15"/>
      <c r="Z83" s="15"/>
      <c r="AA83" s="15"/>
      <c r="AB83" s="15"/>
    </row>
    <row r="84" spans="2:28" x14ac:dyDescent="0.25">
      <c r="B84" s="15" t="e">
        <f t="shared" si="8"/>
        <v>#VALUE!</v>
      </c>
      <c r="C84" s="15" t="e">
        <f t="shared" si="9"/>
        <v>#VALUE!</v>
      </c>
      <c r="D84" s="15"/>
      <c r="E84" s="15" t="str">
        <f>IF(Table2[[#This Row],[Notes]]="","",LEFT(Table2[[#This Row],[Notes]],FIND(CHAR(10),Table2[[#This Row],[Notes]]&amp;CHAR(10))-1))</f>
        <v/>
      </c>
      <c r="F84" s="15" t="e">
        <f t="shared" si="10"/>
        <v>#VALUE!</v>
      </c>
      <c r="G84" s="20">
        <f t="shared" ca="1" si="11"/>
        <v>44484</v>
      </c>
      <c r="H84" s="15"/>
      <c r="I84" s="15"/>
      <c r="J84" s="22"/>
      <c r="K84" s="15"/>
      <c r="L84" s="15"/>
      <c r="M84" s="15"/>
      <c r="N84" s="15"/>
      <c r="O84" s="15"/>
      <c r="P84" s="15"/>
      <c r="Q84" s="15"/>
      <c r="R84" s="15"/>
      <c r="S84" s="15"/>
      <c r="T84" s="15"/>
      <c r="U84" s="15"/>
      <c r="V84" s="15"/>
      <c r="W84" s="15"/>
      <c r="X84" s="15"/>
      <c r="Y84" s="15"/>
      <c r="Z84" s="15"/>
      <c r="AA84" s="15"/>
      <c r="AB84" s="15"/>
    </row>
    <row r="85" spans="2:28" x14ac:dyDescent="0.25">
      <c r="B85" s="15" t="e">
        <f t="shared" si="8"/>
        <v>#VALUE!</v>
      </c>
      <c r="C85" s="15" t="e">
        <f t="shared" si="9"/>
        <v>#VALUE!</v>
      </c>
      <c r="D85" s="15"/>
      <c r="E85" s="15" t="str">
        <f>IF(Table2[[#This Row],[Notes]]="","",LEFT(Table2[[#This Row],[Notes]],FIND(CHAR(10),Table2[[#This Row],[Notes]]&amp;CHAR(10))-1))</f>
        <v/>
      </c>
      <c r="F85" s="15" t="e">
        <f t="shared" si="10"/>
        <v>#VALUE!</v>
      </c>
      <c r="G85" s="20">
        <f t="shared" ca="1" si="11"/>
        <v>44484</v>
      </c>
      <c r="H85" s="15"/>
      <c r="I85" s="15"/>
      <c r="J85" s="22"/>
      <c r="K85" s="15"/>
      <c r="L85" s="15"/>
      <c r="M85" s="15"/>
      <c r="N85" s="15"/>
      <c r="O85" s="15"/>
      <c r="P85" s="15"/>
      <c r="Q85" s="15"/>
      <c r="R85" s="15"/>
      <c r="S85" s="15"/>
      <c r="T85" s="15"/>
      <c r="U85" s="15"/>
      <c r="V85" s="15"/>
      <c r="W85" s="15"/>
      <c r="X85" s="15"/>
      <c r="Y85" s="15"/>
      <c r="Z85" s="15"/>
      <c r="AA85" s="15"/>
      <c r="AB85" s="15"/>
    </row>
    <row r="86" spans="2:28" x14ac:dyDescent="0.25">
      <c r="B86" s="15" t="e">
        <f t="shared" si="8"/>
        <v>#VALUE!</v>
      </c>
      <c r="C86" s="15" t="e">
        <f t="shared" si="9"/>
        <v>#VALUE!</v>
      </c>
      <c r="D86" s="15"/>
      <c r="E86" s="15" t="str">
        <f>IF(Table2[[#This Row],[Notes]]="","",LEFT(Table2[[#This Row],[Notes]],FIND(CHAR(10),Table2[[#This Row],[Notes]]&amp;CHAR(10))-1))</f>
        <v/>
      </c>
      <c r="F86" s="15" t="e">
        <f t="shared" si="10"/>
        <v>#VALUE!</v>
      </c>
      <c r="G86" s="20">
        <f t="shared" ca="1" si="11"/>
        <v>44484</v>
      </c>
      <c r="H86" s="15"/>
      <c r="I86" s="15"/>
      <c r="J86" s="22"/>
      <c r="K86" s="15"/>
      <c r="L86" s="15"/>
      <c r="M86" s="15"/>
      <c r="N86" s="15"/>
      <c r="O86" s="15"/>
      <c r="P86" s="15"/>
      <c r="Q86" s="15"/>
      <c r="R86" s="15"/>
      <c r="S86" s="15"/>
      <c r="T86" s="15"/>
      <c r="U86" s="15"/>
      <c r="V86" s="15"/>
      <c r="W86" s="15"/>
      <c r="X86" s="15"/>
      <c r="Y86" s="15"/>
      <c r="Z86" s="15"/>
      <c r="AA86" s="15"/>
      <c r="AB86" s="15"/>
    </row>
    <row r="87" spans="2:28" x14ac:dyDescent="0.25">
      <c r="B87" s="15" t="e">
        <f t="shared" si="8"/>
        <v>#VALUE!</v>
      </c>
      <c r="C87" s="15" t="e">
        <f t="shared" si="9"/>
        <v>#VALUE!</v>
      </c>
      <c r="D87" s="15"/>
      <c r="E87" s="15" t="str">
        <f>IF(Table2[[#This Row],[Notes]]="","",LEFT(Table2[[#This Row],[Notes]],FIND(CHAR(10),Table2[[#This Row],[Notes]]&amp;CHAR(10))-1))</f>
        <v/>
      </c>
      <c r="F87" s="15" t="e">
        <f t="shared" si="10"/>
        <v>#VALUE!</v>
      </c>
      <c r="G87" s="20">
        <f t="shared" ca="1" si="11"/>
        <v>44484</v>
      </c>
      <c r="H87" s="15"/>
      <c r="I87" s="15"/>
      <c r="J87" s="22"/>
      <c r="K87" s="15"/>
      <c r="L87" s="15"/>
      <c r="M87" s="15"/>
      <c r="N87" s="15"/>
      <c r="O87" s="15"/>
      <c r="P87" s="15"/>
      <c r="Q87" s="15"/>
      <c r="R87" s="15"/>
      <c r="S87" s="15"/>
      <c r="T87" s="15"/>
      <c r="U87" s="15"/>
      <c r="V87" s="15"/>
      <c r="W87" s="15"/>
      <c r="X87" s="15"/>
      <c r="Y87" s="15"/>
      <c r="Z87" s="15"/>
      <c r="AA87" s="15"/>
      <c r="AB87" s="15"/>
    </row>
    <row r="88" spans="2:28" x14ac:dyDescent="0.25">
      <c r="B88" s="15" t="e">
        <f t="shared" si="8"/>
        <v>#VALUE!</v>
      </c>
      <c r="C88" s="15" t="e">
        <f t="shared" si="9"/>
        <v>#VALUE!</v>
      </c>
      <c r="D88" s="15"/>
      <c r="E88" s="15" t="str">
        <f>IF(Table2[[#This Row],[Notes]]="","",LEFT(Table2[[#This Row],[Notes]],FIND(CHAR(10),Table2[[#This Row],[Notes]]&amp;CHAR(10))-1))</f>
        <v/>
      </c>
      <c r="F88" s="15" t="e">
        <f t="shared" si="10"/>
        <v>#VALUE!</v>
      </c>
      <c r="G88" s="20">
        <f t="shared" ca="1" si="11"/>
        <v>44484</v>
      </c>
      <c r="H88" s="15"/>
      <c r="I88" s="15"/>
      <c r="J88" s="22"/>
      <c r="K88" s="15"/>
      <c r="L88" s="15"/>
      <c r="M88" s="15"/>
      <c r="N88" s="15"/>
      <c r="O88" s="15"/>
      <c r="P88" s="15"/>
      <c r="Q88" s="15"/>
      <c r="R88" s="15"/>
      <c r="S88" s="15"/>
      <c r="T88" s="15"/>
      <c r="U88" s="15"/>
      <c r="V88" s="15"/>
      <c r="W88" s="15"/>
      <c r="X88" s="15"/>
      <c r="Y88" s="15"/>
      <c r="Z88" s="15"/>
      <c r="AA88" s="15"/>
      <c r="AB88" s="15"/>
    </row>
    <row r="89" spans="2:28" x14ac:dyDescent="0.25">
      <c r="B89" s="15" t="e">
        <f t="shared" si="8"/>
        <v>#VALUE!</v>
      </c>
      <c r="C89" s="15" t="e">
        <f t="shared" si="9"/>
        <v>#VALUE!</v>
      </c>
      <c r="D89" s="15"/>
      <c r="E89" s="15" t="str">
        <f>IF(Table2[[#This Row],[Notes]]="","",LEFT(Table2[[#This Row],[Notes]],FIND(CHAR(10),Table2[[#This Row],[Notes]]&amp;CHAR(10))-1))</f>
        <v/>
      </c>
      <c r="F89" s="15" t="e">
        <f t="shared" si="10"/>
        <v>#VALUE!</v>
      </c>
      <c r="G89" s="20">
        <f t="shared" ca="1" si="11"/>
        <v>44484</v>
      </c>
      <c r="H89" s="15"/>
      <c r="I89" s="15"/>
      <c r="J89" s="22"/>
      <c r="K89" s="15"/>
      <c r="L89" s="15"/>
      <c r="M89" s="15"/>
      <c r="N89" s="15"/>
      <c r="O89" s="15"/>
      <c r="P89" s="15"/>
      <c r="Q89" s="15"/>
      <c r="R89" s="15"/>
      <c r="S89" s="15"/>
      <c r="T89" s="15"/>
      <c r="U89" s="15"/>
      <c r="V89" s="15"/>
      <c r="W89" s="15"/>
      <c r="X89" s="15"/>
      <c r="Y89" s="15"/>
      <c r="Z89" s="15"/>
      <c r="AA89" s="15"/>
      <c r="AB89" s="15"/>
    </row>
    <row r="90" spans="2:28" x14ac:dyDescent="0.25">
      <c r="B90" s="15" t="e">
        <f t="shared" si="8"/>
        <v>#VALUE!</v>
      </c>
      <c r="C90" s="15" t="e">
        <f t="shared" si="9"/>
        <v>#VALUE!</v>
      </c>
      <c r="D90" s="15"/>
      <c r="E90" s="15" t="str">
        <f>IF(Table2[[#This Row],[Notes]]="","",LEFT(Table2[[#This Row],[Notes]],FIND(CHAR(10),Table2[[#This Row],[Notes]]&amp;CHAR(10))-1))</f>
        <v/>
      </c>
      <c r="F90" s="15" t="e">
        <f t="shared" si="10"/>
        <v>#VALUE!</v>
      </c>
      <c r="G90" s="20">
        <f t="shared" ca="1" si="11"/>
        <v>44484</v>
      </c>
      <c r="H90" s="15"/>
      <c r="I90" s="15"/>
      <c r="J90" s="22"/>
      <c r="K90" s="15"/>
      <c r="L90" s="15"/>
      <c r="M90" s="15"/>
      <c r="N90" s="15"/>
      <c r="O90" s="15"/>
      <c r="P90" s="15"/>
      <c r="Q90" s="15"/>
      <c r="R90" s="15"/>
      <c r="S90" s="15"/>
      <c r="T90" s="15"/>
      <c r="U90" s="15"/>
      <c r="V90" s="15"/>
      <c r="W90" s="15"/>
      <c r="X90" s="15"/>
      <c r="Y90" s="15"/>
      <c r="Z90" s="15"/>
      <c r="AA90" s="15"/>
      <c r="AB90" s="15"/>
    </row>
    <row r="91" spans="2:28" x14ac:dyDescent="0.25">
      <c r="B91" s="15" t="e">
        <f t="shared" si="8"/>
        <v>#VALUE!</v>
      </c>
      <c r="C91" s="15" t="e">
        <f t="shared" si="9"/>
        <v>#VALUE!</v>
      </c>
      <c r="D91" s="15"/>
      <c r="E91" s="15" t="str">
        <f>IF(Table2[[#This Row],[Notes]]="","",LEFT(Table2[[#This Row],[Notes]],FIND(CHAR(10),Table2[[#This Row],[Notes]]&amp;CHAR(10))-1))</f>
        <v/>
      </c>
      <c r="F91" s="15" t="e">
        <f t="shared" si="10"/>
        <v>#VALUE!</v>
      </c>
      <c r="G91" s="20">
        <f t="shared" ca="1" si="11"/>
        <v>44484</v>
      </c>
      <c r="H91" s="15"/>
      <c r="I91" s="15"/>
      <c r="J91" s="22"/>
      <c r="K91" s="15"/>
      <c r="L91" s="15"/>
      <c r="M91" s="15"/>
      <c r="N91" s="15"/>
      <c r="O91" s="15"/>
      <c r="P91" s="15"/>
      <c r="Q91" s="15"/>
      <c r="R91" s="15"/>
      <c r="S91" s="15"/>
      <c r="T91" s="15"/>
      <c r="U91" s="15"/>
      <c r="V91" s="15"/>
      <c r="W91" s="15"/>
      <c r="X91" s="15"/>
      <c r="Y91" s="15"/>
      <c r="Z91" s="15"/>
      <c r="AA91" s="15"/>
      <c r="AB91" s="15"/>
    </row>
    <row r="92" spans="2:28" x14ac:dyDescent="0.25">
      <c r="B92" s="15" t="e">
        <f t="shared" si="8"/>
        <v>#VALUE!</v>
      </c>
      <c r="C92" s="15" t="e">
        <f t="shared" si="9"/>
        <v>#VALUE!</v>
      </c>
      <c r="D92" s="15"/>
      <c r="E92" s="15" t="str">
        <f>IF(Table2[[#This Row],[Notes]]="","",LEFT(Table2[[#This Row],[Notes]],FIND(CHAR(10),Table2[[#This Row],[Notes]]&amp;CHAR(10))-1))</f>
        <v/>
      </c>
      <c r="F92" s="15" t="e">
        <f t="shared" si="10"/>
        <v>#VALUE!</v>
      </c>
      <c r="G92" s="20">
        <f t="shared" ca="1" si="11"/>
        <v>44484</v>
      </c>
      <c r="H92" s="15"/>
      <c r="I92" s="15"/>
      <c r="J92" s="22"/>
      <c r="K92" s="15"/>
      <c r="L92" s="15"/>
      <c r="M92" s="15"/>
      <c r="N92" s="15"/>
      <c r="O92" s="15"/>
      <c r="P92" s="15"/>
      <c r="Q92" s="15"/>
      <c r="R92" s="15"/>
      <c r="S92" s="15"/>
      <c r="T92" s="15"/>
      <c r="U92" s="15"/>
      <c r="V92" s="15"/>
      <c r="W92" s="15"/>
      <c r="X92" s="15"/>
      <c r="Y92" s="15"/>
      <c r="Z92" s="15"/>
      <c r="AA92" s="15"/>
      <c r="AB92" s="15"/>
    </row>
    <row r="93" spans="2:28" x14ac:dyDescent="0.25">
      <c r="B93" s="15" t="e">
        <f t="shared" si="8"/>
        <v>#VALUE!</v>
      </c>
      <c r="C93" s="15" t="e">
        <f t="shared" si="9"/>
        <v>#VALUE!</v>
      </c>
      <c r="D93" s="15"/>
      <c r="E93" s="15" t="str">
        <f>IF(Table2[[#This Row],[Notes]]="","",LEFT(Table2[[#This Row],[Notes]],FIND(CHAR(10),Table2[[#This Row],[Notes]]&amp;CHAR(10))-1))</f>
        <v/>
      </c>
      <c r="F93" s="15" t="e">
        <f t="shared" si="10"/>
        <v>#VALUE!</v>
      </c>
      <c r="G93" s="20">
        <f t="shared" ca="1" si="11"/>
        <v>44484</v>
      </c>
      <c r="H93" s="15"/>
      <c r="I93" s="15"/>
      <c r="J93" s="22"/>
      <c r="K93" s="15"/>
      <c r="L93" s="15"/>
      <c r="M93" s="15"/>
      <c r="N93" s="15"/>
      <c r="O93" s="15"/>
      <c r="P93" s="15"/>
      <c r="Q93" s="15"/>
      <c r="R93" s="15"/>
      <c r="S93" s="15"/>
      <c r="T93" s="15"/>
      <c r="U93" s="15"/>
      <c r="V93" s="15"/>
      <c r="W93" s="15"/>
      <c r="X93" s="15"/>
      <c r="Y93" s="15"/>
      <c r="Z93" s="15"/>
      <c r="AA93" s="15"/>
      <c r="AB93" s="15"/>
    </row>
    <row r="94" spans="2:28" x14ac:dyDescent="0.25">
      <c r="B94" s="15" t="e">
        <f t="shared" si="8"/>
        <v>#VALUE!</v>
      </c>
      <c r="C94" s="15" t="e">
        <f t="shared" si="9"/>
        <v>#VALUE!</v>
      </c>
      <c r="D94" s="15"/>
      <c r="E94" s="15" t="str">
        <f>IF(Table2[[#This Row],[Notes]]="","",LEFT(Table2[[#This Row],[Notes]],FIND(CHAR(10),Table2[[#This Row],[Notes]]&amp;CHAR(10))-1))</f>
        <v/>
      </c>
      <c r="F94" s="15" t="e">
        <f t="shared" si="10"/>
        <v>#VALUE!</v>
      </c>
      <c r="G94" s="20">
        <f t="shared" ca="1" si="11"/>
        <v>44484</v>
      </c>
      <c r="H94" s="15"/>
      <c r="I94" s="15"/>
      <c r="J94" s="22"/>
      <c r="K94" s="15"/>
      <c r="L94" s="15"/>
      <c r="M94" s="15"/>
      <c r="N94" s="15"/>
      <c r="O94" s="15"/>
      <c r="P94" s="15"/>
      <c r="Q94" s="15"/>
      <c r="R94" s="15"/>
      <c r="S94" s="15"/>
      <c r="T94" s="15"/>
      <c r="U94" s="15"/>
      <c r="V94" s="15"/>
      <c r="W94" s="15"/>
      <c r="X94" s="15"/>
      <c r="Y94" s="15"/>
      <c r="Z94" s="15"/>
      <c r="AA94" s="15"/>
      <c r="AB94" s="15"/>
    </row>
    <row r="95" spans="2:28" x14ac:dyDescent="0.25">
      <c r="B95" s="15" t="e">
        <f t="shared" si="8"/>
        <v>#VALUE!</v>
      </c>
      <c r="C95" s="15" t="e">
        <f t="shared" si="9"/>
        <v>#VALUE!</v>
      </c>
      <c r="D95" s="15"/>
      <c r="E95" s="15" t="str">
        <f>IF(Table2[[#This Row],[Notes]]="","",LEFT(Table2[[#This Row],[Notes]],FIND(CHAR(10),Table2[[#This Row],[Notes]]&amp;CHAR(10))-1))</f>
        <v/>
      </c>
      <c r="F95" s="15" t="e">
        <f t="shared" si="10"/>
        <v>#VALUE!</v>
      </c>
      <c r="G95" s="20">
        <f t="shared" ca="1" si="11"/>
        <v>44484</v>
      </c>
      <c r="H95" s="15"/>
      <c r="I95" s="15"/>
      <c r="J95" s="22"/>
      <c r="K95" s="15"/>
      <c r="L95" s="15"/>
      <c r="M95" s="15"/>
      <c r="N95" s="15"/>
      <c r="O95" s="15"/>
      <c r="P95" s="15"/>
      <c r="Q95" s="15"/>
      <c r="R95" s="15"/>
      <c r="S95" s="15"/>
      <c r="T95" s="15"/>
      <c r="U95" s="15"/>
      <c r="V95" s="15"/>
      <c r="W95" s="15"/>
      <c r="X95" s="15"/>
      <c r="Y95" s="15"/>
      <c r="Z95" s="15"/>
      <c r="AA95" s="15"/>
      <c r="AB95" s="15"/>
    </row>
    <row r="96" spans="2:28" x14ac:dyDescent="0.25">
      <c r="B96" s="15" t="e">
        <f t="shared" ref="B96:B127" si="12" xml:space="preserve"> MID(A96,SEARCH(":",A96)+2,SEARCH(":",A96,SEARCH(":",A96)+1)-SEARCH(":",A96)-3)</f>
        <v>#VALUE!</v>
      </c>
      <c r="C96" s="15" t="e">
        <f t="shared" ref="C96:C127" si="13">"part:"&amp;MID(A96,SEARCH(":",A96)+1,SEARCH(":",A96,SEARCH(":",A96)+1)-SEARCH(":",A96)-1)</f>
        <v>#VALUE!</v>
      </c>
      <c r="D96" s="15"/>
      <c r="E96" s="15" t="str">
        <f>IF(Table2[[#This Row],[Notes]]="","",LEFT(Table2[[#This Row],[Notes]],FIND(CHAR(10),Table2[[#This Row],[Notes]]&amp;CHAR(10))-1))</f>
        <v/>
      </c>
      <c r="F96" s="15" t="e">
        <f t="shared" ref="F96:F127" si="14">DATEVALUE(SUBSTITUTE(LEFT(E96,SEARCH(" ",E96)-1),".","/"))</f>
        <v>#VALUE!</v>
      </c>
      <c r="G96" s="20">
        <f t="shared" ref="G96:G127" ca="1" si="15">IF(ISERROR(F96),TODAY(),F96)</f>
        <v>44484</v>
      </c>
      <c r="H96" s="15"/>
      <c r="I96" s="15"/>
      <c r="J96" s="22"/>
      <c r="K96" s="15"/>
      <c r="L96" s="15"/>
      <c r="M96" s="15"/>
      <c r="N96" s="15"/>
      <c r="O96" s="15"/>
      <c r="P96" s="15"/>
      <c r="Q96" s="15"/>
      <c r="R96" s="15"/>
      <c r="S96" s="15"/>
      <c r="T96" s="15"/>
      <c r="U96" s="15"/>
      <c r="V96" s="15"/>
      <c r="W96" s="15"/>
      <c r="X96" s="15"/>
      <c r="Y96" s="15"/>
      <c r="Z96" s="15"/>
      <c r="AA96" s="15"/>
      <c r="AB96" s="15"/>
    </row>
    <row r="97" spans="2:28" x14ac:dyDescent="0.25">
      <c r="B97" s="15" t="e">
        <f t="shared" si="12"/>
        <v>#VALUE!</v>
      </c>
      <c r="C97" s="15" t="e">
        <f t="shared" si="13"/>
        <v>#VALUE!</v>
      </c>
      <c r="D97" s="15"/>
      <c r="E97" s="15" t="str">
        <f>IF(Table2[[#This Row],[Notes]]="","",LEFT(Table2[[#This Row],[Notes]],FIND(CHAR(10),Table2[[#This Row],[Notes]]&amp;CHAR(10))-1))</f>
        <v/>
      </c>
      <c r="F97" s="15" t="e">
        <f t="shared" si="14"/>
        <v>#VALUE!</v>
      </c>
      <c r="G97" s="20">
        <f t="shared" ca="1" si="15"/>
        <v>44484</v>
      </c>
      <c r="H97" s="15"/>
      <c r="I97" s="15"/>
      <c r="J97" s="22"/>
      <c r="K97" s="15"/>
      <c r="L97" s="15"/>
      <c r="M97" s="15"/>
      <c r="N97" s="15"/>
      <c r="O97" s="15"/>
      <c r="P97" s="15"/>
      <c r="Q97" s="15"/>
      <c r="R97" s="15"/>
      <c r="S97" s="15"/>
      <c r="T97" s="15"/>
      <c r="U97" s="15"/>
      <c r="V97" s="15"/>
      <c r="W97" s="15"/>
      <c r="X97" s="15"/>
      <c r="Y97" s="15"/>
      <c r="Z97" s="15"/>
      <c r="AA97" s="15"/>
      <c r="AB97" s="15"/>
    </row>
    <row r="98" spans="2:28" x14ac:dyDescent="0.25">
      <c r="B98" s="15" t="e">
        <f t="shared" si="12"/>
        <v>#VALUE!</v>
      </c>
      <c r="C98" s="15" t="e">
        <f t="shared" si="13"/>
        <v>#VALUE!</v>
      </c>
      <c r="D98" s="15"/>
      <c r="E98" s="15" t="str">
        <f>IF(Table2[[#This Row],[Notes]]="","",LEFT(Table2[[#This Row],[Notes]],FIND(CHAR(10),Table2[[#This Row],[Notes]]&amp;CHAR(10))-1))</f>
        <v/>
      </c>
      <c r="F98" s="15" t="e">
        <f t="shared" si="14"/>
        <v>#VALUE!</v>
      </c>
      <c r="G98" s="20">
        <f t="shared" ca="1" si="15"/>
        <v>44484</v>
      </c>
      <c r="H98" s="15"/>
      <c r="I98" s="15"/>
      <c r="J98" s="22"/>
      <c r="K98" s="15"/>
      <c r="L98" s="15"/>
      <c r="M98" s="15"/>
      <c r="N98" s="15"/>
      <c r="O98" s="15"/>
      <c r="P98" s="15"/>
      <c r="Q98" s="15"/>
      <c r="R98" s="15"/>
      <c r="S98" s="15"/>
      <c r="T98" s="15"/>
      <c r="U98" s="15"/>
      <c r="V98" s="15"/>
      <c r="W98" s="15"/>
      <c r="X98" s="15"/>
      <c r="Y98" s="15"/>
      <c r="Z98" s="15"/>
      <c r="AA98" s="15"/>
      <c r="AB98" s="15"/>
    </row>
    <row r="99" spans="2:28" x14ac:dyDescent="0.25">
      <c r="B99" s="15" t="e">
        <f t="shared" si="12"/>
        <v>#VALUE!</v>
      </c>
      <c r="C99" s="15" t="e">
        <f t="shared" si="13"/>
        <v>#VALUE!</v>
      </c>
      <c r="D99" s="15"/>
      <c r="E99" s="15" t="str">
        <f>IF(Table2[[#This Row],[Notes]]="","",LEFT(Table2[[#This Row],[Notes]],FIND(CHAR(10),Table2[[#This Row],[Notes]]&amp;CHAR(10))-1))</f>
        <v/>
      </c>
      <c r="F99" s="15" t="e">
        <f t="shared" si="14"/>
        <v>#VALUE!</v>
      </c>
      <c r="G99" s="20">
        <f t="shared" ca="1" si="15"/>
        <v>44484</v>
      </c>
      <c r="H99" s="15"/>
      <c r="I99" s="15"/>
      <c r="J99" s="22"/>
      <c r="K99" s="15"/>
      <c r="L99" s="15"/>
      <c r="M99" s="15"/>
      <c r="N99" s="15"/>
      <c r="O99" s="15"/>
      <c r="P99" s="15"/>
      <c r="Q99" s="15"/>
      <c r="R99" s="15"/>
      <c r="S99" s="15"/>
      <c r="T99" s="15"/>
      <c r="U99" s="15"/>
      <c r="V99" s="15"/>
      <c r="W99" s="15"/>
      <c r="X99" s="15"/>
      <c r="Y99" s="15"/>
      <c r="Z99" s="15"/>
      <c r="AA99" s="15"/>
      <c r="AB99" s="15"/>
    </row>
    <row r="100" spans="2:28" x14ac:dyDescent="0.25">
      <c r="B100" s="15" t="e">
        <f t="shared" si="12"/>
        <v>#VALUE!</v>
      </c>
      <c r="C100" s="15" t="e">
        <f t="shared" si="13"/>
        <v>#VALUE!</v>
      </c>
      <c r="D100" s="15"/>
      <c r="E100" s="15" t="str">
        <f>IF(Table2[[#This Row],[Notes]]="","",LEFT(Table2[[#This Row],[Notes]],FIND(CHAR(10),Table2[[#This Row],[Notes]]&amp;CHAR(10))-1))</f>
        <v/>
      </c>
      <c r="F100" s="15" t="e">
        <f t="shared" si="14"/>
        <v>#VALUE!</v>
      </c>
      <c r="G100" s="20">
        <f t="shared" ca="1" si="15"/>
        <v>44484</v>
      </c>
      <c r="H100" s="15"/>
      <c r="I100" s="15"/>
      <c r="J100" s="22"/>
      <c r="K100" s="15"/>
      <c r="L100" s="15"/>
      <c r="M100" s="15"/>
      <c r="N100" s="15"/>
      <c r="O100" s="15"/>
      <c r="P100" s="15"/>
      <c r="Q100" s="15"/>
      <c r="R100" s="15"/>
      <c r="S100" s="15"/>
      <c r="T100" s="15"/>
      <c r="U100" s="15"/>
      <c r="V100" s="15"/>
      <c r="W100" s="15"/>
      <c r="X100" s="15"/>
      <c r="Y100" s="15"/>
      <c r="Z100" s="15"/>
      <c r="AA100" s="15"/>
      <c r="AB100" s="15"/>
    </row>
    <row r="101" spans="2:28" x14ac:dyDescent="0.25">
      <c r="B101" s="15" t="e">
        <f t="shared" si="12"/>
        <v>#VALUE!</v>
      </c>
      <c r="C101" s="15" t="e">
        <f t="shared" si="13"/>
        <v>#VALUE!</v>
      </c>
      <c r="D101" s="15"/>
      <c r="E101" s="15" t="str">
        <f>IF(Table2[[#This Row],[Notes]]="","",LEFT(Table2[[#This Row],[Notes]],FIND(CHAR(10),Table2[[#This Row],[Notes]]&amp;CHAR(10))-1))</f>
        <v/>
      </c>
      <c r="F101" s="15" t="e">
        <f t="shared" si="14"/>
        <v>#VALUE!</v>
      </c>
      <c r="G101" s="20">
        <f t="shared" ca="1" si="15"/>
        <v>44484</v>
      </c>
      <c r="H101" s="15"/>
      <c r="I101" s="15"/>
      <c r="J101" s="22"/>
      <c r="K101" s="15"/>
      <c r="L101" s="15"/>
      <c r="M101" s="15"/>
      <c r="N101" s="15"/>
      <c r="O101" s="15"/>
      <c r="P101" s="15"/>
      <c r="Q101" s="15"/>
      <c r="R101" s="15"/>
      <c r="S101" s="15"/>
      <c r="T101" s="15"/>
      <c r="U101" s="15"/>
      <c r="V101" s="15"/>
      <c r="W101" s="15"/>
      <c r="X101" s="15"/>
      <c r="Y101" s="15"/>
      <c r="Z101" s="15"/>
      <c r="AA101" s="15"/>
      <c r="AB101" s="15"/>
    </row>
    <row r="102" spans="2:28" x14ac:dyDescent="0.25">
      <c r="B102" s="15" t="e">
        <f t="shared" si="12"/>
        <v>#VALUE!</v>
      </c>
      <c r="C102" s="15" t="e">
        <f t="shared" si="13"/>
        <v>#VALUE!</v>
      </c>
      <c r="D102" s="15"/>
      <c r="E102" s="15" t="str">
        <f>IF(Table2[[#This Row],[Notes]]="","",LEFT(Table2[[#This Row],[Notes]],FIND(CHAR(10),Table2[[#This Row],[Notes]]&amp;CHAR(10))-1))</f>
        <v/>
      </c>
      <c r="F102" s="15" t="e">
        <f t="shared" si="14"/>
        <v>#VALUE!</v>
      </c>
      <c r="G102" s="20">
        <f t="shared" ca="1" si="15"/>
        <v>44484</v>
      </c>
      <c r="H102" s="15"/>
      <c r="I102" s="15"/>
      <c r="J102" s="22"/>
      <c r="K102" s="15"/>
      <c r="L102" s="15"/>
      <c r="M102" s="15"/>
      <c r="N102" s="15"/>
      <c r="O102" s="15"/>
      <c r="P102" s="15"/>
      <c r="Q102" s="15"/>
      <c r="R102" s="15"/>
      <c r="S102" s="15"/>
      <c r="T102" s="15"/>
      <c r="U102" s="15"/>
      <c r="V102" s="15"/>
      <c r="W102" s="15"/>
      <c r="X102" s="15"/>
      <c r="Y102" s="15"/>
      <c r="Z102" s="15"/>
      <c r="AA102" s="15"/>
      <c r="AB102" s="15"/>
    </row>
    <row r="103" spans="2:28" x14ac:dyDescent="0.25">
      <c r="B103" s="15" t="e">
        <f t="shared" si="12"/>
        <v>#VALUE!</v>
      </c>
      <c r="C103" s="15" t="e">
        <f t="shared" si="13"/>
        <v>#VALUE!</v>
      </c>
      <c r="D103" s="15"/>
      <c r="E103" s="15" t="str">
        <f>IF(Table2[[#This Row],[Notes]]="","",LEFT(Table2[[#This Row],[Notes]],FIND(CHAR(10),Table2[[#This Row],[Notes]]&amp;CHAR(10))-1))</f>
        <v/>
      </c>
      <c r="F103" s="15" t="e">
        <f t="shared" si="14"/>
        <v>#VALUE!</v>
      </c>
      <c r="G103" s="20">
        <f t="shared" ca="1" si="15"/>
        <v>44484</v>
      </c>
      <c r="H103" s="15"/>
      <c r="I103" s="15"/>
      <c r="J103" s="22"/>
      <c r="K103" s="15"/>
      <c r="L103" s="15"/>
      <c r="M103" s="15"/>
      <c r="N103" s="15"/>
      <c r="O103" s="15"/>
      <c r="P103" s="15"/>
      <c r="Q103" s="15"/>
      <c r="R103" s="15"/>
      <c r="S103" s="15"/>
      <c r="T103" s="15"/>
      <c r="U103" s="15"/>
      <c r="V103" s="15"/>
      <c r="W103" s="15"/>
      <c r="X103" s="15"/>
      <c r="Y103" s="15"/>
      <c r="Z103" s="15"/>
      <c r="AA103" s="15"/>
      <c r="AB103" s="15"/>
    </row>
    <row r="104" spans="2:28" x14ac:dyDescent="0.25">
      <c r="B104" s="15" t="e">
        <f t="shared" si="12"/>
        <v>#VALUE!</v>
      </c>
      <c r="C104" s="15" t="e">
        <f t="shared" si="13"/>
        <v>#VALUE!</v>
      </c>
      <c r="D104" s="15"/>
      <c r="E104" s="15" t="str">
        <f>IF(Table2[[#This Row],[Notes]]="","",LEFT(Table2[[#This Row],[Notes]],FIND(CHAR(10),Table2[[#This Row],[Notes]]&amp;CHAR(10))-1))</f>
        <v/>
      </c>
      <c r="F104" s="15" t="e">
        <f t="shared" si="14"/>
        <v>#VALUE!</v>
      </c>
      <c r="G104" s="20">
        <f t="shared" ca="1" si="15"/>
        <v>44484</v>
      </c>
      <c r="H104" s="15"/>
      <c r="I104" s="15"/>
      <c r="J104" s="22"/>
      <c r="K104" s="15"/>
      <c r="L104" s="15"/>
      <c r="M104" s="15"/>
      <c r="N104" s="15"/>
      <c r="O104" s="15"/>
      <c r="P104" s="15"/>
      <c r="Q104" s="15"/>
      <c r="R104" s="15"/>
      <c r="S104" s="15"/>
      <c r="T104" s="15"/>
      <c r="U104" s="15"/>
      <c r="V104" s="15"/>
      <c r="W104" s="15"/>
      <c r="X104" s="15"/>
      <c r="Y104" s="15"/>
      <c r="Z104" s="15"/>
      <c r="AA104" s="15"/>
      <c r="AB104" s="15"/>
    </row>
    <row r="105" spans="2:28" x14ac:dyDescent="0.25">
      <c r="B105" s="15" t="e">
        <f t="shared" si="12"/>
        <v>#VALUE!</v>
      </c>
      <c r="C105" s="15" t="e">
        <f t="shared" si="13"/>
        <v>#VALUE!</v>
      </c>
      <c r="D105" s="15"/>
      <c r="E105" s="15" t="str">
        <f>IF(Table2[[#This Row],[Notes]]="","",LEFT(Table2[[#This Row],[Notes]],FIND(CHAR(10),Table2[[#This Row],[Notes]]&amp;CHAR(10))-1))</f>
        <v/>
      </c>
      <c r="F105" s="15" t="e">
        <f t="shared" si="14"/>
        <v>#VALUE!</v>
      </c>
      <c r="G105" s="20">
        <f t="shared" ca="1" si="15"/>
        <v>44484</v>
      </c>
      <c r="H105" s="15"/>
      <c r="I105" s="15"/>
      <c r="J105" s="22"/>
      <c r="K105" s="15"/>
      <c r="L105" s="15"/>
      <c r="M105" s="15"/>
      <c r="N105" s="15"/>
      <c r="O105" s="15"/>
      <c r="P105" s="15"/>
      <c r="Q105" s="15"/>
      <c r="R105" s="15"/>
      <c r="S105" s="15"/>
      <c r="T105" s="15"/>
      <c r="U105" s="15"/>
      <c r="V105" s="15"/>
      <c r="W105" s="15"/>
      <c r="X105" s="15"/>
      <c r="Y105" s="15"/>
      <c r="Z105" s="15"/>
      <c r="AA105" s="15"/>
      <c r="AB105" s="15"/>
    </row>
    <row r="106" spans="2:28" x14ac:dyDescent="0.25">
      <c r="B106" s="15" t="e">
        <f t="shared" si="12"/>
        <v>#VALUE!</v>
      </c>
      <c r="C106" s="15" t="e">
        <f t="shared" si="13"/>
        <v>#VALUE!</v>
      </c>
      <c r="D106" s="15"/>
      <c r="E106" s="15" t="str">
        <f>IF(Table2[[#This Row],[Notes]]="","",LEFT(Table2[[#This Row],[Notes]],FIND(CHAR(10),Table2[[#This Row],[Notes]]&amp;CHAR(10))-1))</f>
        <v/>
      </c>
      <c r="F106" s="15" t="e">
        <f t="shared" si="14"/>
        <v>#VALUE!</v>
      </c>
      <c r="G106" s="20">
        <f t="shared" ca="1" si="15"/>
        <v>44484</v>
      </c>
      <c r="H106" s="15"/>
      <c r="I106" s="15"/>
      <c r="J106" s="22"/>
      <c r="K106" s="15"/>
      <c r="L106" s="15"/>
      <c r="M106" s="15"/>
      <c r="N106" s="15"/>
      <c r="O106" s="15"/>
      <c r="P106" s="15"/>
      <c r="Q106" s="15"/>
      <c r="R106" s="15"/>
      <c r="S106" s="15"/>
      <c r="T106" s="15"/>
      <c r="U106" s="15"/>
      <c r="V106" s="15"/>
      <c r="W106" s="15"/>
      <c r="X106" s="15"/>
      <c r="Y106" s="15"/>
      <c r="Z106" s="15"/>
      <c r="AA106" s="15"/>
      <c r="AB106" s="15"/>
    </row>
    <row r="107" spans="2:28" x14ac:dyDescent="0.25">
      <c r="B107" s="15" t="e">
        <f t="shared" si="12"/>
        <v>#VALUE!</v>
      </c>
      <c r="C107" s="15" t="e">
        <f t="shared" si="13"/>
        <v>#VALUE!</v>
      </c>
      <c r="D107" s="15"/>
      <c r="E107" s="15" t="str">
        <f>IF(Table2[[#This Row],[Notes]]="","",LEFT(Table2[[#This Row],[Notes]],FIND(CHAR(10),Table2[[#This Row],[Notes]]&amp;CHAR(10))-1))</f>
        <v/>
      </c>
      <c r="F107" s="15" t="e">
        <f t="shared" si="14"/>
        <v>#VALUE!</v>
      </c>
      <c r="G107" s="20">
        <f t="shared" ca="1" si="15"/>
        <v>44484</v>
      </c>
      <c r="H107" s="15"/>
      <c r="I107" s="15"/>
      <c r="J107" s="22"/>
      <c r="K107" s="15"/>
      <c r="L107" s="15"/>
      <c r="M107" s="15"/>
      <c r="N107" s="15"/>
      <c r="O107" s="15"/>
      <c r="P107" s="15"/>
      <c r="Q107" s="15"/>
      <c r="R107" s="15"/>
      <c r="S107" s="15"/>
      <c r="T107" s="15"/>
      <c r="U107" s="15"/>
      <c r="V107" s="15"/>
      <c r="W107" s="15"/>
      <c r="X107" s="15"/>
      <c r="Y107" s="15"/>
      <c r="Z107" s="15"/>
      <c r="AA107" s="15"/>
      <c r="AB107" s="15"/>
    </row>
    <row r="108" spans="2:28" x14ac:dyDescent="0.25">
      <c r="B108" s="15" t="e">
        <f t="shared" si="12"/>
        <v>#VALUE!</v>
      </c>
      <c r="C108" s="15" t="e">
        <f t="shared" si="13"/>
        <v>#VALUE!</v>
      </c>
      <c r="D108" s="15"/>
      <c r="E108" s="15" t="str">
        <f>IF(Table2[[#This Row],[Notes]]="","",LEFT(Table2[[#This Row],[Notes]],FIND(CHAR(10),Table2[[#This Row],[Notes]]&amp;CHAR(10))-1))</f>
        <v/>
      </c>
      <c r="F108" s="15" t="e">
        <f t="shared" si="14"/>
        <v>#VALUE!</v>
      </c>
      <c r="G108" s="20">
        <f t="shared" ca="1" si="15"/>
        <v>44484</v>
      </c>
      <c r="H108" s="15"/>
      <c r="I108" s="15"/>
      <c r="J108" s="22"/>
      <c r="K108" s="15"/>
      <c r="L108" s="15"/>
      <c r="M108" s="15"/>
      <c r="N108" s="15"/>
      <c r="O108" s="15"/>
      <c r="P108" s="15"/>
      <c r="Q108" s="15"/>
      <c r="R108" s="15"/>
      <c r="S108" s="15"/>
      <c r="T108" s="15"/>
      <c r="U108" s="15"/>
      <c r="V108" s="15"/>
      <c r="W108" s="15"/>
      <c r="X108" s="15"/>
      <c r="Y108" s="15"/>
      <c r="Z108" s="15"/>
      <c r="AA108" s="15"/>
      <c r="AB108" s="15"/>
    </row>
    <row r="109" spans="2:28" x14ac:dyDescent="0.25">
      <c r="B109" s="15" t="e">
        <f t="shared" si="12"/>
        <v>#VALUE!</v>
      </c>
      <c r="C109" s="15" t="e">
        <f t="shared" si="13"/>
        <v>#VALUE!</v>
      </c>
      <c r="D109" s="15"/>
      <c r="E109" s="15" t="str">
        <f>IF(Table2[[#This Row],[Notes]]="","",LEFT(Table2[[#This Row],[Notes]],FIND(CHAR(10),Table2[[#This Row],[Notes]]&amp;CHAR(10))-1))</f>
        <v/>
      </c>
      <c r="F109" s="15" t="e">
        <f t="shared" si="14"/>
        <v>#VALUE!</v>
      </c>
      <c r="G109" s="20">
        <f t="shared" ca="1" si="15"/>
        <v>44484</v>
      </c>
      <c r="H109" s="15"/>
      <c r="I109" s="15"/>
      <c r="J109" s="22"/>
      <c r="K109" s="15"/>
      <c r="L109" s="15"/>
      <c r="M109" s="15"/>
      <c r="N109" s="15"/>
      <c r="O109" s="15"/>
      <c r="P109" s="15"/>
      <c r="Q109" s="15"/>
      <c r="R109" s="15"/>
      <c r="S109" s="15"/>
      <c r="T109" s="15"/>
      <c r="U109" s="15"/>
      <c r="V109" s="15"/>
      <c r="W109" s="15"/>
      <c r="X109" s="15"/>
      <c r="Y109" s="15"/>
      <c r="Z109" s="15"/>
      <c r="AA109" s="15"/>
      <c r="AB109" s="15"/>
    </row>
    <row r="110" spans="2:28" x14ac:dyDescent="0.25">
      <c r="B110" s="15" t="e">
        <f t="shared" si="12"/>
        <v>#VALUE!</v>
      </c>
      <c r="C110" s="15" t="e">
        <f t="shared" si="13"/>
        <v>#VALUE!</v>
      </c>
      <c r="D110" s="15"/>
      <c r="E110" s="15" t="str">
        <f>IF(Table2[[#This Row],[Notes]]="","",LEFT(Table2[[#This Row],[Notes]],FIND(CHAR(10),Table2[[#This Row],[Notes]]&amp;CHAR(10))-1))</f>
        <v/>
      </c>
      <c r="F110" s="15" t="e">
        <f t="shared" si="14"/>
        <v>#VALUE!</v>
      </c>
      <c r="G110" s="20">
        <f t="shared" ca="1" si="15"/>
        <v>44484</v>
      </c>
      <c r="H110" s="15"/>
      <c r="I110" s="15"/>
      <c r="J110" s="22"/>
      <c r="K110" s="15"/>
      <c r="L110" s="15"/>
      <c r="M110" s="15"/>
      <c r="N110" s="15"/>
      <c r="O110" s="15"/>
      <c r="P110" s="15"/>
      <c r="Q110" s="15"/>
      <c r="R110" s="15"/>
      <c r="S110" s="15"/>
      <c r="T110" s="15"/>
      <c r="U110" s="15"/>
      <c r="V110" s="15"/>
      <c r="W110" s="15"/>
      <c r="X110" s="15"/>
      <c r="Y110" s="15"/>
      <c r="Z110" s="15"/>
      <c r="AA110" s="15"/>
      <c r="AB110" s="15"/>
    </row>
    <row r="111" spans="2:28" x14ac:dyDescent="0.25">
      <c r="B111" s="15" t="e">
        <f t="shared" si="12"/>
        <v>#VALUE!</v>
      </c>
      <c r="C111" s="15" t="e">
        <f t="shared" si="13"/>
        <v>#VALUE!</v>
      </c>
      <c r="D111" s="15"/>
      <c r="E111" s="15" t="str">
        <f>IF(Table2[[#This Row],[Notes]]="","",LEFT(Table2[[#This Row],[Notes]],FIND(CHAR(10),Table2[[#This Row],[Notes]]&amp;CHAR(10))-1))</f>
        <v/>
      </c>
      <c r="F111" s="15" t="e">
        <f t="shared" si="14"/>
        <v>#VALUE!</v>
      </c>
      <c r="G111" s="20">
        <f t="shared" ca="1" si="15"/>
        <v>44484</v>
      </c>
      <c r="H111" s="15"/>
      <c r="I111" s="15"/>
      <c r="J111" s="22"/>
      <c r="K111" s="15"/>
      <c r="L111" s="15"/>
      <c r="M111" s="15"/>
      <c r="N111" s="15"/>
      <c r="O111" s="15"/>
      <c r="P111" s="15"/>
      <c r="Q111" s="15"/>
      <c r="R111" s="15"/>
      <c r="S111" s="15"/>
      <c r="T111" s="15"/>
      <c r="U111" s="15"/>
      <c r="V111" s="15"/>
      <c r="W111" s="15"/>
      <c r="X111" s="15"/>
      <c r="Y111" s="15"/>
      <c r="Z111" s="15"/>
      <c r="AA111" s="15"/>
      <c r="AB111" s="15"/>
    </row>
    <row r="112" spans="2:28" x14ac:dyDescent="0.25">
      <c r="B112" s="15" t="e">
        <f t="shared" si="12"/>
        <v>#VALUE!</v>
      </c>
      <c r="C112" s="15" t="e">
        <f t="shared" si="13"/>
        <v>#VALUE!</v>
      </c>
      <c r="D112" s="15"/>
      <c r="E112" s="15" t="str">
        <f>IF(Table2[[#This Row],[Notes]]="","",LEFT(Table2[[#This Row],[Notes]],FIND(CHAR(10),Table2[[#This Row],[Notes]]&amp;CHAR(10))-1))</f>
        <v/>
      </c>
      <c r="F112" s="15" t="e">
        <f t="shared" si="14"/>
        <v>#VALUE!</v>
      </c>
      <c r="G112" s="20">
        <f t="shared" ca="1" si="15"/>
        <v>44484</v>
      </c>
      <c r="H112" s="15"/>
      <c r="I112" s="15"/>
      <c r="J112" s="22"/>
      <c r="K112" s="15"/>
      <c r="L112" s="15"/>
      <c r="M112" s="15"/>
      <c r="N112" s="15"/>
      <c r="O112" s="15"/>
      <c r="P112" s="15"/>
      <c r="Q112" s="15"/>
      <c r="R112" s="15"/>
      <c r="S112" s="15"/>
      <c r="T112" s="15"/>
      <c r="U112" s="15"/>
      <c r="V112" s="15"/>
      <c r="W112" s="15"/>
      <c r="X112" s="15"/>
      <c r="Y112" s="15"/>
      <c r="Z112" s="15"/>
      <c r="AA112" s="15"/>
      <c r="AB112" s="15"/>
    </row>
    <row r="113" spans="2:28" x14ac:dyDescent="0.25">
      <c r="B113" s="15" t="e">
        <f t="shared" si="12"/>
        <v>#VALUE!</v>
      </c>
      <c r="C113" s="15" t="e">
        <f t="shared" si="13"/>
        <v>#VALUE!</v>
      </c>
      <c r="D113" s="15"/>
      <c r="E113" s="15" t="str">
        <f>IF(Table2[[#This Row],[Notes]]="","",LEFT(Table2[[#This Row],[Notes]],FIND(CHAR(10),Table2[[#This Row],[Notes]]&amp;CHAR(10))-1))</f>
        <v/>
      </c>
      <c r="F113" s="15" t="e">
        <f t="shared" si="14"/>
        <v>#VALUE!</v>
      </c>
      <c r="G113" s="20">
        <f t="shared" ca="1" si="15"/>
        <v>44484</v>
      </c>
      <c r="H113" s="15"/>
      <c r="I113" s="15"/>
      <c r="J113" s="22"/>
      <c r="K113" s="15"/>
      <c r="L113" s="15"/>
      <c r="M113" s="15"/>
      <c r="N113" s="15"/>
      <c r="O113" s="15"/>
      <c r="P113" s="15"/>
      <c r="Q113" s="15"/>
      <c r="R113" s="15"/>
      <c r="S113" s="15"/>
      <c r="T113" s="15"/>
      <c r="U113" s="15"/>
      <c r="V113" s="15"/>
      <c r="W113" s="15"/>
      <c r="X113" s="15"/>
      <c r="Y113" s="15"/>
      <c r="Z113" s="15"/>
      <c r="AA113" s="15"/>
      <c r="AB113" s="15"/>
    </row>
    <row r="114" spans="2:28" x14ac:dyDescent="0.25">
      <c r="B114" s="15" t="e">
        <f t="shared" si="12"/>
        <v>#VALUE!</v>
      </c>
      <c r="C114" s="15" t="e">
        <f t="shared" si="13"/>
        <v>#VALUE!</v>
      </c>
      <c r="D114" s="15"/>
      <c r="E114" s="15" t="str">
        <f>IF(Table2[[#This Row],[Notes]]="","",LEFT(Table2[[#This Row],[Notes]],FIND(CHAR(10),Table2[[#This Row],[Notes]]&amp;CHAR(10))-1))</f>
        <v/>
      </c>
      <c r="F114" s="15" t="e">
        <f t="shared" si="14"/>
        <v>#VALUE!</v>
      </c>
      <c r="G114" s="20">
        <f t="shared" ca="1" si="15"/>
        <v>44484</v>
      </c>
      <c r="H114" s="15"/>
      <c r="I114" s="15"/>
      <c r="J114" s="22"/>
      <c r="K114" s="15"/>
      <c r="L114" s="15"/>
      <c r="M114" s="15"/>
      <c r="N114" s="15"/>
      <c r="O114" s="15"/>
      <c r="P114" s="15"/>
      <c r="Q114" s="15"/>
      <c r="R114" s="15"/>
      <c r="S114" s="15"/>
      <c r="T114" s="15"/>
      <c r="U114" s="15"/>
      <c r="V114" s="15"/>
      <c r="W114" s="15"/>
      <c r="X114" s="15"/>
      <c r="Y114" s="15"/>
      <c r="Z114" s="15"/>
      <c r="AA114" s="15"/>
      <c r="AB114" s="15"/>
    </row>
    <row r="115" spans="2:28" x14ac:dyDescent="0.25">
      <c r="B115" s="15" t="e">
        <f t="shared" si="12"/>
        <v>#VALUE!</v>
      </c>
      <c r="C115" s="15" t="e">
        <f t="shared" si="13"/>
        <v>#VALUE!</v>
      </c>
      <c r="D115" s="15"/>
      <c r="E115" s="15" t="str">
        <f>IF(Table2[[#This Row],[Notes]]="","",LEFT(Table2[[#This Row],[Notes]],FIND(CHAR(10),Table2[[#This Row],[Notes]]&amp;CHAR(10))-1))</f>
        <v/>
      </c>
      <c r="F115" s="15" t="e">
        <f t="shared" si="14"/>
        <v>#VALUE!</v>
      </c>
      <c r="G115" s="20">
        <f t="shared" ca="1" si="15"/>
        <v>44484</v>
      </c>
      <c r="H115" s="15"/>
      <c r="I115" s="15"/>
      <c r="J115" s="22"/>
      <c r="K115" s="15"/>
      <c r="L115" s="15"/>
      <c r="M115" s="15"/>
      <c r="N115" s="15"/>
      <c r="O115" s="15"/>
      <c r="P115" s="15"/>
      <c r="Q115" s="15"/>
      <c r="R115" s="15"/>
      <c r="S115" s="15"/>
      <c r="T115" s="15"/>
      <c r="U115" s="15"/>
      <c r="V115" s="15"/>
      <c r="W115" s="15"/>
      <c r="X115" s="15"/>
      <c r="Y115" s="15"/>
      <c r="Z115" s="15"/>
      <c r="AA115" s="15"/>
      <c r="AB115" s="15"/>
    </row>
    <row r="116" spans="2:28" x14ac:dyDescent="0.25">
      <c r="B116" s="15" t="e">
        <f t="shared" si="12"/>
        <v>#VALUE!</v>
      </c>
      <c r="C116" s="15" t="e">
        <f t="shared" si="13"/>
        <v>#VALUE!</v>
      </c>
      <c r="D116" s="15"/>
      <c r="E116" s="15" t="str">
        <f>IF(Table2[[#This Row],[Notes]]="","",LEFT(Table2[[#This Row],[Notes]],FIND(CHAR(10),Table2[[#This Row],[Notes]]&amp;CHAR(10))-1))</f>
        <v/>
      </c>
      <c r="F116" s="15" t="e">
        <f t="shared" si="14"/>
        <v>#VALUE!</v>
      </c>
      <c r="G116" s="20">
        <f t="shared" ca="1" si="15"/>
        <v>44484</v>
      </c>
      <c r="H116" s="15"/>
      <c r="I116" s="15"/>
      <c r="J116" s="22"/>
      <c r="K116" s="15"/>
      <c r="L116" s="15"/>
      <c r="M116" s="15"/>
      <c r="N116" s="15"/>
      <c r="O116" s="15"/>
      <c r="P116" s="15"/>
      <c r="Q116" s="15"/>
      <c r="R116" s="15"/>
      <c r="S116" s="15"/>
      <c r="T116" s="15"/>
      <c r="U116" s="15"/>
      <c r="V116" s="15"/>
      <c r="W116" s="15"/>
      <c r="X116" s="15"/>
      <c r="Y116" s="15"/>
      <c r="Z116" s="15"/>
      <c r="AA116" s="15"/>
      <c r="AB116" s="15"/>
    </row>
    <row r="117" spans="2:28" x14ac:dyDescent="0.25">
      <c r="B117" s="15" t="e">
        <f t="shared" si="12"/>
        <v>#VALUE!</v>
      </c>
      <c r="C117" s="15" t="e">
        <f t="shared" si="13"/>
        <v>#VALUE!</v>
      </c>
      <c r="D117" s="15"/>
      <c r="E117" s="15" t="str">
        <f>IF(Table2[[#This Row],[Notes]]="","",LEFT(Table2[[#This Row],[Notes]],FIND(CHAR(10),Table2[[#This Row],[Notes]]&amp;CHAR(10))-1))</f>
        <v/>
      </c>
      <c r="F117" s="15" t="e">
        <f t="shared" si="14"/>
        <v>#VALUE!</v>
      </c>
      <c r="G117" s="20">
        <f t="shared" ca="1" si="15"/>
        <v>44484</v>
      </c>
      <c r="H117" s="15"/>
      <c r="I117" s="15"/>
      <c r="J117" s="22"/>
      <c r="K117" s="15"/>
      <c r="L117" s="15"/>
      <c r="M117" s="15"/>
      <c r="N117" s="15"/>
      <c r="O117" s="15"/>
      <c r="P117" s="15"/>
      <c r="Q117" s="15"/>
      <c r="R117" s="15"/>
      <c r="S117" s="15"/>
      <c r="T117" s="15"/>
      <c r="U117" s="15"/>
      <c r="V117" s="15"/>
      <c r="W117" s="15"/>
      <c r="X117" s="15"/>
      <c r="Y117" s="15"/>
      <c r="Z117" s="15"/>
      <c r="AA117" s="15"/>
      <c r="AB117" s="15"/>
    </row>
    <row r="118" spans="2:28" x14ac:dyDescent="0.25">
      <c r="B118" s="15" t="e">
        <f t="shared" si="12"/>
        <v>#VALUE!</v>
      </c>
      <c r="C118" s="15" t="e">
        <f t="shared" si="13"/>
        <v>#VALUE!</v>
      </c>
      <c r="D118" s="15"/>
      <c r="E118" s="15" t="str">
        <f>IF(Table2[[#This Row],[Notes]]="","",LEFT(Table2[[#This Row],[Notes]],FIND(CHAR(10),Table2[[#This Row],[Notes]]&amp;CHAR(10))-1))</f>
        <v/>
      </c>
      <c r="F118" s="15" t="e">
        <f t="shared" si="14"/>
        <v>#VALUE!</v>
      </c>
      <c r="G118" s="20">
        <f t="shared" ca="1" si="15"/>
        <v>44484</v>
      </c>
      <c r="H118" s="15"/>
      <c r="I118" s="15"/>
      <c r="J118" s="22"/>
      <c r="K118" s="15"/>
      <c r="L118" s="15"/>
      <c r="M118" s="15"/>
      <c r="N118" s="15"/>
      <c r="O118" s="15"/>
      <c r="P118" s="15"/>
      <c r="Q118" s="15"/>
      <c r="R118" s="15"/>
      <c r="S118" s="15"/>
      <c r="T118" s="15"/>
      <c r="U118" s="15"/>
      <c r="V118" s="15"/>
      <c r="W118" s="15"/>
      <c r="X118" s="15"/>
      <c r="Y118" s="15"/>
      <c r="Z118" s="15"/>
      <c r="AA118" s="15"/>
      <c r="AB118" s="15"/>
    </row>
    <row r="119" spans="2:28" x14ac:dyDescent="0.25">
      <c r="B119" s="15" t="e">
        <f t="shared" si="12"/>
        <v>#VALUE!</v>
      </c>
      <c r="C119" s="15" t="e">
        <f t="shared" si="13"/>
        <v>#VALUE!</v>
      </c>
      <c r="D119" s="15"/>
      <c r="E119" s="15" t="str">
        <f>IF(Table2[[#This Row],[Notes]]="","",LEFT(Table2[[#This Row],[Notes]],FIND(CHAR(10),Table2[[#This Row],[Notes]]&amp;CHAR(10))-1))</f>
        <v/>
      </c>
      <c r="F119" s="15" t="e">
        <f t="shared" si="14"/>
        <v>#VALUE!</v>
      </c>
      <c r="G119" s="20">
        <f t="shared" ca="1" si="15"/>
        <v>44484</v>
      </c>
      <c r="H119" s="15"/>
      <c r="I119" s="15"/>
      <c r="J119" s="22"/>
      <c r="K119" s="15"/>
      <c r="L119" s="15"/>
      <c r="M119" s="15"/>
      <c r="N119" s="15"/>
      <c r="O119" s="15"/>
      <c r="P119" s="15"/>
      <c r="Q119" s="15"/>
      <c r="R119" s="15"/>
      <c r="S119" s="15"/>
      <c r="T119" s="15"/>
      <c r="U119" s="15"/>
      <c r="V119" s="15"/>
      <c r="W119" s="15"/>
      <c r="X119" s="15"/>
      <c r="Y119" s="15"/>
      <c r="Z119" s="15"/>
      <c r="AA119" s="15"/>
      <c r="AB119" s="15"/>
    </row>
    <row r="120" spans="2:28" x14ac:dyDescent="0.25">
      <c r="B120" s="15" t="e">
        <f t="shared" si="12"/>
        <v>#VALUE!</v>
      </c>
      <c r="C120" s="15" t="e">
        <f t="shared" si="13"/>
        <v>#VALUE!</v>
      </c>
      <c r="D120" s="15"/>
      <c r="E120" s="15" t="str">
        <f>IF(Table2[[#This Row],[Notes]]="","",LEFT(Table2[[#This Row],[Notes]],FIND(CHAR(10),Table2[[#This Row],[Notes]]&amp;CHAR(10))-1))</f>
        <v/>
      </c>
      <c r="F120" s="15" t="e">
        <f t="shared" si="14"/>
        <v>#VALUE!</v>
      </c>
      <c r="G120" s="20">
        <f t="shared" ca="1" si="15"/>
        <v>44484</v>
      </c>
      <c r="H120" s="15"/>
      <c r="I120" s="15"/>
      <c r="J120" s="22"/>
      <c r="K120" s="15"/>
      <c r="L120" s="15"/>
      <c r="M120" s="15"/>
      <c r="N120" s="15"/>
      <c r="O120" s="15"/>
      <c r="P120" s="15"/>
      <c r="Q120" s="15"/>
      <c r="R120" s="15"/>
      <c r="S120" s="15"/>
      <c r="T120" s="15"/>
      <c r="U120" s="15"/>
      <c r="V120" s="15"/>
      <c r="W120" s="15"/>
      <c r="X120" s="15"/>
      <c r="Y120" s="15"/>
      <c r="Z120" s="15"/>
      <c r="AA120" s="15"/>
      <c r="AB120" s="15"/>
    </row>
    <row r="121" spans="2:28" x14ac:dyDescent="0.25">
      <c r="B121" s="15" t="e">
        <f t="shared" si="12"/>
        <v>#VALUE!</v>
      </c>
      <c r="C121" s="15" t="e">
        <f t="shared" si="13"/>
        <v>#VALUE!</v>
      </c>
      <c r="D121" s="15"/>
      <c r="E121" s="15" t="str">
        <f>IF(Table2[[#This Row],[Notes]]="","",LEFT(Table2[[#This Row],[Notes]],FIND(CHAR(10),Table2[[#This Row],[Notes]]&amp;CHAR(10))-1))</f>
        <v/>
      </c>
      <c r="F121" s="15" t="e">
        <f t="shared" si="14"/>
        <v>#VALUE!</v>
      </c>
      <c r="G121" s="20">
        <f t="shared" ca="1" si="15"/>
        <v>44484</v>
      </c>
      <c r="H121" s="15"/>
      <c r="I121" s="15"/>
      <c r="J121" s="22"/>
      <c r="K121" s="15"/>
      <c r="L121" s="15"/>
      <c r="M121" s="15"/>
      <c r="N121" s="15"/>
      <c r="O121" s="15"/>
      <c r="P121" s="15"/>
      <c r="Q121" s="15"/>
      <c r="R121" s="15"/>
      <c r="S121" s="15"/>
      <c r="T121" s="15"/>
      <c r="U121" s="15"/>
      <c r="V121" s="15"/>
      <c r="W121" s="15"/>
      <c r="X121" s="15"/>
      <c r="Y121" s="15"/>
      <c r="Z121" s="15"/>
      <c r="AA121" s="15"/>
      <c r="AB121" s="15"/>
    </row>
    <row r="122" spans="2:28" x14ac:dyDescent="0.25">
      <c r="B122" s="15" t="e">
        <f t="shared" si="12"/>
        <v>#VALUE!</v>
      </c>
      <c r="C122" s="15" t="e">
        <f t="shared" si="13"/>
        <v>#VALUE!</v>
      </c>
      <c r="D122" s="15"/>
      <c r="E122" s="15" t="str">
        <f>IF(Table2[[#This Row],[Notes]]="","",LEFT(Table2[[#This Row],[Notes]],FIND(CHAR(10),Table2[[#This Row],[Notes]]&amp;CHAR(10))-1))</f>
        <v/>
      </c>
      <c r="F122" s="15" t="e">
        <f t="shared" si="14"/>
        <v>#VALUE!</v>
      </c>
      <c r="G122" s="20">
        <f t="shared" ca="1" si="15"/>
        <v>44484</v>
      </c>
      <c r="H122" s="15"/>
      <c r="I122" s="15"/>
      <c r="J122" s="22"/>
      <c r="K122" s="15"/>
      <c r="L122" s="15"/>
      <c r="M122" s="15"/>
      <c r="N122" s="15"/>
      <c r="O122" s="15"/>
      <c r="P122" s="15"/>
      <c r="Q122" s="15"/>
      <c r="R122" s="15"/>
      <c r="S122" s="15"/>
      <c r="T122" s="15"/>
      <c r="U122" s="15"/>
      <c r="V122" s="15"/>
      <c r="W122" s="15"/>
      <c r="X122" s="15"/>
      <c r="Y122" s="15"/>
      <c r="Z122" s="15"/>
      <c r="AA122" s="15"/>
      <c r="AB122" s="15"/>
    </row>
    <row r="123" spans="2:28" x14ac:dyDescent="0.25">
      <c r="B123" s="15" t="e">
        <f t="shared" si="12"/>
        <v>#VALUE!</v>
      </c>
      <c r="C123" s="15" t="e">
        <f t="shared" si="13"/>
        <v>#VALUE!</v>
      </c>
      <c r="D123" s="15"/>
      <c r="E123" s="15"/>
      <c r="F123" s="15" t="e">
        <f t="shared" si="14"/>
        <v>#VALUE!</v>
      </c>
      <c r="G123" s="20">
        <f t="shared" ca="1" si="15"/>
        <v>44484</v>
      </c>
      <c r="H123" s="15"/>
      <c r="I123" s="15"/>
      <c r="J123" s="22"/>
      <c r="K123" s="15"/>
      <c r="L123" s="15"/>
      <c r="M123" s="15"/>
      <c r="N123" s="15"/>
      <c r="O123" s="15"/>
      <c r="P123" s="15"/>
      <c r="Q123" s="15"/>
      <c r="R123" s="15"/>
      <c r="S123" s="15"/>
      <c r="T123" s="15"/>
      <c r="U123" s="15"/>
      <c r="V123" s="15"/>
      <c r="W123" s="15"/>
      <c r="X123" s="15"/>
      <c r="Y123" s="15"/>
      <c r="Z123" s="15"/>
      <c r="AA123" s="15"/>
      <c r="AB123" s="15"/>
    </row>
    <row r="124" spans="2:28" x14ac:dyDescent="0.25">
      <c r="B124" s="15" t="e">
        <f t="shared" si="12"/>
        <v>#VALUE!</v>
      </c>
      <c r="C124" s="15" t="e">
        <f t="shared" si="13"/>
        <v>#VALUE!</v>
      </c>
      <c r="D124" s="15"/>
      <c r="E124" s="15"/>
      <c r="F124" s="15" t="e">
        <f t="shared" si="14"/>
        <v>#VALUE!</v>
      </c>
      <c r="G124" s="20">
        <f t="shared" ca="1" si="15"/>
        <v>44484</v>
      </c>
      <c r="H124" s="15"/>
      <c r="I124" s="15"/>
      <c r="J124" s="22"/>
      <c r="K124" s="15"/>
      <c r="L124" s="15"/>
      <c r="M124" s="15"/>
      <c r="N124" s="15"/>
      <c r="O124" s="15"/>
      <c r="P124" s="15"/>
      <c r="Q124" s="15"/>
      <c r="R124" s="15"/>
      <c r="S124" s="15"/>
      <c r="T124" s="15"/>
      <c r="U124" s="15"/>
      <c r="V124" s="15"/>
      <c r="W124" s="15"/>
      <c r="X124" s="15"/>
      <c r="Y124" s="15"/>
      <c r="Z124" s="15"/>
      <c r="AA124" s="15"/>
      <c r="AB124" s="15"/>
    </row>
    <row r="125" spans="2:28" x14ac:dyDescent="0.25">
      <c r="B125" s="15" t="e">
        <f t="shared" si="12"/>
        <v>#VALUE!</v>
      </c>
      <c r="C125" s="15" t="e">
        <f t="shared" si="13"/>
        <v>#VALUE!</v>
      </c>
      <c r="D125" s="15"/>
      <c r="E125" s="15"/>
      <c r="F125" s="15" t="e">
        <f t="shared" si="14"/>
        <v>#VALUE!</v>
      </c>
      <c r="G125" s="20">
        <f t="shared" ca="1" si="15"/>
        <v>44484</v>
      </c>
      <c r="H125" s="15"/>
      <c r="I125" s="15"/>
      <c r="J125" s="22"/>
      <c r="K125" s="15"/>
      <c r="L125" s="15"/>
      <c r="M125" s="15"/>
      <c r="N125" s="15"/>
      <c r="O125" s="15"/>
      <c r="P125" s="15"/>
      <c r="Q125" s="15"/>
      <c r="R125" s="15"/>
      <c r="S125" s="15"/>
      <c r="T125" s="15"/>
      <c r="U125" s="15"/>
      <c r="V125" s="15"/>
      <c r="W125" s="15"/>
      <c r="X125" s="15"/>
      <c r="Y125" s="15"/>
      <c r="Z125" s="15"/>
      <c r="AA125" s="15"/>
      <c r="AB125" s="15"/>
    </row>
    <row r="126" spans="2:28" x14ac:dyDescent="0.25">
      <c r="B126" s="15" t="e">
        <f t="shared" si="12"/>
        <v>#VALUE!</v>
      </c>
      <c r="C126" s="15" t="e">
        <f t="shared" si="13"/>
        <v>#VALUE!</v>
      </c>
      <c r="D126" s="15"/>
      <c r="E126" s="15"/>
      <c r="F126" s="15" t="e">
        <f t="shared" si="14"/>
        <v>#VALUE!</v>
      </c>
      <c r="G126" s="20">
        <f t="shared" ca="1" si="15"/>
        <v>44484</v>
      </c>
      <c r="H126" s="15"/>
      <c r="I126" s="15"/>
      <c r="J126" s="22"/>
      <c r="K126" s="15"/>
      <c r="L126" s="15"/>
      <c r="M126" s="15"/>
      <c r="N126" s="15"/>
      <c r="O126" s="15"/>
      <c r="P126" s="15"/>
      <c r="Q126" s="15"/>
      <c r="R126" s="15"/>
      <c r="S126" s="15"/>
      <c r="T126" s="15"/>
      <c r="U126" s="15"/>
      <c r="V126" s="15"/>
      <c r="W126" s="15"/>
      <c r="X126" s="15"/>
      <c r="Y126" s="15"/>
      <c r="Z126" s="15"/>
      <c r="AA126" s="15"/>
      <c r="AB126" s="15"/>
    </row>
    <row r="127" spans="2:28" x14ac:dyDescent="0.25">
      <c r="B127" s="15" t="e">
        <f t="shared" si="12"/>
        <v>#VALUE!</v>
      </c>
      <c r="C127" s="15" t="e">
        <f t="shared" si="13"/>
        <v>#VALUE!</v>
      </c>
      <c r="D127" s="15"/>
      <c r="E127" s="15"/>
      <c r="F127" s="15" t="e">
        <f t="shared" si="14"/>
        <v>#VALUE!</v>
      </c>
      <c r="G127" s="20">
        <f t="shared" ca="1" si="15"/>
        <v>44484</v>
      </c>
      <c r="H127" s="15"/>
      <c r="I127" s="15"/>
      <c r="J127" s="22"/>
      <c r="K127" s="15"/>
      <c r="L127" s="15"/>
      <c r="M127" s="15"/>
      <c r="N127" s="15"/>
      <c r="O127" s="15"/>
      <c r="P127" s="15"/>
      <c r="Q127" s="15"/>
      <c r="R127" s="15"/>
      <c r="S127" s="15"/>
      <c r="T127" s="15"/>
      <c r="U127" s="15"/>
      <c r="V127" s="15"/>
      <c r="W127" s="15"/>
      <c r="X127" s="15"/>
      <c r="Y127" s="15"/>
      <c r="Z127" s="15"/>
      <c r="AA127" s="15"/>
      <c r="AB127" s="15"/>
    </row>
    <row r="128" spans="2:28" x14ac:dyDescent="0.25">
      <c r="B128" s="15" t="e">
        <f t="shared" ref="B128:B158" si="16" xml:space="preserve"> MID(A128,SEARCH(":",A128)+2,SEARCH(":",A128,SEARCH(":",A128)+1)-SEARCH(":",A128)-3)</f>
        <v>#VALUE!</v>
      </c>
      <c r="C128" s="15" t="e">
        <f t="shared" ref="C128:C158" si="17">"part:"&amp;MID(A128,SEARCH(":",A128)+1,SEARCH(":",A128,SEARCH(":",A128)+1)-SEARCH(":",A128)-1)</f>
        <v>#VALUE!</v>
      </c>
      <c r="D128" s="15"/>
      <c r="E128" s="15"/>
      <c r="F128" s="15" t="e">
        <f t="shared" ref="F128:F158" si="18">DATEVALUE(SUBSTITUTE(LEFT(E128,SEARCH(" ",E128)-1),".","/"))</f>
        <v>#VALUE!</v>
      </c>
      <c r="G128" s="20">
        <f t="shared" ref="G128:G156" ca="1" si="19">IF(ISERROR(F128),TODAY(),F128)</f>
        <v>44484</v>
      </c>
      <c r="H128" s="15"/>
      <c r="I128" s="15"/>
      <c r="J128" s="22"/>
      <c r="K128" s="15"/>
      <c r="L128" s="15"/>
      <c r="M128" s="15"/>
      <c r="N128" s="15"/>
      <c r="O128" s="15"/>
      <c r="P128" s="15"/>
      <c r="Q128" s="15"/>
      <c r="R128" s="15"/>
      <c r="S128" s="15"/>
      <c r="T128" s="15"/>
      <c r="U128" s="15"/>
      <c r="V128" s="15"/>
      <c r="W128" s="15"/>
      <c r="X128" s="15"/>
      <c r="Y128" s="15"/>
      <c r="Z128" s="15"/>
      <c r="AA128" s="15"/>
      <c r="AB128" s="15"/>
    </row>
    <row r="129" spans="2:28" x14ac:dyDescent="0.25">
      <c r="B129" s="15" t="e">
        <f t="shared" si="16"/>
        <v>#VALUE!</v>
      </c>
      <c r="C129" s="15" t="e">
        <f t="shared" si="17"/>
        <v>#VALUE!</v>
      </c>
      <c r="D129" s="15"/>
      <c r="E129" s="15"/>
      <c r="F129" s="15" t="e">
        <f t="shared" si="18"/>
        <v>#VALUE!</v>
      </c>
      <c r="G129" s="20">
        <f t="shared" ca="1" si="19"/>
        <v>44484</v>
      </c>
      <c r="H129" s="15"/>
      <c r="I129" s="15"/>
      <c r="J129" s="22"/>
      <c r="K129" s="15"/>
      <c r="L129" s="15"/>
      <c r="M129" s="15"/>
      <c r="N129" s="15"/>
      <c r="O129" s="15"/>
      <c r="P129" s="15"/>
      <c r="Q129" s="15"/>
      <c r="R129" s="15"/>
      <c r="S129" s="15"/>
      <c r="T129" s="15"/>
      <c r="U129" s="15"/>
      <c r="V129" s="15"/>
      <c r="W129" s="15"/>
      <c r="X129" s="15"/>
      <c r="Y129" s="15"/>
      <c r="Z129" s="15"/>
      <c r="AA129" s="15"/>
      <c r="AB129" s="15"/>
    </row>
    <row r="130" spans="2:28" x14ac:dyDescent="0.25">
      <c r="B130" s="15" t="e">
        <f t="shared" si="16"/>
        <v>#VALUE!</v>
      </c>
      <c r="C130" s="15" t="e">
        <f t="shared" si="17"/>
        <v>#VALUE!</v>
      </c>
      <c r="D130" s="15"/>
      <c r="E130" s="15"/>
      <c r="F130" s="15" t="e">
        <f t="shared" si="18"/>
        <v>#VALUE!</v>
      </c>
      <c r="G130" s="20">
        <f t="shared" ca="1" si="19"/>
        <v>44484</v>
      </c>
      <c r="H130" s="15"/>
      <c r="I130" s="15"/>
      <c r="J130" s="22"/>
      <c r="K130" s="15"/>
      <c r="L130" s="15"/>
      <c r="M130" s="15"/>
      <c r="N130" s="15"/>
      <c r="O130" s="15"/>
      <c r="P130" s="15"/>
      <c r="Q130" s="15"/>
      <c r="R130" s="15"/>
      <c r="S130" s="15"/>
      <c r="T130" s="15"/>
      <c r="U130" s="15"/>
      <c r="V130" s="15"/>
      <c r="W130" s="15"/>
      <c r="X130" s="15"/>
      <c r="Y130" s="15"/>
      <c r="Z130" s="15"/>
      <c r="AA130" s="15"/>
      <c r="AB130" s="15"/>
    </row>
    <row r="131" spans="2:28" x14ac:dyDescent="0.25">
      <c r="B131" s="15" t="e">
        <f t="shared" si="16"/>
        <v>#VALUE!</v>
      </c>
      <c r="C131" s="15" t="e">
        <f t="shared" si="17"/>
        <v>#VALUE!</v>
      </c>
      <c r="D131" s="15"/>
      <c r="E131" s="15"/>
      <c r="F131" s="15" t="e">
        <f t="shared" si="18"/>
        <v>#VALUE!</v>
      </c>
      <c r="G131" s="20">
        <f t="shared" ca="1" si="19"/>
        <v>44484</v>
      </c>
      <c r="H131" s="15"/>
      <c r="I131" s="15"/>
      <c r="J131" s="22"/>
      <c r="K131" s="15"/>
      <c r="L131" s="15"/>
      <c r="M131" s="15"/>
      <c r="N131" s="15"/>
      <c r="O131" s="15"/>
      <c r="P131" s="15"/>
      <c r="Q131" s="15"/>
      <c r="R131" s="15"/>
      <c r="S131" s="15"/>
      <c r="T131" s="15"/>
      <c r="U131" s="15"/>
      <c r="V131" s="15"/>
      <c r="W131" s="15"/>
      <c r="X131" s="15"/>
      <c r="Y131" s="15"/>
      <c r="Z131" s="15"/>
      <c r="AA131" s="15"/>
      <c r="AB131" s="15"/>
    </row>
    <row r="132" spans="2:28" x14ac:dyDescent="0.25">
      <c r="B132" s="15" t="e">
        <f t="shared" si="16"/>
        <v>#VALUE!</v>
      </c>
      <c r="C132" s="15" t="e">
        <f t="shared" si="17"/>
        <v>#VALUE!</v>
      </c>
      <c r="D132" s="15"/>
      <c r="E132" s="15"/>
      <c r="F132" s="15" t="e">
        <f t="shared" si="18"/>
        <v>#VALUE!</v>
      </c>
      <c r="G132" s="20">
        <f t="shared" ca="1" si="19"/>
        <v>44484</v>
      </c>
      <c r="H132" s="15"/>
      <c r="I132" s="15"/>
      <c r="J132" s="22"/>
      <c r="K132" s="15"/>
      <c r="L132" s="15"/>
      <c r="M132" s="15"/>
      <c r="N132" s="15"/>
      <c r="O132" s="15"/>
      <c r="P132" s="15"/>
      <c r="Q132" s="15"/>
      <c r="R132" s="15"/>
      <c r="S132" s="15"/>
      <c r="T132" s="15"/>
      <c r="U132" s="15"/>
      <c r="V132" s="15"/>
      <c r="W132" s="15"/>
      <c r="X132" s="15"/>
      <c r="Y132" s="15"/>
      <c r="Z132" s="15"/>
      <c r="AA132" s="15"/>
      <c r="AB132" s="15"/>
    </row>
    <row r="133" spans="2:28" x14ac:dyDescent="0.25">
      <c r="B133" s="15" t="e">
        <f t="shared" si="16"/>
        <v>#VALUE!</v>
      </c>
      <c r="C133" s="15" t="e">
        <f t="shared" si="17"/>
        <v>#VALUE!</v>
      </c>
      <c r="D133" s="15"/>
      <c r="E133" s="15"/>
      <c r="F133" s="15" t="e">
        <f t="shared" si="18"/>
        <v>#VALUE!</v>
      </c>
      <c r="G133" s="20">
        <f t="shared" ca="1" si="19"/>
        <v>44484</v>
      </c>
      <c r="H133" s="15"/>
      <c r="I133" s="15"/>
      <c r="J133" s="22"/>
      <c r="K133" s="15"/>
      <c r="L133" s="15"/>
      <c r="M133" s="15"/>
      <c r="N133" s="15"/>
      <c r="O133" s="15"/>
      <c r="P133" s="15"/>
      <c r="Q133" s="15"/>
      <c r="R133" s="15"/>
      <c r="S133" s="15"/>
      <c r="T133" s="15"/>
      <c r="U133" s="15"/>
      <c r="V133" s="15"/>
      <c r="W133" s="15"/>
      <c r="X133" s="15"/>
      <c r="Y133" s="15"/>
      <c r="Z133" s="15"/>
      <c r="AA133" s="15"/>
      <c r="AB133" s="15"/>
    </row>
    <row r="134" spans="2:28" x14ac:dyDescent="0.25">
      <c r="B134" s="15" t="e">
        <f t="shared" si="16"/>
        <v>#VALUE!</v>
      </c>
      <c r="C134" s="15" t="e">
        <f t="shared" si="17"/>
        <v>#VALUE!</v>
      </c>
      <c r="D134" s="15"/>
      <c r="E134" s="15"/>
      <c r="F134" s="15" t="e">
        <f t="shared" si="18"/>
        <v>#VALUE!</v>
      </c>
      <c r="G134" s="20">
        <f t="shared" ca="1" si="19"/>
        <v>44484</v>
      </c>
      <c r="H134" s="15"/>
      <c r="I134" s="15"/>
      <c r="J134" s="22"/>
      <c r="K134" s="15"/>
      <c r="L134" s="15"/>
      <c r="M134" s="15"/>
      <c r="N134" s="15"/>
      <c r="O134" s="15"/>
      <c r="P134" s="15"/>
      <c r="Q134" s="15"/>
      <c r="R134" s="15"/>
      <c r="S134" s="15"/>
      <c r="T134" s="15"/>
      <c r="U134" s="15"/>
      <c r="V134" s="15"/>
      <c r="W134" s="15"/>
      <c r="X134" s="15"/>
      <c r="Y134" s="15"/>
      <c r="Z134" s="15"/>
      <c r="AA134" s="15"/>
      <c r="AB134" s="15"/>
    </row>
    <row r="135" spans="2:28" x14ac:dyDescent="0.25">
      <c r="B135" s="15" t="e">
        <f t="shared" si="16"/>
        <v>#VALUE!</v>
      </c>
      <c r="C135" s="15" t="e">
        <f t="shared" si="17"/>
        <v>#VALUE!</v>
      </c>
      <c r="D135" s="15"/>
      <c r="E135" s="15"/>
      <c r="F135" s="15" t="e">
        <f t="shared" si="18"/>
        <v>#VALUE!</v>
      </c>
      <c r="G135" s="20">
        <f t="shared" ca="1" si="19"/>
        <v>44484</v>
      </c>
      <c r="H135" s="15"/>
      <c r="I135" s="15"/>
      <c r="J135" s="22"/>
      <c r="K135" s="15"/>
      <c r="L135" s="15"/>
      <c r="M135" s="15"/>
      <c r="N135" s="15"/>
      <c r="O135" s="15"/>
      <c r="P135" s="15"/>
      <c r="Q135" s="15"/>
      <c r="R135" s="15"/>
      <c r="S135" s="15"/>
      <c r="T135" s="15"/>
      <c r="U135" s="15"/>
      <c r="V135" s="15"/>
      <c r="W135" s="15"/>
      <c r="X135" s="15"/>
      <c r="Y135" s="15"/>
      <c r="Z135" s="15"/>
      <c r="AA135" s="15"/>
      <c r="AB135" s="15"/>
    </row>
    <row r="136" spans="2:28" x14ac:dyDescent="0.25">
      <c r="B136" s="15" t="e">
        <f t="shared" si="16"/>
        <v>#VALUE!</v>
      </c>
      <c r="C136" s="15" t="e">
        <f t="shared" si="17"/>
        <v>#VALUE!</v>
      </c>
      <c r="D136" s="15"/>
      <c r="E136" s="15"/>
      <c r="F136" s="15" t="e">
        <f t="shared" si="18"/>
        <v>#VALUE!</v>
      </c>
      <c r="G136" s="20">
        <f t="shared" ca="1" si="19"/>
        <v>44484</v>
      </c>
      <c r="H136" s="15"/>
      <c r="I136" s="15"/>
      <c r="J136" s="22"/>
      <c r="K136" s="15"/>
      <c r="L136" s="15"/>
      <c r="M136" s="15"/>
      <c r="N136" s="15"/>
      <c r="O136" s="15"/>
      <c r="P136" s="15"/>
      <c r="Q136" s="15"/>
      <c r="R136" s="15"/>
      <c r="S136" s="15"/>
      <c r="T136" s="15"/>
      <c r="U136" s="15"/>
      <c r="V136" s="15"/>
      <c r="W136" s="15"/>
      <c r="X136" s="15"/>
      <c r="Y136" s="15"/>
      <c r="Z136" s="15"/>
      <c r="AA136" s="15"/>
      <c r="AB136" s="15"/>
    </row>
    <row r="137" spans="2:28" x14ac:dyDescent="0.25">
      <c r="B137" s="15" t="e">
        <f t="shared" si="16"/>
        <v>#VALUE!</v>
      </c>
      <c r="C137" s="15" t="e">
        <f t="shared" si="17"/>
        <v>#VALUE!</v>
      </c>
      <c r="D137" s="15"/>
      <c r="E137" s="15"/>
      <c r="F137" s="15" t="e">
        <f t="shared" si="18"/>
        <v>#VALUE!</v>
      </c>
      <c r="G137" s="20">
        <f t="shared" ca="1" si="19"/>
        <v>44484</v>
      </c>
      <c r="H137" s="15"/>
      <c r="I137" s="15"/>
      <c r="J137" s="22"/>
      <c r="K137" s="15"/>
      <c r="L137" s="15"/>
      <c r="M137" s="15"/>
      <c r="N137" s="15"/>
      <c r="O137" s="15"/>
      <c r="P137" s="15"/>
      <c r="Q137" s="15"/>
      <c r="R137" s="15"/>
      <c r="S137" s="15"/>
      <c r="T137" s="15"/>
      <c r="U137" s="15"/>
      <c r="V137" s="15"/>
      <c r="W137" s="15"/>
      <c r="X137" s="15"/>
      <c r="Y137" s="15"/>
      <c r="Z137" s="15"/>
      <c r="AA137" s="15"/>
      <c r="AB137" s="15"/>
    </row>
    <row r="138" spans="2:28" x14ac:dyDescent="0.25">
      <c r="B138" s="15" t="e">
        <f t="shared" si="16"/>
        <v>#VALUE!</v>
      </c>
      <c r="C138" s="15" t="e">
        <f t="shared" si="17"/>
        <v>#VALUE!</v>
      </c>
      <c r="D138" s="15"/>
      <c r="E138" s="15"/>
      <c r="F138" s="15" t="e">
        <f t="shared" si="18"/>
        <v>#VALUE!</v>
      </c>
      <c r="G138" s="20">
        <f t="shared" ca="1" si="19"/>
        <v>44484</v>
      </c>
      <c r="H138" s="15"/>
      <c r="I138" s="15"/>
      <c r="J138" s="22"/>
      <c r="K138" s="15"/>
      <c r="L138" s="15"/>
      <c r="M138" s="15"/>
      <c r="N138" s="15"/>
      <c r="O138" s="15"/>
      <c r="P138" s="15"/>
      <c r="Q138" s="15"/>
      <c r="R138" s="15"/>
      <c r="S138" s="15"/>
      <c r="T138" s="15"/>
      <c r="U138" s="15"/>
      <c r="V138" s="15"/>
      <c r="W138" s="15"/>
      <c r="X138" s="15"/>
      <c r="Y138" s="15"/>
      <c r="Z138" s="15"/>
      <c r="AA138" s="15"/>
      <c r="AB138" s="15"/>
    </row>
    <row r="139" spans="2:28" x14ac:dyDescent="0.25">
      <c r="B139" s="15" t="e">
        <f t="shared" si="16"/>
        <v>#VALUE!</v>
      </c>
      <c r="C139" s="15" t="e">
        <f t="shared" si="17"/>
        <v>#VALUE!</v>
      </c>
      <c r="D139" s="15"/>
      <c r="E139" s="15"/>
      <c r="F139" s="15" t="e">
        <f t="shared" si="18"/>
        <v>#VALUE!</v>
      </c>
      <c r="G139" s="20">
        <f t="shared" ca="1" si="19"/>
        <v>44484</v>
      </c>
      <c r="H139" s="15"/>
      <c r="I139" s="15"/>
      <c r="J139" s="22"/>
      <c r="K139" s="15"/>
      <c r="L139" s="15"/>
      <c r="M139" s="15"/>
      <c r="N139" s="15"/>
      <c r="O139" s="15"/>
      <c r="P139" s="15"/>
      <c r="Q139" s="15"/>
      <c r="R139" s="15"/>
      <c r="S139" s="15"/>
      <c r="T139" s="15"/>
      <c r="U139" s="15"/>
      <c r="V139" s="15"/>
      <c r="W139" s="15"/>
      <c r="X139" s="15"/>
      <c r="Y139" s="15"/>
      <c r="Z139" s="15"/>
      <c r="AA139" s="15"/>
      <c r="AB139" s="15"/>
    </row>
    <row r="140" spans="2:28" x14ac:dyDescent="0.25">
      <c r="B140" s="15" t="e">
        <f t="shared" si="16"/>
        <v>#VALUE!</v>
      </c>
      <c r="C140" s="15" t="e">
        <f t="shared" si="17"/>
        <v>#VALUE!</v>
      </c>
      <c r="D140" s="15"/>
      <c r="E140" s="15"/>
      <c r="F140" s="15" t="e">
        <f t="shared" si="18"/>
        <v>#VALUE!</v>
      </c>
      <c r="G140" s="20">
        <f t="shared" ca="1" si="19"/>
        <v>44484</v>
      </c>
      <c r="H140" s="15"/>
      <c r="I140" s="15"/>
      <c r="J140" s="22"/>
      <c r="K140" s="15"/>
      <c r="L140" s="15"/>
      <c r="M140" s="15"/>
      <c r="N140" s="15"/>
      <c r="O140" s="15"/>
      <c r="P140" s="15"/>
      <c r="Q140" s="15"/>
      <c r="R140" s="15"/>
      <c r="S140" s="15"/>
      <c r="T140" s="15"/>
      <c r="U140" s="15"/>
      <c r="V140" s="15"/>
      <c r="W140" s="15"/>
      <c r="X140" s="15"/>
      <c r="Y140" s="15"/>
      <c r="Z140" s="15"/>
      <c r="AA140" s="15"/>
      <c r="AB140" s="15"/>
    </row>
    <row r="141" spans="2:28" x14ac:dyDescent="0.25">
      <c r="B141" s="15" t="e">
        <f t="shared" si="16"/>
        <v>#VALUE!</v>
      </c>
      <c r="C141" s="15" t="e">
        <f t="shared" si="17"/>
        <v>#VALUE!</v>
      </c>
      <c r="D141" s="15"/>
      <c r="E141" s="15"/>
      <c r="F141" s="15" t="e">
        <f t="shared" si="18"/>
        <v>#VALUE!</v>
      </c>
      <c r="G141" s="20">
        <f t="shared" ca="1" si="19"/>
        <v>44484</v>
      </c>
      <c r="H141" s="15"/>
      <c r="I141" s="15"/>
      <c r="J141" s="22"/>
      <c r="K141" s="15"/>
      <c r="L141" s="15"/>
      <c r="M141" s="15"/>
      <c r="N141" s="15"/>
      <c r="O141" s="15"/>
      <c r="P141" s="15"/>
      <c r="Q141" s="15"/>
      <c r="R141" s="15"/>
      <c r="S141" s="15"/>
      <c r="T141" s="15"/>
      <c r="U141" s="15"/>
      <c r="V141" s="15"/>
      <c r="W141" s="15"/>
      <c r="X141" s="15"/>
      <c r="Y141" s="15"/>
      <c r="Z141" s="15"/>
      <c r="AA141" s="15"/>
      <c r="AB141" s="15"/>
    </row>
    <row r="142" spans="2:28" x14ac:dyDescent="0.25">
      <c r="B142" s="15" t="e">
        <f t="shared" si="16"/>
        <v>#VALUE!</v>
      </c>
      <c r="C142" s="15" t="e">
        <f t="shared" si="17"/>
        <v>#VALUE!</v>
      </c>
      <c r="D142" s="15"/>
      <c r="E142" s="15"/>
      <c r="F142" s="15" t="e">
        <f t="shared" si="18"/>
        <v>#VALUE!</v>
      </c>
      <c r="G142" s="20">
        <f t="shared" ca="1" si="19"/>
        <v>44484</v>
      </c>
      <c r="H142" s="15"/>
      <c r="I142" s="15"/>
      <c r="J142" s="22"/>
      <c r="K142" s="15"/>
      <c r="L142" s="15"/>
      <c r="M142" s="15"/>
      <c r="N142" s="15"/>
      <c r="O142" s="15"/>
      <c r="P142" s="15"/>
      <c r="Q142" s="15"/>
      <c r="R142" s="15"/>
      <c r="S142" s="15"/>
      <c r="T142" s="15"/>
      <c r="U142" s="15"/>
      <c r="V142" s="15"/>
      <c r="W142" s="15"/>
      <c r="X142" s="15"/>
      <c r="Y142" s="15"/>
      <c r="Z142" s="15"/>
      <c r="AA142" s="15"/>
      <c r="AB142" s="15"/>
    </row>
    <row r="143" spans="2:28" x14ac:dyDescent="0.25">
      <c r="B143" s="15" t="e">
        <f t="shared" si="16"/>
        <v>#VALUE!</v>
      </c>
      <c r="C143" s="15" t="e">
        <f t="shared" si="17"/>
        <v>#VALUE!</v>
      </c>
      <c r="D143" s="15"/>
      <c r="E143" s="15"/>
      <c r="F143" s="15" t="e">
        <f t="shared" si="18"/>
        <v>#VALUE!</v>
      </c>
      <c r="G143" s="20">
        <f t="shared" ca="1" si="19"/>
        <v>44484</v>
      </c>
      <c r="H143" s="15"/>
      <c r="I143" s="15"/>
      <c r="J143" s="22"/>
      <c r="K143" s="15"/>
      <c r="L143" s="15"/>
      <c r="M143" s="15"/>
      <c r="N143" s="15"/>
      <c r="O143" s="15"/>
      <c r="P143" s="15"/>
      <c r="Q143" s="15"/>
      <c r="R143" s="15"/>
      <c r="S143" s="15"/>
      <c r="T143" s="15"/>
      <c r="U143" s="15"/>
      <c r="V143" s="15"/>
      <c r="W143" s="15"/>
      <c r="X143" s="15"/>
      <c r="Y143" s="15"/>
      <c r="Z143" s="15"/>
      <c r="AA143" s="15"/>
      <c r="AB143" s="15"/>
    </row>
    <row r="144" spans="2:28" x14ac:dyDescent="0.25">
      <c r="B144" s="15" t="e">
        <f t="shared" si="16"/>
        <v>#VALUE!</v>
      </c>
      <c r="C144" s="15" t="e">
        <f t="shared" si="17"/>
        <v>#VALUE!</v>
      </c>
      <c r="D144" s="15"/>
      <c r="E144" s="15"/>
      <c r="F144" s="15" t="e">
        <f t="shared" si="18"/>
        <v>#VALUE!</v>
      </c>
      <c r="G144" s="20">
        <f t="shared" ca="1" si="19"/>
        <v>44484</v>
      </c>
      <c r="H144" s="15"/>
      <c r="I144" s="15"/>
      <c r="J144" s="22"/>
      <c r="K144" s="15"/>
      <c r="L144" s="15"/>
      <c r="M144" s="15"/>
      <c r="N144" s="15"/>
      <c r="O144" s="15"/>
      <c r="P144" s="15"/>
      <c r="Q144" s="15"/>
      <c r="R144" s="15"/>
      <c r="S144" s="15"/>
      <c r="T144" s="15"/>
      <c r="U144" s="15"/>
      <c r="V144" s="15"/>
      <c r="W144" s="15"/>
      <c r="X144" s="15"/>
      <c r="Y144" s="15"/>
      <c r="Z144" s="15"/>
      <c r="AA144" s="15"/>
      <c r="AB144" s="15"/>
    </row>
    <row r="145" spans="2:28" x14ac:dyDescent="0.25">
      <c r="B145" s="15" t="e">
        <f t="shared" si="16"/>
        <v>#VALUE!</v>
      </c>
      <c r="C145" s="15" t="e">
        <f t="shared" si="17"/>
        <v>#VALUE!</v>
      </c>
      <c r="D145" s="15"/>
      <c r="E145" s="15"/>
      <c r="F145" s="15" t="e">
        <f t="shared" si="18"/>
        <v>#VALUE!</v>
      </c>
      <c r="G145" s="20">
        <f t="shared" ca="1" si="19"/>
        <v>44484</v>
      </c>
      <c r="H145" s="15"/>
      <c r="I145" s="15"/>
      <c r="J145" s="22"/>
      <c r="K145" s="15"/>
      <c r="L145" s="15"/>
      <c r="M145" s="15"/>
      <c r="N145" s="15"/>
      <c r="O145" s="15"/>
      <c r="P145" s="15"/>
      <c r="Q145" s="15"/>
      <c r="R145" s="15"/>
      <c r="S145" s="15"/>
      <c r="T145" s="15"/>
      <c r="U145" s="15"/>
      <c r="V145" s="15"/>
      <c r="W145" s="15"/>
      <c r="X145" s="15"/>
      <c r="Y145" s="15"/>
      <c r="Z145" s="15"/>
      <c r="AA145" s="15"/>
      <c r="AB145" s="15"/>
    </row>
    <row r="146" spans="2:28" x14ac:dyDescent="0.25">
      <c r="B146" s="15" t="e">
        <f t="shared" si="16"/>
        <v>#VALUE!</v>
      </c>
      <c r="C146" s="15" t="e">
        <f t="shared" si="17"/>
        <v>#VALUE!</v>
      </c>
      <c r="D146" s="15"/>
      <c r="E146" s="15"/>
      <c r="F146" s="15" t="e">
        <f t="shared" si="18"/>
        <v>#VALUE!</v>
      </c>
      <c r="G146" s="20">
        <f t="shared" ca="1" si="19"/>
        <v>44484</v>
      </c>
      <c r="H146" s="15"/>
      <c r="I146" s="15"/>
      <c r="J146" s="22"/>
      <c r="K146" s="15"/>
      <c r="L146" s="15"/>
      <c r="M146" s="15"/>
      <c r="N146" s="15"/>
      <c r="O146" s="15"/>
      <c r="P146" s="15"/>
      <c r="Q146" s="15"/>
      <c r="R146" s="15"/>
      <c r="S146" s="15"/>
      <c r="T146" s="15"/>
      <c r="U146" s="15"/>
      <c r="V146" s="15"/>
      <c r="W146" s="15"/>
      <c r="X146" s="15"/>
      <c r="Y146" s="15"/>
      <c r="Z146" s="15"/>
      <c r="AA146" s="15"/>
      <c r="AB146" s="15"/>
    </row>
    <row r="147" spans="2:28" x14ac:dyDescent="0.25">
      <c r="B147" s="15" t="e">
        <f t="shared" si="16"/>
        <v>#VALUE!</v>
      </c>
      <c r="C147" s="15" t="e">
        <f t="shared" si="17"/>
        <v>#VALUE!</v>
      </c>
      <c r="D147" s="15"/>
      <c r="E147" s="15"/>
      <c r="F147" s="15" t="e">
        <f t="shared" si="18"/>
        <v>#VALUE!</v>
      </c>
      <c r="G147" s="20">
        <f t="shared" ca="1" si="19"/>
        <v>44484</v>
      </c>
      <c r="H147" s="15"/>
      <c r="I147" s="15"/>
      <c r="J147" s="22"/>
      <c r="K147" s="15"/>
      <c r="L147" s="15"/>
      <c r="M147" s="15"/>
      <c r="N147" s="15"/>
      <c r="O147" s="15"/>
      <c r="P147" s="15"/>
      <c r="Q147" s="15"/>
      <c r="R147" s="15"/>
      <c r="S147" s="15"/>
      <c r="T147" s="15"/>
      <c r="U147" s="15"/>
      <c r="V147" s="15"/>
      <c r="W147" s="15"/>
      <c r="X147" s="15"/>
      <c r="Y147" s="15"/>
      <c r="Z147" s="15"/>
      <c r="AA147" s="15"/>
      <c r="AB147" s="15"/>
    </row>
    <row r="148" spans="2:28" x14ac:dyDescent="0.25">
      <c r="B148" s="15" t="e">
        <f t="shared" si="16"/>
        <v>#VALUE!</v>
      </c>
      <c r="C148" s="15" t="e">
        <f t="shared" si="17"/>
        <v>#VALUE!</v>
      </c>
      <c r="D148" s="15"/>
      <c r="E148" s="15"/>
      <c r="F148" s="15" t="e">
        <f t="shared" si="18"/>
        <v>#VALUE!</v>
      </c>
      <c r="G148" s="20">
        <f t="shared" ca="1" si="19"/>
        <v>44484</v>
      </c>
      <c r="H148" s="15"/>
      <c r="I148" s="15"/>
      <c r="J148" s="22"/>
      <c r="K148" s="15"/>
      <c r="L148" s="15"/>
      <c r="M148" s="15"/>
      <c r="N148" s="15"/>
      <c r="O148" s="15"/>
      <c r="P148" s="15"/>
      <c r="Q148" s="15"/>
      <c r="R148" s="15"/>
      <c r="S148" s="15"/>
      <c r="T148" s="15"/>
      <c r="U148" s="15"/>
      <c r="V148" s="15"/>
      <c r="W148" s="15"/>
      <c r="X148" s="15"/>
      <c r="Y148" s="15"/>
      <c r="Z148" s="15"/>
      <c r="AA148" s="15"/>
      <c r="AB148" s="15"/>
    </row>
    <row r="149" spans="2:28" x14ac:dyDescent="0.25">
      <c r="B149" s="15" t="e">
        <f t="shared" si="16"/>
        <v>#VALUE!</v>
      </c>
      <c r="C149" s="15" t="e">
        <f t="shared" si="17"/>
        <v>#VALUE!</v>
      </c>
      <c r="D149" s="15"/>
      <c r="E149" s="15"/>
      <c r="F149" s="15" t="e">
        <f t="shared" si="18"/>
        <v>#VALUE!</v>
      </c>
      <c r="G149" s="20">
        <f t="shared" ca="1" si="19"/>
        <v>44484</v>
      </c>
      <c r="H149" s="15"/>
      <c r="I149" s="15"/>
      <c r="J149" s="22"/>
      <c r="K149" s="15"/>
      <c r="L149" s="15"/>
      <c r="M149" s="15"/>
      <c r="N149" s="15"/>
      <c r="O149" s="15"/>
      <c r="P149" s="15"/>
      <c r="Q149" s="15"/>
      <c r="R149" s="15"/>
      <c r="S149" s="15"/>
      <c r="T149" s="15"/>
      <c r="U149" s="15"/>
      <c r="V149" s="15"/>
      <c r="W149" s="15"/>
      <c r="X149" s="15"/>
      <c r="Y149" s="15"/>
      <c r="Z149" s="15"/>
      <c r="AA149" s="15"/>
      <c r="AB149" s="15"/>
    </row>
    <row r="150" spans="2:28" x14ac:dyDescent="0.25">
      <c r="B150" s="15" t="e">
        <f t="shared" si="16"/>
        <v>#VALUE!</v>
      </c>
      <c r="C150" s="15" t="e">
        <f t="shared" si="17"/>
        <v>#VALUE!</v>
      </c>
      <c r="D150" s="15"/>
      <c r="E150" s="15"/>
      <c r="F150" s="15" t="e">
        <f t="shared" si="18"/>
        <v>#VALUE!</v>
      </c>
      <c r="G150" s="20">
        <f t="shared" ca="1" si="19"/>
        <v>44484</v>
      </c>
      <c r="H150" s="15"/>
      <c r="I150" s="15"/>
      <c r="J150" s="22"/>
      <c r="K150" s="15"/>
      <c r="L150" s="15"/>
      <c r="M150" s="15"/>
      <c r="N150" s="15"/>
      <c r="O150" s="15"/>
      <c r="P150" s="15"/>
      <c r="Q150" s="15"/>
      <c r="R150" s="15"/>
      <c r="S150" s="15"/>
      <c r="T150" s="15"/>
      <c r="U150" s="15"/>
      <c r="V150" s="15"/>
      <c r="W150" s="15"/>
      <c r="X150" s="15"/>
      <c r="Y150" s="15"/>
      <c r="Z150" s="15"/>
      <c r="AA150" s="15"/>
      <c r="AB150" s="15"/>
    </row>
    <row r="151" spans="2:28" x14ac:dyDescent="0.25">
      <c r="B151" s="15" t="e">
        <f t="shared" si="16"/>
        <v>#VALUE!</v>
      </c>
      <c r="C151" s="15" t="e">
        <f t="shared" si="17"/>
        <v>#VALUE!</v>
      </c>
      <c r="D151" s="15"/>
      <c r="E151" s="15"/>
      <c r="F151" s="15" t="e">
        <f t="shared" si="18"/>
        <v>#VALUE!</v>
      </c>
      <c r="G151" s="20">
        <f t="shared" ca="1" si="19"/>
        <v>44484</v>
      </c>
      <c r="H151" s="15"/>
      <c r="I151" s="15"/>
      <c r="J151" s="22"/>
      <c r="K151" s="15"/>
      <c r="L151" s="15"/>
      <c r="M151" s="15"/>
      <c r="N151" s="15"/>
      <c r="O151" s="15"/>
      <c r="P151" s="15"/>
      <c r="Q151" s="15"/>
      <c r="R151" s="15"/>
      <c r="S151" s="15"/>
      <c r="T151" s="15"/>
      <c r="U151" s="15"/>
      <c r="V151" s="15"/>
      <c r="W151" s="15"/>
      <c r="X151" s="15"/>
      <c r="Y151" s="15"/>
      <c r="Z151" s="15"/>
      <c r="AA151" s="15"/>
      <c r="AB151" s="15"/>
    </row>
    <row r="152" spans="2:28" x14ac:dyDescent="0.25">
      <c r="B152" s="15" t="e">
        <f t="shared" si="16"/>
        <v>#VALUE!</v>
      </c>
      <c r="C152" s="15" t="e">
        <f t="shared" si="17"/>
        <v>#VALUE!</v>
      </c>
      <c r="D152" s="15"/>
      <c r="E152" s="15"/>
      <c r="F152" s="15" t="e">
        <f t="shared" si="18"/>
        <v>#VALUE!</v>
      </c>
      <c r="G152" s="20">
        <f t="shared" ca="1" si="19"/>
        <v>44484</v>
      </c>
      <c r="H152" s="15"/>
      <c r="I152" s="15"/>
      <c r="J152" s="22"/>
      <c r="K152" s="15"/>
      <c r="L152" s="15"/>
      <c r="M152" s="15"/>
      <c r="N152" s="15"/>
      <c r="O152" s="15"/>
      <c r="P152" s="15"/>
      <c r="Q152" s="15"/>
      <c r="R152" s="15"/>
      <c r="S152" s="15"/>
      <c r="T152" s="15"/>
      <c r="U152" s="15"/>
      <c r="V152" s="15"/>
      <c r="W152" s="15"/>
      <c r="X152" s="15"/>
      <c r="Y152" s="15"/>
      <c r="Z152" s="15"/>
      <c r="AA152" s="15"/>
      <c r="AB152" s="15"/>
    </row>
    <row r="153" spans="2:28" x14ac:dyDescent="0.25">
      <c r="B153" s="15" t="e">
        <f t="shared" si="16"/>
        <v>#VALUE!</v>
      </c>
      <c r="C153" s="15" t="e">
        <f t="shared" si="17"/>
        <v>#VALUE!</v>
      </c>
      <c r="D153" s="15"/>
      <c r="E153" s="15"/>
      <c r="F153" s="15" t="e">
        <f t="shared" si="18"/>
        <v>#VALUE!</v>
      </c>
      <c r="G153" s="20">
        <f t="shared" ca="1" si="19"/>
        <v>44484</v>
      </c>
      <c r="H153" s="15"/>
      <c r="I153" s="15"/>
      <c r="J153" s="22"/>
      <c r="K153" s="15"/>
      <c r="L153" s="15"/>
      <c r="M153" s="15"/>
      <c r="N153" s="15"/>
      <c r="O153" s="15"/>
      <c r="P153" s="15"/>
      <c r="Q153" s="15"/>
      <c r="R153" s="15"/>
      <c r="S153" s="15"/>
      <c r="T153" s="15"/>
      <c r="U153" s="15"/>
      <c r="V153" s="15"/>
      <c r="W153" s="15"/>
      <c r="X153" s="15"/>
      <c r="Y153" s="15"/>
      <c r="Z153" s="15"/>
      <c r="AA153" s="15"/>
      <c r="AB153" s="15"/>
    </row>
    <row r="154" spans="2:28" x14ac:dyDescent="0.25">
      <c r="B154" s="15" t="e">
        <f t="shared" si="16"/>
        <v>#VALUE!</v>
      </c>
      <c r="C154" s="15" t="e">
        <f t="shared" si="17"/>
        <v>#VALUE!</v>
      </c>
      <c r="D154" s="15"/>
      <c r="E154" s="15"/>
      <c r="F154" s="15" t="e">
        <f t="shared" si="18"/>
        <v>#VALUE!</v>
      </c>
      <c r="G154" s="20">
        <f t="shared" ca="1" si="19"/>
        <v>44484</v>
      </c>
      <c r="H154" s="15"/>
      <c r="I154" s="15"/>
      <c r="J154" s="22"/>
      <c r="K154" s="15"/>
      <c r="L154" s="15"/>
      <c r="M154" s="15"/>
      <c r="N154" s="15"/>
      <c r="O154" s="15"/>
      <c r="P154" s="15"/>
      <c r="Q154" s="15"/>
      <c r="R154" s="15"/>
      <c r="S154" s="15"/>
      <c r="T154" s="15"/>
      <c r="U154" s="15"/>
      <c r="V154" s="15"/>
      <c r="W154" s="15"/>
      <c r="X154" s="15"/>
      <c r="Y154" s="15"/>
      <c r="Z154" s="15"/>
      <c r="AA154" s="15"/>
      <c r="AB154" s="15"/>
    </row>
    <row r="155" spans="2:28" x14ac:dyDescent="0.25">
      <c r="B155" s="15" t="e">
        <f t="shared" si="16"/>
        <v>#VALUE!</v>
      </c>
      <c r="C155" s="15" t="e">
        <f t="shared" si="17"/>
        <v>#VALUE!</v>
      </c>
      <c r="D155" s="15"/>
      <c r="E155" s="15"/>
      <c r="F155" s="15" t="e">
        <f t="shared" si="18"/>
        <v>#VALUE!</v>
      </c>
      <c r="G155" s="20">
        <f t="shared" ca="1" si="19"/>
        <v>44484</v>
      </c>
      <c r="H155" s="15"/>
      <c r="I155" s="15"/>
      <c r="J155" s="22"/>
      <c r="K155" s="15"/>
      <c r="L155" s="15"/>
      <c r="M155" s="15"/>
      <c r="N155" s="15"/>
      <c r="O155" s="15"/>
      <c r="P155" s="15"/>
      <c r="Q155" s="15"/>
      <c r="R155" s="15"/>
      <c r="S155" s="15"/>
      <c r="T155" s="15"/>
      <c r="U155" s="15"/>
      <c r="V155" s="15"/>
      <c r="W155" s="15"/>
      <c r="X155" s="15"/>
      <c r="Y155" s="15"/>
      <c r="Z155" s="15"/>
      <c r="AA155" s="15"/>
      <c r="AB155" s="15"/>
    </row>
    <row r="156" spans="2:28" x14ac:dyDescent="0.25">
      <c r="B156" s="15" t="e">
        <f t="shared" si="16"/>
        <v>#VALUE!</v>
      </c>
      <c r="C156" s="15" t="e">
        <f t="shared" si="17"/>
        <v>#VALUE!</v>
      </c>
      <c r="D156" s="15"/>
      <c r="E156" s="15"/>
      <c r="F156" s="15" t="e">
        <f t="shared" si="18"/>
        <v>#VALUE!</v>
      </c>
      <c r="G156" s="20">
        <f t="shared" ca="1" si="19"/>
        <v>44484</v>
      </c>
      <c r="H156" s="15"/>
      <c r="I156" s="15"/>
      <c r="J156" s="22"/>
      <c r="K156" s="15"/>
      <c r="L156" s="15"/>
      <c r="M156" s="15"/>
      <c r="N156" s="15"/>
      <c r="O156" s="15"/>
      <c r="P156" s="15"/>
      <c r="Q156" s="15"/>
      <c r="R156" s="15"/>
      <c r="S156" s="15"/>
      <c r="T156" s="15"/>
      <c r="U156" s="15"/>
      <c r="V156" s="15"/>
      <c r="W156" s="15"/>
      <c r="X156" s="15"/>
      <c r="Y156" s="15"/>
      <c r="Z156" s="15"/>
      <c r="AA156" s="15"/>
      <c r="AB156" s="15"/>
    </row>
    <row r="157" spans="2:28" x14ac:dyDescent="0.25">
      <c r="B157" s="15" t="e">
        <f t="shared" si="16"/>
        <v>#VALUE!</v>
      </c>
      <c r="C157" s="15" t="e">
        <f t="shared" si="17"/>
        <v>#VALUE!</v>
      </c>
      <c r="D157" s="15"/>
      <c r="E157" s="15"/>
      <c r="F157" s="15" t="e">
        <f t="shared" si="18"/>
        <v>#VALUE!</v>
      </c>
      <c r="G157" s="20"/>
      <c r="H157" s="15"/>
      <c r="I157" s="15"/>
      <c r="J157" s="22"/>
      <c r="K157" s="15"/>
      <c r="L157" s="15"/>
      <c r="M157" s="15"/>
      <c r="N157" s="15"/>
      <c r="O157" s="15"/>
      <c r="P157" s="15"/>
      <c r="Q157" s="15"/>
      <c r="R157" s="15"/>
      <c r="S157" s="15"/>
      <c r="T157" s="15"/>
      <c r="U157" s="15"/>
      <c r="V157" s="15"/>
      <c r="W157" s="15"/>
      <c r="X157" s="15"/>
      <c r="Y157" s="15"/>
      <c r="Z157" s="15"/>
      <c r="AA157" s="15"/>
      <c r="AB157" s="15"/>
    </row>
    <row r="158" spans="2:28" x14ac:dyDescent="0.25">
      <c r="B158" s="15" t="e">
        <f t="shared" si="16"/>
        <v>#VALUE!</v>
      </c>
      <c r="C158" s="15" t="e">
        <f t="shared" si="17"/>
        <v>#VALUE!</v>
      </c>
      <c r="D158" s="15"/>
      <c r="E158" s="15"/>
      <c r="F158" s="15" t="e">
        <f t="shared" si="18"/>
        <v>#VALUE!</v>
      </c>
      <c r="G158" s="20"/>
      <c r="H158" s="15"/>
      <c r="I158" s="15"/>
      <c r="J158" s="22"/>
      <c r="K158" s="15"/>
      <c r="L158" s="15"/>
      <c r="M158" s="15"/>
      <c r="N158" s="15"/>
      <c r="O158" s="15"/>
      <c r="P158" s="15"/>
      <c r="Q158" s="15"/>
      <c r="R158" s="15"/>
      <c r="S158" s="15"/>
      <c r="T158" s="15"/>
      <c r="U158" s="15"/>
      <c r="V158" s="15"/>
      <c r="W158" s="15"/>
      <c r="X158" s="15"/>
      <c r="Y158" s="15"/>
      <c r="Z158" s="15"/>
      <c r="AA158" s="15"/>
      <c r="AB158" s="15"/>
    </row>
  </sheetData>
  <conditionalFormatting sqref="G1:G1048576">
    <cfRule type="expression" dxfId="33" priority="12">
      <formula>TODAY()-G1&gt;=7</formula>
    </cfRule>
    <cfRule type="expression" dxfId="32" priority="26">
      <formula>TODAY()-G1&gt;=5</formula>
    </cfRule>
    <cfRule type="expression" dxfId="31" priority="27">
      <formula>TODAY()-G1&gt;=3</formula>
    </cfRule>
  </conditionalFormatting>
  <conditionalFormatting sqref="D1:D1048576">
    <cfRule type="expression" dxfId="30" priority="1">
      <formula>ISBLANK(D1)</formula>
    </cfRule>
  </conditionalFormatting>
  <hyperlinks>
    <hyperlink ref="H6"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'in progress'!#REF!</f>
        <v>#REF!</v>
      </c>
    </row>
    <row r="2" spans="1:1" x14ac:dyDescent="0.25">
      <c r="A2" t="e">
        <f xml:space="preserve"> 'in progress'!#REF!</f>
        <v>#REF!</v>
      </c>
    </row>
    <row r="3" spans="1:1" x14ac:dyDescent="0.25">
      <c r="A3" t="e">
        <f xml:space="preserve"> 'in progress'!#REF!</f>
        <v>#REF!</v>
      </c>
    </row>
    <row r="4" spans="1:1" x14ac:dyDescent="0.25">
      <c r="A4" t="e">
        <f xml:space="preserve"> 'in progress'!#REF!</f>
        <v>#REF!</v>
      </c>
    </row>
    <row r="5" spans="1:1" x14ac:dyDescent="0.25">
      <c r="A5" t="e">
        <f xml:space="preserve"> 'in progress'!#REF!</f>
        <v>#REF!</v>
      </c>
    </row>
    <row r="6" spans="1:1" x14ac:dyDescent="0.25">
      <c r="A6" t="e">
        <f xml:space="preserve"> 'in progress'!#REF!</f>
        <v>#REF!</v>
      </c>
    </row>
    <row r="7" spans="1:1" x14ac:dyDescent="0.25">
      <c r="A7" t="e">
        <f xml:space="preserve"> 'in progress'!#REF!</f>
        <v>#REF!</v>
      </c>
    </row>
    <row r="8" spans="1:1" x14ac:dyDescent="0.25">
      <c r="A8" t="e">
        <f xml:space="preserve"> 'in progress'!#REF!</f>
        <v>#REF!</v>
      </c>
    </row>
    <row r="9" spans="1:1" x14ac:dyDescent="0.25">
      <c r="A9" t="e">
        <f xml:space="preserve"> 'in progress'!#REF!</f>
        <v>#REF!</v>
      </c>
    </row>
    <row r="10" spans="1:1" x14ac:dyDescent="0.25">
      <c r="A10" t="e">
        <f xml:space="preserve"> 'in progress'!#REF!</f>
        <v>#REF!</v>
      </c>
    </row>
    <row r="11" spans="1:1" x14ac:dyDescent="0.25">
      <c r="A11" t="e">
        <f xml:space="preserve"> 'in progress'!#REF!</f>
        <v>#REF!</v>
      </c>
    </row>
    <row r="12" spans="1:1" x14ac:dyDescent="0.25">
      <c r="A12" t="e">
        <f xml:space="preserve"> 'in progress'!#REF!</f>
        <v>#REF!</v>
      </c>
    </row>
    <row r="13" spans="1:1" x14ac:dyDescent="0.25">
      <c r="A13" t="e">
        <f xml:space="preserve"> 'in progress'!#REF!</f>
        <v>#REF!</v>
      </c>
    </row>
    <row r="14" spans="1:1" x14ac:dyDescent="0.25">
      <c r="A14" t="e">
        <f xml:space="preserve"> 'in progress'!#REF!</f>
        <v>#REF!</v>
      </c>
    </row>
    <row r="15" spans="1:1" x14ac:dyDescent="0.25">
      <c r="A15" t="e">
        <f xml:space="preserve"> 'in progress'!#REF!</f>
        <v>#REF!</v>
      </c>
    </row>
    <row r="16" spans="1:1" x14ac:dyDescent="0.25">
      <c r="A16" t="e">
        <f xml:space="preserve"> 'in progress'!#REF!</f>
        <v>#REF!</v>
      </c>
    </row>
    <row r="17" spans="1:1" x14ac:dyDescent="0.25">
      <c r="A17" t="e">
        <f xml:space="preserve"> 'in progress'!#REF!</f>
        <v>#REF!</v>
      </c>
    </row>
    <row r="18" spans="1:1" x14ac:dyDescent="0.25">
      <c r="A18" t="e">
        <f xml:space="preserve"> 'in progress'!#REF!</f>
        <v>#REF!</v>
      </c>
    </row>
    <row r="19" spans="1:1" x14ac:dyDescent="0.25">
      <c r="A19" t="e">
        <f xml:space="preserve"> 'in progress'!#REF!</f>
        <v>#REF!</v>
      </c>
    </row>
    <row r="20" spans="1:1" x14ac:dyDescent="0.25">
      <c r="A20" t="e">
        <f xml:space="preserve"> 'in progress'!#REF!</f>
        <v>#REF!</v>
      </c>
    </row>
    <row r="21" spans="1:1" x14ac:dyDescent="0.25">
      <c r="A21" t="e">
        <f xml:space="preserve"> 'in progress'!#REF!</f>
        <v>#REF!</v>
      </c>
    </row>
    <row r="22" spans="1:1" x14ac:dyDescent="0.25">
      <c r="A22" t="e">
        <f xml:space="preserve"> 'in progress'!#REF!</f>
        <v>#REF!</v>
      </c>
    </row>
    <row r="23" spans="1:1" x14ac:dyDescent="0.25">
      <c r="A23" t="e">
        <f xml:space="preserve"> 'in progress'!#REF!</f>
        <v>#REF!</v>
      </c>
    </row>
    <row r="24" spans="1:1" x14ac:dyDescent="0.25">
      <c r="A24" t="e">
        <f xml:space="preserve"> 'in progress'!#REF!</f>
        <v>#REF!</v>
      </c>
    </row>
    <row r="25" spans="1:1" x14ac:dyDescent="0.25">
      <c r="A25" t="e">
        <f xml:space="preserve"> 'in progress'!#REF!</f>
        <v>#REF!</v>
      </c>
    </row>
    <row r="26" spans="1:1" x14ac:dyDescent="0.25">
      <c r="A26" t="e">
        <f xml:space="preserve"> 'in progress'!#REF!</f>
        <v>#REF!</v>
      </c>
    </row>
    <row r="27" spans="1:1" x14ac:dyDescent="0.25">
      <c r="A27" t="e">
        <f xml:space="preserve"> 'in progress'!#REF!</f>
        <v>#REF!</v>
      </c>
    </row>
    <row r="28" spans="1:1" x14ac:dyDescent="0.25">
      <c r="A28" t="e">
        <f xml:space="preserve"> 'in progress'!#REF!</f>
        <v>#REF!</v>
      </c>
    </row>
    <row r="29" spans="1:1" x14ac:dyDescent="0.25">
      <c r="A29" t="e">
        <f xml:space="preserve"> 'in progress'!#REF!</f>
        <v>#REF!</v>
      </c>
    </row>
    <row r="30" spans="1:1" x14ac:dyDescent="0.25">
      <c r="A30" t="e">
        <f xml:space="preserve"> 'in progress'!#REF!</f>
        <v>#REF!</v>
      </c>
    </row>
    <row r="31" spans="1:1" x14ac:dyDescent="0.25">
      <c r="A31" t="e">
        <f xml:space="preserve"> 'in progress'!#REF!</f>
        <v>#REF!</v>
      </c>
    </row>
    <row r="32" spans="1:1" x14ac:dyDescent="0.25">
      <c r="A32" t="e">
        <f xml:space="preserve"> 'in progress'!#REF!</f>
        <v>#REF!</v>
      </c>
    </row>
    <row r="33" spans="1:1" x14ac:dyDescent="0.25">
      <c r="A33" t="e">
        <f xml:space="preserve"> 'in progress'!#REF!</f>
        <v>#REF!</v>
      </c>
    </row>
    <row r="34" spans="1:1" x14ac:dyDescent="0.25">
      <c r="A34" t="e">
        <f xml:space="preserve"> 'in progress'!#REF!</f>
        <v>#REF!</v>
      </c>
    </row>
    <row r="35" spans="1:1" x14ac:dyDescent="0.25">
      <c r="A35" t="e">
        <f xml:space="preserve"> 'in progress'!#REF!</f>
        <v>#REF!</v>
      </c>
    </row>
    <row r="36" spans="1:1" x14ac:dyDescent="0.25">
      <c r="A36" t="e">
        <f xml:space="preserve"> 'in progress'!#REF!</f>
        <v>#REF!</v>
      </c>
    </row>
    <row r="37" spans="1:1" x14ac:dyDescent="0.25">
      <c r="A37" t="e">
        <f xml:space="preserve"> 'in progress'!#REF!</f>
        <v>#REF!</v>
      </c>
    </row>
    <row r="38" spans="1:1" x14ac:dyDescent="0.25">
      <c r="A38" t="e">
        <f xml:space="preserve"> 'in progress'!#REF!</f>
        <v>#REF!</v>
      </c>
    </row>
    <row r="39" spans="1:1" x14ac:dyDescent="0.25">
      <c r="A39" t="str">
        <f xml:space="preserve"> 'in progress'!B2</f>
        <v>Commercial Spring &amp; Tool</v>
      </c>
    </row>
    <row r="40" spans="1:1" x14ac:dyDescent="0.25">
      <c r="A40" t="e">
        <f xml:space="preserve"> 'in progress'!#REF!</f>
        <v>#REF!</v>
      </c>
    </row>
    <row r="41" spans="1:1" x14ac:dyDescent="0.25">
      <c r="A41" t="e">
        <f xml:space="preserve"> 'in progress'!#REF!</f>
        <v>#REF!</v>
      </c>
    </row>
    <row r="42" spans="1:1" x14ac:dyDescent="0.25">
      <c r="A42" t="e">
        <f xml:space="preserve"> 'in progress'!#REF!</f>
        <v>#REF!</v>
      </c>
    </row>
    <row r="43" spans="1:1" x14ac:dyDescent="0.25">
      <c r="A43" t="e">
        <f xml:space="preserve"> 'in progress'!#REF!</f>
        <v>#REF!</v>
      </c>
    </row>
    <row r="44" spans="1:1" x14ac:dyDescent="0.25">
      <c r="A44" t="e">
        <f xml:space="preserve"> 'in progress'!#REF!</f>
        <v>#REF!</v>
      </c>
    </row>
    <row r="45" spans="1:1" x14ac:dyDescent="0.25">
      <c r="A45" t="e">
        <f xml:space="preserve"> 'in progress'!#REF!</f>
        <v>#REF!</v>
      </c>
    </row>
    <row r="46" spans="1:1" x14ac:dyDescent="0.25">
      <c r="A46" t="e">
        <f xml:space="preserve"> 'in progress'!#REF!</f>
        <v>#REF!</v>
      </c>
    </row>
    <row r="47" spans="1:1" x14ac:dyDescent="0.25">
      <c r="A47" t="e">
        <f xml:space="preserve"> 'in progress'!#REF!</f>
        <v>#REF!</v>
      </c>
    </row>
    <row r="48" spans="1:1" x14ac:dyDescent="0.25">
      <c r="A48" t="e">
        <f xml:space="preserve"> 'in progress'!#REF!</f>
        <v>#REF!</v>
      </c>
    </row>
    <row r="49" spans="1:1" x14ac:dyDescent="0.25">
      <c r="A49" t="str">
        <f xml:space="preserve"> 'in progress'!B3</f>
        <v>Cosma - Bowling Green Metalforming</v>
      </c>
    </row>
    <row r="50" spans="1:1" x14ac:dyDescent="0.25">
      <c r="A50" t="e">
        <f xml:space="preserve"> 'in progress'!#REF!</f>
        <v>#REF!</v>
      </c>
    </row>
    <row r="51" spans="1:1" x14ac:dyDescent="0.25">
      <c r="A51" t="e">
        <f xml:space="preserve"> 'in progress'!#REF!</f>
        <v>#REF!</v>
      </c>
    </row>
    <row r="52" spans="1:1" x14ac:dyDescent="0.25">
      <c r="A52" t="e">
        <f xml:space="preserve"> 'in progress'!#REF!</f>
        <v>#REF!</v>
      </c>
    </row>
    <row r="53" spans="1:1" x14ac:dyDescent="0.25">
      <c r="A53" t="str">
        <f xml:space="preserve"> 'in progress'!B4</f>
        <v>Humanscale</v>
      </c>
    </row>
    <row r="54" spans="1:1" x14ac:dyDescent="0.25">
      <c r="A54" t="e">
        <f xml:space="preserve"> 'in progress'!#REF!</f>
        <v>#REF!</v>
      </c>
    </row>
    <row r="55" spans="1:1" x14ac:dyDescent="0.25">
      <c r="A55" t="e">
        <f xml:space="preserve"> 'in progress'!#REF!</f>
        <v>#REF!</v>
      </c>
    </row>
    <row r="56" spans="1:1" x14ac:dyDescent="0.25">
      <c r="A56" t="str">
        <f xml:space="preserve"> 'in progress'!B5</f>
        <v>Ollie's Bargain Outlet</v>
      </c>
    </row>
    <row r="57" spans="1:1" x14ac:dyDescent="0.25">
      <c r="A57" t="str">
        <f xml:space="preserve"> 'in progress'!B6</f>
        <v>Pure Country West</v>
      </c>
    </row>
    <row r="58" spans="1:1" x14ac:dyDescent="0.25">
      <c r="A58" t="str">
        <f xml:space="preserve"> 'in progress'!B7</f>
        <v>Raynor Gaming</v>
      </c>
    </row>
    <row r="59" spans="1:1" x14ac:dyDescent="0.25">
      <c r="A59" t="e">
        <f xml:space="preserve"> 'in progress'!#REF!</f>
        <v>#REF!</v>
      </c>
    </row>
    <row r="60" spans="1:1" x14ac:dyDescent="0.25">
      <c r="A60" t="e">
        <f xml:space="preserve"> 'in progress'!#REF!</f>
        <v>#REF!</v>
      </c>
    </row>
    <row r="61" spans="1:1" x14ac:dyDescent="0.25">
      <c r="A61" t="str">
        <f xml:space="preserve"> 'in progress'!B8</f>
        <v>Reny's - Down East Wholesalers</v>
      </c>
    </row>
    <row r="62" spans="1:1" x14ac:dyDescent="0.25">
      <c r="A62" t="e">
        <f xml:space="preserve"> 'in progress'!#REF!</f>
        <v>#REF!</v>
      </c>
    </row>
    <row r="63" spans="1:1" x14ac:dyDescent="0.25">
      <c r="A63" t="e">
        <f xml:space="preserve"> 'in progress'!#REF!</f>
        <v>#REF!</v>
      </c>
    </row>
    <row r="64" spans="1:1" x14ac:dyDescent="0.25">
      <c r="A64" t="e">
        <f xml:space="preserve"> 'in progress'!#REF!</f>
        <v>#REF!</v>
      </c>
    </row>
    <row r="65" spans="1:1" x14ac:dyDescent="0.25">
      <c r="A65" t="e">
        <f xml:space="preserve"> 'in progress'!#REF!</f>
        <v>#REF!</v>
      </c>
    </row>
    <row r="66" spans="1:1" x14ac:dyDescent="0.25">
      <c r="A66" t="e">
        <f xml:space="preserve"> 'in progress'!#REF!</f>
        <v>#REF!</v>
      </c>
    </row>
    <row r="67" spans="1:1" x14ac:dyDescent="0.25">
      <c r="A67" t="str">
        <f xml:space="preserve"> 'in progress'!B9</f>
        <v>Trenton Cold Storage</v>
      </c>
    </row>
    <row r="68" spans="1:1" x14ac:dyDescent="0.25">
      <c r="A68" t="str">
        <f xml:space="preserve"> 'in progress'!B10</f>
        <v>Conn's Home Plus</v>
      </c>
    </row>
    <row r="69" spans="1:1" x14ac:dyDescent="0.25">
      <c r="A69" t="str">
        <f xml:space="preserve"> 'in progress'!B11</f>
        <v>HD Supply - White Cap</v>
      </c>
    </row>
    <row r="70" spans="1:1" x14ac:dyDescent="0.25">
      <c r="A70" t="e">
        <f xml:space="preserve"> 'in progress'!#REF!</f>
        <v>#REF!</v>
      </c>
    </row>
    <row r="71" spans="1:1" x14ac:dyDescent="0.25">
      <c r="A71" t="str">
        <f xml:space="preserve"> 'in progress'!B12</f>
        <v>Herregan Distributors Inc.</v>
      </c>
    </row>
    <row r="72" spans="1:1" x14ac:dyDescent="0.25">
      <c r="A72" t="e">
        <f xml:space="preserve"> 'in progress'!#REF!</f>
        <v>#REF!</v>
      </c>
    </row>
    <row r="73" spans="1:1" x14ac:dyDescent="0.25">
      <c r="A73" t="str">
        <f xml:space="preserve"> 'in progress'!B13</f>
        <v>Radial</v>
      </c>
    </row>
    <row r="74" spans="1:1" x14ac:dyDescent="0.25">
      <c r="A74" t="str">
        <f xml:space="preserve"> 'in progress'!B14</f>
        <v>Radiant Wheels</v>
      </c>
    </row>
    <row r="75" spans="1:1" x14ac:dyDescent="0.25">
      <c r="A75" t="str">
        <f xml:space="preserve"> 'in progress'!B15</f>
        <v>Startrack - 3PL</v>
      </c>
    </row>
    <row r="76" spans="1:1" x14ac:dyDescent="0.25">
      <c r="A76" t="str">
        <f xml:space="preserve"> 'in progress'!B16</f>
        <v>Wika Vendor</v>
      </c>
    </row>
    <row r="77" spans="1:1" x14ac:dyDescent="0.25">
      <c r="A77" t="str">
        <f xml:space="preserve"> 'in progress'!B17</f>
        <v>Wormser Corporation-Jaguar Freight XML</v>
      </c>
    </row>
    <row r="78" spans="1:1" x14ac:dyDescent="0.25">
      <c r="A78" t="str">
        <f xml:space="preserve"> 'in progress'!B18</f>
        <v>Del Mar Fans</v>
      </c>
    </row>
    <row r="79" spans="1:1" x14ac:dyDescent="0.25">
      <c r="A79" t="str">
        <f xml:space="preserve"> 'in progress'!B19</f>
        <v>Essendant</v>
      </c>
    </row>
    <row r="80" spans="1:1" x14ac:dyDescent="0.25">
      <c r="A80" t="str">
        <f xml:space="preserve"> 'in progress'!B20</f>
        <v>Georges Music XML</v>
      </c>
    </row>
    <row r="81" spans="1:1" x14ac:dyDescent="0.25">
      <c r="A81" t="str">
        <f xml:space="preserve"> 'in progress'!B21</f>
        <v>Guitar Center - XML Trading Partner</v>
      </c>
    </row>
    <row r="82" spans="1:1" x14ac:dyDescent="0.25">
      <c r="A82" t="str">
        <f xml:space="preserve"> 'in progress'!B22</f>
        <v>RG Sellers</v>
      </c>
    </row>
    <row r="83" spans="1:1" x14ac:dyDescent="0.25">
      <c r="A83" t="e">
        <f xml:space="preserve"> 'in progress'!#REF!</f>
        <v>#REF!</v>
      </c>
    </row>
    <row r="84" spans="1:1" x14ac:dyDescent="0.25">
      <c r="A84" t="str">
        <f xml:space="preserve"> 'in progress'!B23</f>
        <v>Rhenus Contract Logistics - VSC</v>
      </c>
    </row>
    <row r="85" spans="1:1" x14ac:dyDescent="0.25">
      <c r="A85" t="str">
        <f xml:space="preserve"> 'in progress'!B24</f>
        <v>Stego Germany</v>
      </c>
    </row>
    <row r="86" spans="1:1" x14ac:dyDescent="0.25">
      <c r="A86" t="str">
        <f xml:space="preserve"> 'in progress'!B25</f>
        <v>Sun &amp; Ski Sports</v>
      </c>
    </row>
    <row r="87" spans="1:1" x14ac:dyDescent="0.25">
      <c r="A87" t="str">
        <f xml:space="preserve"> 'in progress'!B26</f>
        <v>Tower Automotive - Bellevue</v>
      </c>
    </row>
    <row r="88" spans="1:1" x14ac:dyDescent="0.25">
      <c r="A88" t="str">
        <f xml:space="preserve"> 'in progress'!B27</f>
        <v>Valley Bakers</v>
      </c>
    </row>
    <row r="89" spans="1:1" x14ac:dyDescent="0.25">
      <c r="A89" t="str">
        <f xml:space="preserve"> 'in progress'!B28</f>
        <v>Martha Stewart</v>
      </c>
    </row>
    <row r="90" spans="1:1" x14ac:dyDescent="0.25">
      <c r="A90" t="str">
        <f xml:space="preserve"> 'in progress'!B29</f>
        <v>Abilityone</v>
      </c>
    </row>
    <row r="91" spans="1:1" x14ac:dyDescent="0.25">
      <c r="A91" t="e">
        <f xml:space="preserve"> 'in progress'!#REF!</f>
        <v>#REF!</v>
      </c>
    </row>
    <row r="92" spans="1:1" x14ac:dyDescent="0.25">
      <c r="A92" t="str">
        <f xml:space="preserve"> 'in progress'!B30</f>
        <v>Bioplus Specialty Pharmacy</v>
      </c>
    </row>
    <row r="93" spans="1:1" x14ac:dyDescent="0.25">
      <c r="A93" t="str">
        <f xml:space="preserve"> 'in progress'!B31</f>
        <v>C2wireless SPS Vendor</v>
      </c>
    </row>
    <row r="94" spans="1:1" x14ac:dyDescent="0.25">
      <c r="A94" t="e">
        <f xml:space="preserve"> 'in progress'!#REF!</f>
        <v>#REF!</v>
      </c>
    </row>
    <row r="95" spans="1:1" x14ac:dyDescent="0.25">
      <c r="A95" t="e">
        <f xml:space="preserve"> 'in progress'!B32</f>
        <v>#VALUE!</v>
      </c>
    </row>
    <row r="96" spans="1:1" x14ac:dyDescent="0.25">
      <c r="A96" t="e">
        <f xml:space="preserve"> 'in progress'!B33</f>
        <v>#VALUE!</v>
      </c>
    </row>
    <row r="97" spans="1:1" x14ac:dyDescent="0.25">
      <c r="A97" t="e">
        <f xml:space="preserve"> 'in progress'!B34</f>
        <v>#VALUE!</v>
      </c>
    </row>
    <row r="98" spans="1:1" x14ac:dyDescent="0.25">
      <c r="A98" t="e">
        <f xml:space="preserve"> 'in progress'!B35</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9" sqref="B19"/>
    </sheetView>
  </sheetViews>
  <sheetFormatPr defaultRowHeight="15" x14ac:dyDescent="0.25"/>
  <cols>
    <col min="1" max="1" width="28.28515625" customWidth="1"/>
    <col min="2" max="2" width="140.42578125" customWidth="1"/>
  </cols>
  <sheetData>
    <row r="1" spans="1:7" x14ac:dyDescent="0.25">
      <c r="A1" s="38" t="s">
        <v>38</v>
      </c>
      <c r="B1" s="39"/>
      <c r="C1" s="39"/>
      <c r="D1" s="39"/>
      <c r="E1" s="39"/>
      <c r="F1" s="39"/>
      <c r="G1" s="39"/>
    </row>
    <row r="2" spans="1:7" x14ac:dyDescent="0.25">
      <c r="A2" s="39"/>
      <c r="B2" s="39"/>
      <c r="C2" s="39"/>
      <c r="D2" s="39"/>
      <c r="E2" s="39"/>
      <c r="F2" s="39"/>
      <c r="G2" s="39"/>
    </row>
    <row r="3" spans="1:7" x14ac:dyDescent="0.25">
      <c r="A3" s="39"/>
      <c r="B3" s="39"/>
      <c r="C3" s="39"/>
      <c r="D3" s="39"/>
      <c r="E3" s="39"/>
      <c r="F3" s="39"/>
      <c r="G3" s="39"/>
    </row>
    <row r="4" spans="1:7" x14ac:dyDescent="0.25">
      <c r="A4" s="39"/>
      <c r="B4" s="39"/>
      <c r="C4" s="39"/>
      <c r="D4" s="39"/>
      <c r="E4" s="39"/>
      <c r="F4" s="39"/>
      <c r="G4" s="39"/>
    </row>
    <row r="5" spans="1:7" x14ac:dyDescent="0.25">
      <c r="A5" s="39"/>
      <c r="B5" s="39"/>
      <c r="C5" s="39"/>
      <c r="D5" s="39"/>
      <c r="E5" s="39"/>
      <c r="F5" s="39"/>
      <c r="G5" s="39"/>
    </row>
    <row r="6" spans="1:7" x14ac:dyDescent="0.25">
      <c r="A6" s="39"/>
      <c r="B6" s="39"/>
      <c r="C6" s="39"/>
      <c r="D6" s="39"/>
      <c r="E6" s="39"/>
      <c r="F6" s="39"/>
      <c r="G6" s="39"/>
    </row>
    <row r="7" spans="1:7" x14ac:dyDescent="0.25">
      <c r="A7" s="39"/>
      <c r="B7" s="39"/>
      <c r="C7" s="39"/>
      <c r="D7" s="39"/>
      <c r="E7" s="39"/>
      <c r="F7" s="39"/>
      <c r="G7" s="39"/>
    </row>
    <row r="8" spans="1:7" x14ac:dyDescent="0.25">
      <c r="A8" s="39"/>
      <c r="B8" s="39"/>
      <c r="C8" s="39"/>
      <c r="D8" s="39"/>
      <c r="E8" s="39"/>
      <c r="F8" s="39"/>
      <c r="G8" s="39"/>
    </row>
    <row r="9" spans="1:7" x14ac:dyDescent="0.25">
      <c r="A9" s="39"/>
      <c r="B9" s="39"/>
      <c r="C9" s="39"/>
      <c r="D9" s="39"/>
      <c r="E9" s="39"/>
      <c r="F9" s="39"/>
      <c r="G9" s="39"/>
    </row>
    <row r="10" spans="1:7" x14ac:dyDescent="0.25">
      <c r="A10" s="39"/>
      <c r="B10" s="39"/>
      <c r="C10" s="39"/>
      <c r="D10" s="39"/>
      <c r="E10" s="39"/>
      <c r="F10" s="39"/>
      <c r="G10" s="39"/>
    </row>
    <row r="11" spans="1:7" x14ac:dyDescent="0.25">
      <c r="A11" s="39"/>
      <c r="B11" s="39"/>
      <c r="C11" s="39"/>
      <c r="D11" s="39"/>
      <c r="E11" s="39"/>
      <c r="F11" s="39"/>
      <c r="G11" s="39"/>
    </row>
    <row r="12" spans="1:7" x14ac:dyDescent="0.25">
      <c r="A12" s="39"/>
      <c r="B12" s="39"/>
      <c r="C12" s="39"/>
      <c r="D12" s="39"/>
      <c r="E12" s="39"/>
      <c r="F12" s="39"/>
      <c r="G12" s="39"/>
    </row>
    <row r="13" spans="1:7" x14ac:dyDescent="0.25">
      <c r="A13" s="39"/>
      <c r="B13" s="39"/>
      <c r="C13" s="39"/>
      <c r="D13" s="39"/>
      <c r="E13" s="39"/>
      <c r="F13" s="39"/>
      <c r="G13" s="39"/>
    </row>
    <row r="14" spans="1:7" x14ac:dyDescent="0.25">
      <c r="A14" s="39"/>
      <c r="B14" s="39"/>
      <c r="C14" s="39"/>
      <c r="D14" s="39"/>
      <c r="E14" s="39"/>
      <c r="F14" s="39"/>
      <c r="G14" s="39"/>
    </row>
    <row r="15" spans="1:7" x14ac:dyDescent="0.25">
      <c r="A15" s="39"/>
      <c r="B15" s="39"/>
      <c r="C15" s="39"/>
      <c r="D15" s="39"/>
      <c r="E15" s="39"/>
      <c r="F15" s="39"/>
      <c r="G15" s="39"/>
    </row>
    <row r="16" spans="1:7" x14ac:dyDescent="0.25">
      <c r="B16" s="12" t="s">
        <v>49</v>
      </c>
    </row>
    <row r="17" spans="2:2" x14ac:dyDescent="0.25">
      <c r="B17" t="s">
        <v>50</v>
      </c>
    </row>
    <row r="18" spans="2:2" x14ac:dyDescent="0.25">
      <c r="B18" t="s">
        <v>52</v>
      </c>
    </row>
    <row r="19" spans="2:2" x14ac:dyDescent="0.25">
      <c r="B19" t="s">
        <v>53</v>
      </c>
    </row>
    <row r="20" spans="2:2" ht="15.75" thickBot="1" x14ac:dyDescent="0.3">
      <c r="B20" s="28" t="e">
        <f ca="1" xml:space="preserve"> IF(#REF!="done",TEXT(TODAY(),"m.d.yy")&amp;" Reach out to trading partner",TEXT(TODAY(),"m.d.yy")&amp;" "&amp;#REF!)</f>
        <v>#REF!</v>
      </c>
    </row>
    <row r="21" spans="2:2" x14ac:dyDescent="0.25">
      <c r="B21" s="17" t="e">
        <f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33</v>
      </c>
      <c r="B1" t="s">
        <v>34</v>
      </c>
      <c r="C1" t="s">
        <v>32</v>
      </c>
      <c r="D1" t="s">
        <v>37</v>
      </c>
      <c r="E1" t="s">
        <v>35</v>
      </c>
      <c r="F1" t="s">
        <v>36</v>
      </c>
    </row>
    <row r="2" spans="1:6" x14ac:dyDescent="0.25">
      <c r="A2" t="s">
        <v>21</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22</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23</v>
      </c>
      <c r="B4" t="str">
        <f t="shared" si="0"/>
        <v>1050778400</v>
      </c>
      <c r="C4" t="str">
        <f t="shared" si="1"/>
        <v>Burlington Coat Factory Unknown</v>
      </c>
      <c r="D4" t="str">
        <f t="shared" si="2"/>
        <v>Burlington Coat Factory</v>
      </c>
      <c r="E4" t="str">
        <f t="shared" si="3"/>
        <v>Unknown</v>
      </c>
      <c r="F4" t="str">
        <f t="shared" si="4"/>
        <v>Unknown</v>
      </c>
    </row>
    <row r="5" spans="1:6" x14ac:dyDescent="0.25">
      <c r="A5" t="s">
        <v>24</v>
      </c>
      <c r="B5" t="str">
        <f t="shared" si="0"/>
        <v>1050778401</v>
      </c>
      <c r="C5" t="str">
        <f t="shared" si="1"/>
        <v>Burlington Coat Factory Unknown</v>
      </c>
      <c r="D5" t="str">
        <f t="shared" si="2"/>
        <v>Burlington Coat Factory</v>
      </c>
      <c r="E5" t="str">
        <f t="shared" si="3"/>
        <v>Unknown</v>
      </c>
      <c r="F5" t="str">
        <f t="shared" si="4"/>
        <v>Unknown</v>
      </c>
    </row>
    <row r="6" spans="1:6" x14ac:dyDescent="0.25">
      <c r="A6" t="s">
        <v>25</v>
      </c>
      <c r="B6" t="str">
        <f t="shared" si="0"/>
        <v>1050778402</v>
      </c>
      <c r="C6" t="str">
        <f t="shared" si="1"/>
        <v>Burlington Coat Factory Unknown</v>
      </c>
      <c r="D6" t="str">
        <f t="shared" si="2"/>
        <v>Burlington Coat Factory</v>
      </c>
      <c r="E6" t="str">
        <f t="shared" si="3"/>
        <v>Unknown</v>
      </c>
      <c r="F6" t="str">
        <f t="shared" si="4"/>
        <v>Unknown</v>
      </c>
    </row>
    <row r="7" spans="1:6" x14ac:dyDescent="0.25">
      <c r="A7" t="s">
        <v>26</v>
      </c>
      <c r="B7" t="str">
        <f t="shared" si="0"/>
        <v>1050778403</v>
      </c>
      <c r="C7" t="str">
        <f t="shared" si="1"/>
        <v>Burlington Coat Factory Unknown</v>
      </c>
      <c r="D7" t="str">
        <f t="shared" si="2"/>
        <v>Burlington Coat Factory</v>
      </c>
      <c r="E7" t="str">
        <f t="shared" si="3"/>
        <v>Unknown</v>
      </c>
      <c r="F7" t="str">
        <f t="shared" si="4"/>
        <v>Unknown</v>
      </c>
    </row>
    <row r="8" spans="1:6" x14ac:dyDescent="0.25">
      <c r="A8" t="s">
        <v>27</v>
      </c>
      <c r="B8" t="str">
        <f t="shared" si="0"/>
        <v>1050778404</v>
      </c>
      <c r="C8" t="str">
        <f t="shared" si="1"/>
        <v>Burlington Coat Factory Unknown</v>
      </c>
      <c r="D8" t="str">
        <f t="shared" si="2"/>
        <v>Burlington Coat Factory</v>
      </c>
      <c r="E8" t="str">
        <f t="shared" si="3"/>
        <v>Unknown</v>
      </c>
      <c r="F8" t="str">
        <f t="shared" si="4"/>
        <v>Unknown</v>
      </c>
    </row>
    <row r="9" spans="1:6" x14ac:dyDescent="0.25">
      <c r="A9" t="s">
        <v>28</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29</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30</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31</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partner</vt:lpstr>
      <vt:lpstr>Sheet1</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2021-10-15T09:59:02Z</dcterms:modified>
</cp:coreProperties>
</file>