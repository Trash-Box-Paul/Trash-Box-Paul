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1" i="1" l="1"/>
  <c r="C21" i="1"/>
  <c r="B20" i="1"/>
  <c r="B30" i="1"/>
  <c r="B6" i="1" l="1"/>
  <c r="C6" i="1"/>
  <c r="E6" i="1"/>
  <c r="B23" i="1" l="1"/>
  <c r="B25" i="1"/>
  <c r="B27" i="1"/>
  <c r="B28" i="1"/>
  <c r="B22" i="1"/>
  <c r="B19" i="1"/>
  <c r="B26" i="1"/>
  <c r="C22" i="1"/>
  <c r="B3" i="1" l="1"/>
  <c r="B7" i="1"/>
  <c r="B5" i="1"/>
  <c r="B2" i="1"/>
  <c r="B8" i="1"/>
  <c r="B4" i="1"/>
  <c r="B17" i="1"/>
  <c r="B14" i="1"/>
  <c r="B10" i="1"/>
  <c r="B12" i="1"/>
  <c r="B11" i="1"/>
  <c r="B13" i="1"/>
  <c r="B18" i="1"/>
  <c r="B9" i="1"/>
  <c r="E19" i="1" l="1"/>
  <c r="E22" i="1" l="1"/>
  <c r="E30" i="1"/>
  <c r="E3" i="1"/>
  <c r="E7" i="1"/>
  <c r="E5" i="1"/>
  <c r="E2" i="1"/>
  <c r="E8" i="1"/>
  <c r="E4" i="1"/>
  <c r="E17" i="1"/>
  <c r="E14" i="1"/>
  <c r="E10" i="1"/>
  <c r="E12" i="1"/>
  <c r="E11" i="1"/>
  <c r="E13" i="1"/>
  <c r="E18" i="1"/>
  <c r="E9" i="1"/>
  <c r="E15" i="1"/>
  <c r="E16"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B21" i="3" l="1"/>
  <c r="B20" i="3"/>
  <c r="E23" i="1" l="1"/>
  <c r="E29" i="1" l="1"/>
  <c r="E21" i="1"/>
  <c r="E26" i="1"/>
  <c r="E20" i="1" l="1"/>
  <c r="A3" i="4" l="1"/>
  <c r="B29" i="1"/>
  <c r="A41" i="4" s="1"/>
  <c r="B24" i="1"/>
  <c r="A70" i="4"/>
  <c r="A78" i="4"/>
  <c r="A84" i="4"/>
  <c r="A85" i="4"/>
  <c r="B15" i="1"/>
  <c r="B16" i="1"/>
  <c r="A94" i="4"/>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C20" i="1"/>
  <c r="C29" i="1"/>
  <c r="C23" i="1"/>
  <c r="C19" i="1"/>
  <c r="C26" i="1"/>
  <c r="C28" i="1"/>
  <c r="C25" i="1"/>
  <c r="C24" i="1"/>
  <c r="C27" i="1"/>
  <c r="C30" i="1"/>
  <c r="C3" i="1"/>
  <c r="C7" i="1"/>
  <c r="C5" i="1"/>
  <c r="C2" i="1"/>
  <c r="C8" i="1"/>
  <c r="C4" i="1"/>
  <c r="C17" i="1"/>
  <c r="C14" i="1"/>
  <c r="C10" i="1"/>
  <c r="C12" i="1"/>
  <c r="C11" i="1"/>
  <c r="C13" i="1"/>
  <c r="C18" i="1"/>
  <c r="C9" i="1"/>
  <c r="C15" i="1"/>
  <c r="C16"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A92" i="4" l="1"/>
  <c r="A77" i="4"/>
  <c r="A95" i="4"/>
  <c r="A98" i="4"/>
  <c r="A90" i="4"/>
  <c r="A82" i="4"/>
  <c r="A96" i="4"/>
  <c r="A88" i="4"/>
  <c r="A80" i="4"/>
  <c r="A87" i="4"/>
  <c r="A93" i="4"/>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57" i="1"/>
  <c r="F156" i="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16" i="1"/>
  <c r="G16" i="1" s="1"/>
  <c r="F15" i="1"/>
  <c r="G15" i="1" s="1"/>
  <c r="F9" i="1"/>
  <c r="G9" i="1" s="1"/>
  <c r="F18" i="1"/>
  <c r="G18" i="1" s="1"/>
  <c r="F13" i="1"/>
  <c r="G13" i="1" s="1"/>
  <c r="F11" i="1"/>
  <c r="G11" i="1" s="1"/>
  <c r="F12" i="1"/>
  <c r="G12" i="1" s="1"/>
  <c r="F10" i="1"/>
  <c r="G10" i="1" s="1"/>
  <c r="F14" i="1"/>
  <c r="G14" i="1" s="1"/>
  <c r="F17" i="1"/>
  <c r="G17" i="1" s="1"/>
  <c r="F4" i="1"/>
  <c r="G4" i="1" s="1"/>
  <c r="F8" i="1"/>
  <c r="G8" i="1" s="1"/>
  <c r="F2" i="1"/>
  <c r="G2" i="1" s="1"/>
  <c r="F5" i="1"/>
  <c r="G5" i="1" s="1"/>
  <c r="F7" i="1"/>
  <c r="G7" i="1" s="1"/>
  <c r="F3" i="1"/>
  <c r="G3" i="1" s="1"/>
  <c r="F30" i="1"/>
  <c r="G30" i="1" s="1"/>
  <c r="F22" i="1"/>
  <c r="G22" i="1" s="1"/>
  <c r="F26" i="1"/>
  <c r="G26" i="1" s="1"/>
  <c r="F19" i="1"/>
  <c r="G19" i="1" s="1"/>
  <c r="F21" i="1"/>
  <c r="G21" i="1" s="1"/>
  <c r="F23" i="1"/>
  <c r="G23" i="1" s="1"/>
  <c r="F29" i="1"/>
  <c r="G29" i="1" s="1"/>
  <c r="F20" i="1"/>
  <c r="G20" i="1" s="1"/>
  <c r="F6" i="1"/>
  <c r="G6" i="1" s="1"/>
  <c r="E25" i="1"/>
  <c r="F25" i="1" s="1"/>
  <c r="G25" i="1" s="1"/>
  <c r="E27" i="1"/>
  <c r="F27" i="1" s="1"/>
  <c r="G27" i="1" s="1"/>
  <c r="E28" i="1"/>
  <c r="F28" i="1" s="1"/>
  <c r="G28" i="1" s="1"/>
  <c r="E24" i="1"/>
  <c r="F24" i="1" s="1"/>
  <c r="G24" i="1" s="1"/>
  <c r="E5" i="2"/>
  <c r="D26" i="2"/>
  <c r="D7" i="2"/>
  <c r="E21" i="2"/>
  <c r="D5" i="2"/>
  <c r="D30" i="2"/>
  <c r="D6" i="2"/>
  <c r="D8" i="2"/>
  <c r="E3" i="2"/>
  <c r="D24" i="2"/>
  <c r="E35" i="2"/>
  <c r="E34" i="2"/>
  <c r="E4" i="2"/>
  <c r="E31" i="2"/>
  <c r="E15" i="2"/>
  <c r="E16" i="2"/>
  <c r="D28" i="2"/>
  <c r="D29" i="2"/>
  <c r="D27" i="2"/>
  <c r="D23" i="2"/>
  <c r="D21" i="2"/>
  <c r="E12" i="2"/>
  <c r="D19" i="2"/>
  <c r="D13" i="2"/>
  <c r="E14" i="2"/>
  <c r="D10" i="2"/>
  <c r="E20" i="2"/>
  <c r="E33" i="2"/>
  <c r="E23" i="2"/>
  <c r="D2" i="2"/>
  <c r="D15" i="2"/>
  <c r="E22" i="2"/>
  <c r="E2" i="2"/>
  <c r="E19" i="2"/>
  <c r="E29" i="2"/>
  <c r="E26" i="2"/>
  <c r="E10" i="2"/>
  <c r="E30" i="2"/>
  <c r="E28" i="2"/>
  <c r="D12" i="2"/>
  <c r="D20" i="2"/>
  <c r="D31" i="2"/>
  <c r="D4" i="2"/>
  <c r="D18" i="2"/>
  <c r="E7" i="2"/>
  <c r="D11" i="2"/>
  <c r="E27" i="2"/>
  <c r="D22" i="2"/>
  <c r="D9" i="2"/>
  <c r="D14" i="2"/>
  <c r="E9" i="2"/>
  <c r="E13" i="2"/>
  <c r="E25" i="2"/>
  <c r="E11" i="2"/>
  <c r="D25" i="2"/>
  <c r="D3" i="2"/>
  <c r="E18" i="2"/>
  <c r="E32" i="2"/>
  <c r="E17" i="2"/>
  <c r="E6" i="2"/>
  <c r="D17" i="2"/>
  <c r="E8" i="2"/>
  <c r="E24" i="2"/>
  <c r="D16" i="2"/>
</calcChain>
</file>

<file path=xl/sharedStrings.xml><?xml version="1.0" encoding="utf-8"?>
<sst xmlns="http://schemas.openxmlformats.org/spreadsheetml/2006/main" count="140" uniqueCount="120">
  <si>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</si>
  <si>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</si>
  <si>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</si>
  <si>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</si>
  <si>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</si>
  <si>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</si>
  <si>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</si>
  <si>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</si>
  <si>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</si>
  <si>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</si>
  <si>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</si>
  <si>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</si>
  <si>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</si>
  <si>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</si>
  <si>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</si>
  <si>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</si>
  <si>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</si>
  <si>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</si>
  <si>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</si>
  <si>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</si>
  <si>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</si>
  <si>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</si>
  <si>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</si>
  <si>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</si>
  <si>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</si>
  <si>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</si>
  <si>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</si>
  <si>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</si>
  <si>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</si>
  <si>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</si>
  <si>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</si>
  <si>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</si>
  <si>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</si>
  <si>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</si>
  <si>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</si>
  <si>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</si>
  <si>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</si>
  <si>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</si>
  <si>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</si>
  <si>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Startrack - 3PL : New Trading Partner Setup</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</si>
  <si>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</si>
  <si>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</si>
  <si>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</si>
  <si>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</si>
  <si>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</si>
  <si>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</si>
  <si>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</si>
  <si>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</si>
  <si>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</si>
  <si>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</si>
  <si>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</si>
  <si>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</si>
  <si>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</si>
  <si>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</si>
  <si>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</si>
  <si>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</si>
  <si>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</si>
  <si>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</si>
  <si>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</si>
  <si>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</si>
  <si>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Martha Stewart : New Trading Partner Setup</t>
  </si>
  <si>
    <t>Testing : Pure Country West : New Trading Partner Setup</t>
  </si>
  <si>
    <t>rebeccab@purecountry.com</t>
  </si>
  <si>
    <t>Testing : Reny's - Down East Wholesalers : New Trading Partner Setup</t>
  </si>
  <si>
    <t>Testing : Ollie's Bargain Outlet : New Trading Partner Setup</t>
  </si>
  <si>
    <t>Testing : Humanscale : New Trading Partner Setup</t>
  </si>
  <si>
    <t>Testing : Raynor Gaming : New Trading Partner Setup</t>
  </si>
  <si>
    <t>Laura.Tobia@bgfoods.com</t>
  </si>
  <si>
    <t>dgrossman@raynorgroup.com</t>
  </si>
  <si>
    <t>Testing : Abilityone : New Trading Partner Setup</t>
  </si>
  <si>
    <t>Testing : C2wireless SPS Vendor : New Trading Partner Setup</t>
  </si>
  <si>
    <t>nkumar@nib.org</t>
  </si>
  <si>
    <t>Cstokes@c2wdistribution.com</t>
  </si>
  <si>
    <t>10.9.21 Assign a mapping case: 
9.30.21 Reach out to new Contacts again
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</si>
  <si>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Testing : Herregan Distributors Inc. : New Trading Partner Setup</t>
  </si>
  <si>
    <t>Testing : Wika Vendor : New Trading Partner Setup</t>
  </si>
  <si>
    <t>Testing : Radiant Wheels : New Trading Partner Setup</t>
  </si>
  <si>
    <t>Testing : HD Supply - White Cap : New Trading Partner Setup</t>
  </si>
  <si>
    <t>Testing : Wormser Corporation-Jaguar Freight XML : New Trading Partner Setup</t>
  </si>
  <si>
    <t>Testing : Radial : New Trading Partner Setup</t>
  </si>
  <si>
    <t>Testing : Tower Automotive - Bellevue : New Trading Partner Setup</t>
  </si>
  <si>
    <t>Testing : Rhenus Contract Logistics - VSC : New Trading Partner Setup</t>
  </si>
  <si>
    <t>Testing : Essendant : New Trading Partner SetupTesting : Warehouse Direct : New Trading Partner Setup</t>
  </si>
  <si>
    <t>Testing : Guitar Center - XML Trading Partner : New Trading Partner Setup</t>
  </si>
  <si>
    <t>Testing : Georges Music XML : New Trading Partner Setup</t>
  </si>
  <si>
    <t>Testing : RG Sellers : New Trading Partner Setup</t>
  </si>
  <si>
    <t>Testing : Valley Bakers : New Trading Partner Setup</t>
  </si>
  <si>
    <t>Testing : Del Mar Fans : New Trading Partner Setup</t>
  </si>
  <si>
    <t>Testing : Stego Germany : New Trading Partner Setup</t>
  </si>
  <si>
    <t>Testing : Sun &amp; Ski Sports : New Trading Partner Setup</t>
  </si>
  <si>
    <t>10.9.21 Reach out to trading partner: 1</t>
  </si>
  <si>
    <t>10.11.21 Reach out to trading partner: 1</t>
  </si>
  <si>
    <t>dgartman@gartman.com</t>
  </si>
  <si>
    <t>Cheryl.Thornton@wika.com</t>
  </si>
  <si>
    <t>spande@radiantdelivers.com</t>
  </si>
  <si>
    <t>Multiple Records</t>
  </si>
  <si>
    <t>JoAnn.Leadbeter@hdsupply.com</t>
  </si>
  <si>
    <t>terrence.bisch@hdsupply.com</t>
  </si>
  <si>
    <t>annmarie@wormsergroup.com</t>
  </si>
  <si>
    <t>Armin@jaguarfreight.com</t>
  </si>
  <si>
    <t>kseibel@autokiniton.com</t>
  </si>
  <si>
    <t>gc@gc.com</t>
  </si>
  <si>
    <t>Mike.Smith@valleybakers.com</t>
  </si>
  <si>
    <t>AshleyD@delmarfans.com</t>
  </si>
  <si>
    <t>ddeschner@Stego.de</t>
  </si>
  <si>
    <t>criley@sunandski.com</t>
  </si>
  <si>
    <t>johnnielboswell@dicentral.com</t>
  </si>
  <si>
    <t>10.13.21 Waiting for FTP credential frome RevCascade
10.8.21 Reach out to RevCascade again:2
9.28.21 Reach out to RevCascade again
9.22.21 Assign a mapping case: 13866980
9.15.21 Reach out to trading partner:3
9.6.21 Reach out to trading partner:2
8.27.21 Reach out to trading partner</t>
  </si>
  <si>
    <t>10.14.21 Reach out to trading partner:3
10.8.21 Reach out to trading partner:2
9.27.21 Reaching out to trading partner</t>
  </si>
  <si>
    <t>10.14.21 Reach our to Brad for contact
10.8.21 Waiting for  contact from Adam
9.26.21 Waiting for  contact from Adam
9.22.21 Waiting for  contact from Adam
9.10.21 Waiting for  contact 
9.3.21 Reach out to IM for a contact
8.27.21 Reach out to IM for a contact</t>
  </si>
  <si>
    <t xml:space="preserve">
10.14.21 Waiting for the updates
10.8.21 Reach out to trading partner:2
9.27.21 Reaching out to trading partner</t>
  </si>
  <si>
    <t>10.14.21 Reach out to Ravi again
10.8.21 Assign a mapping case: 13908268
9.29.21 Ask for a spec
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</si>
  <si>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10.14.21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</si>
  <si>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10.15.21 submitted a Map case: 13933538
10.8.21 Reach out to Brad for transaction type
9.29.21 Reach out to a contact
9.24.21 Reach out to Brad for a contact of Humanscale
9.17.21 No Contacts</t>
  </si>
  <si>
    <t>10.15.21 Reach out to new contact:2
10.8.21 Reach out to new contact:1
9.26.21 Reach out to TP:2
9.17.21 Reach out to trading partner</t>
  </si>
  <si>
    <t>10.15.21 Reach out to Bill agian
10.8.21 Reach out to Bill again
9.28.21 Waiting for reply from Bill
9.22.21 Reach out to trading partenr:2
9.13.21 Reach out to trading partner</t>
  </si>
  <si>
    <t>10.15.21 Ask Brad for a new contact
10.8.21 Reach out to TP:3
9.26.21 Reach out to TP:2
9.17.21 Reach out to trading partner</t>
  </si>
  <si>
    <t>10.15.21 Reach out to contact again:2
10.8.21 Reach out to new contact:1
9.26.21 Reach out to TP:2
9.17.21 Reach out to trading partner</t>
  </si>
  <si>
    <t>10.15.21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</si>
  <si>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10.18.21 Reach out to trading partner: 2
10.9.21 Reach out to trading partner: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</si>
</sst>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39">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0" fontId="7" fillId="6" borderId="0" xfId="0" applyFont="1" applyFill="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6" borderId="0" xfId="0" applyFont="1" applyFill="1" applyBorder="1" applyAlignment="1">
      <alignment horizontal="left" vertical="top"/>
    </xf>
    <xf numFmtId="0" fontId="2" fillId="0" borderId="0" xfId="0" applyFont="1" applyAlignment="1"/>
    <xf numFmtId="0" fontId="2" fillId="0" borderId="0" xfId="0" applyFont="1" applyBorder="1" applyAlignment="1"/>
    <xf numFmtId="0" fontId="4" fillId="0" borderId="0" xfId="3" applyAlignment="1"/>
    <xf numFmtId="0" fontId="2" fillId="0" borderId="2" xfId="0" applyFont="1" applyBorder="1" applyAlignment="1"/>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0" fontId="2" fillId="6" borderId="2" xfId="0" applyFont="1" applyFill="1" applyBorder="1" applyAlignment="1">
      <alignment horizontal="left" vertic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57" totalsRowShown="0" headerRowDxfId="33" dataDxfId="32" headerRowCellStyle="Check Cell" dataCellStyle="Normal">
  <autoFilter ref="A1:AB157"/>
  <sortState ref="A2:AB158">
    <sortCondition ref="G1:G158"/>
  </sortState>
  <tableColumns count="28">
    <tableColumn id="1" name="PSA Task Name" dataDxfId="31" dataCellStyle="Normal"/>
    <tableColumn id="2" name="Customer  Name" dataDxfId="30" dataCellStyle="Normal">
      <calculatedColumnFormula xml:space="preserve"> MID(A2,SEARCH(":",A2)+2,SEARCH(":",A2,SEARCH(":",A2)+1)-SEARCH(":",A2)-3)</calculatedColumnFormula>
    </tableColumn>
    <tableColumn id="3" name="Partner Name2" dataDxfId="29" dataCellStyle="Normal">
      <calculatedColumnFormula>"part:"&amp;MID(A2,SEARCH(":",A2)+1,SEARCH(":",A2,SEARCH(":",A2)+1)-SEARCH(":",A2)-1)</calculatedColumnFormula>
    </tableColumn>
    <tableColumn id="29" name="Notes" dataDxfId="28"/>
    <tableColumn id="4" name="Latest Note" dataDxfId="27" dataCellStyle="Normal"/>
    <tableColumn id="5" name="4/30/21" dataDxfId="26" dataCellStyle="Normal">
      <calculatedColumnFormula>DATEVALUE(SUBSTITUTE(LEFT(E2,SEARCH(" ",E2)-1),".","/"))</calculatedColumnFormula>
    </tableColumn>
    <tableColumn id="6" name="Date" dataDxfId="25" dataCellStyle="Normal"/>
    <tableColumn id="7" name="Contact" dataDxfId="24" dataCellStyle="Normal"/>
    <tableColumn id="8" name="Email" dataDxfId="23" dataCellStyle="Normal"/>
    <tableColumn id="9" name="Column1" dataDxfId="22" dataCellStyle="Normal"/>
    <tableColumn id="10" name="directions" dataDxfId="21" dataCellStyle="Normal"/>
    <tableColumn id="11" name="Specs" dataDxfId="20" dataCellStyle="Normal"/>
    <tableColumn id="12" name="EDI ID" dataDxfId="19" dataCellStyle="Normal"/>
    <tableColumn id="13" name="Van/AS2/FTP" dataDxfId="18" dataCellStyle="Normal"/>
    <tableColumn id="14" name="Column10" dataDxfId="17" dataCellStyle="Normal"/>
    <tableColumn id="15" name="Column11" dataDxfId="16" dataCellStyle="Normal"/>
    <tableColumn id="16" name="Column12" dataDxfId="15" dataCellStyle="Normal"/>
    <tableColumn id="17" name="Column13" dataDxfId="14" dataCellStyle="Normal"/>
    <tableColumn id="18" name="Column14" dataDxfId="13" dataCellStyle="Normal"/>
    <tableColumn id="19" name="Column15" dataDxfId="12" dataCellStyle="Normal"/>
    <tableColumn id="20" name="Column16" dataDxfId="11" dataCellStyle="Normal"/>
    <tableColumn id="21" name="Column17" dataDxfId="10" dataCellStyle="Normal"/>
    <tableColumn id="22" name="Column18" dataDxfId="9" dataCellStyle="Normal"/>
    <tableColumn id="23" name="Column19" dataDxfId="8" dataCellStyle="Normal"/>
    <tableColumn id="24" name="Column20" dataDxfId="7" dataCellStyle="Normal"/>
    <tableColumn id="25" name="Column21" dataDxfId="6" dataCellStyle="Normal"/>
    <tableColumn id="26" name="Column22" dataDxfId="5" dataCellStyle="Normal"/>
    <tableColumn id="27" name="Column23" dataDxfId="4"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57"/>
  <sheetViews>
    <sheetView tabSelected="1" zoomScale="85" zoomScaleNormal="85" workbookViewId="0">
      <selection activeCell="B20" sqref="B20"/>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55</v>
      </c>
      <c r="C1" s="1" t="s">
        <v>12</v>
      </c>
      <c r="D1" s="15" t="s">
        <v>51</v>
      </c>
      <c r="E1" s="1" t="s">
        <v>13</v>
      </c>
      <c r="F1" s="1" t="s">
        <v>14</v>
      </c>
      <c r="G1" s="6" t="s">
        <v>15</v>
      </c>
      <c r="H1" s="1" t="s">
        <v>16</v>
      </c>
      <c r="I1" s="1" t="s">
        <v>17</v>
      </c>
      <c r="J1" s="10" t="s">
        <v>46</v>
      </c>
      <c r="K1" s="1" t="s">
        <v>42</v>
      </c>
      <c r="L1" s="1" t="s">
        <v>43</v>
      </c>
      <c r="M1" s="1" t="s">
        <v>44</v>
      </c>
      <c r="N1" s="1" t="s">
        <v>45</v>
      </c>
      <c r="O1" s="1" t="s">
        <v>0</v>
      </c>
      <c r="P1" s="8" t="s">
        <v>1</v>
      </c>
      <c r="Q1" s="8" t="s">
        <v>2</v>
      </c>
      <c r="R1" s="8" t="s">
        <v>3</v>
      </c>
      <c r="S1" s="9" t="s">
        <v>4</v>
      </c>
      <c r="T1" s="9" t="s">
        <v>5</v>
      </c>
      <c r="U1" s="9" t="s">
        <v>6</v>
      </c>
      <c r="V1" s="9" t="s">
        <v>7</v>
      </c>
      <c r="W1" s="9" t="s">
        <v>8</v>
      </c>
      <c r="X1" s="9" t="s">
        <v>9</v>
      </c>
      <c r="Y1" s="9" t="s">
        <v>10</v>
      </c>
      <c r="Z1" s="9" t="s">
        <v>18</v>
      </c>
      <c r="AA1" s="9" t="s">
        <v>19</v>
      </c>
      <c r="AB1" s="9" t="s">
        <v>20</v>
      </c>
    </row>
    <row r="2" spans="1:28" ht="30.75" thickTop="1" x14ac:dyDescent="0.25">
      <c r="A2" s="31" t="s">
        <v>77</v>
      </c>
      <c r="B2" s="16" t="str">
        <f xml:space="preserve"> MID(A2,SEARCH(":",A2)+2,SEARCH(":",A2,SEARCH(":",A2)+1)-SEARCH(":",A2)-3)</f>
        <v>HD Supply - White Cap</v>
      </c>
      <c r="C2" s="15" t="str">
        <f>"part:"&amp;MID(A2,SEARCH(":",A2)+1,SEARCH(":",A2,SEARCH(":",A2)+1)-SEARCH(":",A2)-1)</f>
        <v xml:space="preserve">part: HD Supply - White Cap </v>
      </c>
      <c r="D2" s="1" t="s">
        <v>119</v>
      </c>
      <c r="E2" s="15" t="str">
        <f>IF(Table2[[#This Row],[Notes]]="","",LEFT(Table2[[#This Row],[Notes]],FIND(CHAR(10),Table2[[#This Row],[Notes]]&amp;CHAR(10))-1))</f>
        <v>10.18.21 Reach out to trading partner: 2</v>
      </c>
      <c r="F2" s="15">
        <f>DATEVALUE(SUBSTITUTE(LEFT(E2,SEARCH(" ",E2)-1),".","/"))</f>
        <v>44487</v>
      </c>
      <c r="G2" s="20">
        <f ca="1">IF(ISERROR(F2),TODAY(),F2)</f>
        <v>44487</v>
      </c>
      <c r="H2" s="3" t="s">
        <v>96</v>
      </c>
      <c r="I2" s="3" t="s">
        <v>97</v>
      </c>
      <c r="J2" s="22"/>
      <c r="K2" s="15"/>
      <c r="L2" s="15"/>
      <c r="M2" s="15"/>
      <c r="N2" s="15"/>
      <c r="O2" s="15"/>
      <c r="P2" s="15"/>
      <c r="Q2" s="15"/>
      <c r="R2" s="15"/>
      <c r="S2" s="15"/>
      <c r="T2" s="15"/>
      <c r="U2" s="15"/>
      <c r="V2" s="15"/>
      <c r="W2" s="15"/>
      <c r="X2" s="15"/>
      <c r="Y2" s="15"/>
      <c r="Z2" s="15"/>
      <c r="AA2" s="15"/>
      <c r="AB2" s="15"/>
    </row>
    <row r="3" spans="1:28" ht="30" x14ac:dyDescent="0.25">
      <c r="A3" s="31" t="s">
        <v>74</v>
      </c>
      <c r="B3" s="16" t="str">
        <f xml:space="preserve"> MID(A3,SEARCH(":",A3)+2,SEARCH(":",A3,SEARCH(":",A3)+1)-SEARCH(":",A3)-3)</f>
        <v>Herregan Distributors Inc.</v>
      </c>
      <c r="C3" s="15" t="str">
        <f>"part:"&amp;MID(A3,SEARCH(":",A3)+1,SEARCH(":",A3,SEARCH(":",A3)+1)-SEARCH(":",A3)-1)</f>
        <v xml:space="preserve">part: Herregan Distributors Inc. </v>
      </c>
      <c r="D3" s="1" t="s">
        <v>119</v>
      </c>
      <c r="E3" s="15" t="str">
        <f>IF(Table2[[#This Row],[Notes]]="","",LEFT(Table2[[#This Row],[Notes]],FIND(CHAR(10),Table2[[#This Row],[Notes]]&amp;CHAR(10))-1))</f>
        <v>10.18.21 Reach out to trading partner: 2</v>
      </c>
      <c r="F3" s="15">
        <f>DATEVALUE(SUBSTITUTE(LEFT(E3,SEARCH(" ",E3)-1),".","/"))</f>
        <v>44487</v>
      </c>
      <c r="G3" s="20">
        <f ca="1">IF(ISERROR(F3),TODAY(),F3)</f>
        <v>44487</v>
      </c>
      <c r="H3" s="3" t="s">
        <v>92</v>
      </c>
      <c r="J3" s="22"/>
      <c r="K3" s="15"/>
      <c r="L3" s="15"/>
      <c r="M3" s="15"/>
      <c r="N3" s="15"/>
      <c r="O3" s="15"/>
      <c r="P3" s="15"/>
      <c r="Q3" s="15"/>
      <c r="R3" s="15"/>
      <c r="S3" s="15"/>
      <c r="T3" s="15"/>
      <c r="U3" s="15"/>
      <c r="V3" s="15"/>
      <c r="W3" s="15"/>
      <c r="X3" s="15"/>
      <c r="Y3" s="15"/>
      <c r="Z3" s="15"/>
      <c r="AA3" s="15"/>
      <c r="AB3" s="15"/>
    </row>
    <row r="4" spans="1:28" x14ac:dyDescent="0.25">
      <c r="A4" s="31" t="s">
        <v>79</v>
      </c>
      <c r="B4" s="16" t="str">
        <f xml:space="preserve"> MID(A4,SEARCH(":",A4)+2,SEARCH(":",A4,SEARCH(":",A4)+1)-SEARCH(":",A4)-3)</f>
        <v>Radial</v>
      </c>
      <c r="C4" s="15" t="str">
        <f>"part:"&amp;MID(A4,SEARCH(":",A4)+1,SEARCH(":",A4,SEARCH(":",A4)+1)-SEARCH(":",A4)-1)</f>
        <v xml:space="preserve">part: Radial </v>
      </c>
      <c r="D4" s="15" t="s">
        <v>90</v>
      </c>
      <c r="E4" s="15" t="str">
        <f>IF(Table2[[#This Row],[Notes]]="","",LEFT(Table2[[#This Row],[Notes]],FIND(CHAR(10),Table2[[#This Row],[Notes]]&amp;CHAR(10))-1))</f>
        <v>10.9.21 Reach out to trading partner: 1</v>
      </c>
      <c r="F4" s="15">
        <f>DATEVALUE(SUBSTITUTE(LEFT(E4,SEARCH(" ",E4)-1),".","/"))</f>
        <v>44478</v>
      </c>
      <c r="G4" s="20">
        <f ca="1">IF(ISERROR(F4),TODAY(),F4)</f>
        <v>44478</v>
      </c>
      <c r="H4" s="3" t="s">
        <v>95</v>
      </c>
      <c r="J4" s="22"/>
      <c r="K4" s="15"/>
      <c r="L4" s="15"/>
      <c r="M4" s="15"/>
      <c r="N4" s="15"/>
      <c r="O4" s="15"/>
      <c r="P4" s="15"/>
      <c r="Q4" s="15"/>
      <c r="R4" s="15"/>
      <c r="S4" s="15"/>
      <c r="T4" s="15"/>
      <c r="U4" s="15"/>
      <c r="V4" s="15"/>
      <c r="W4" s="15"/>
      <c r="X4" s="15"/>
      <c r="Y4" s="15"/>
      <c r="Z4" s="15"/>
      <c r="AA4" s="15"/>
      <c r="AB4" s="15"/>
    </row>
    <row r="5" spans="1:28" s="1" customFormat="1" x14ac:dyDescent="0.25">
      <c r="A5" s="31" t="s">
        <v>76</v>
      </c>
      <c r="B5" s="16" t="str">
        <f xml:space="preserve"> MID(A5,SEARCH(":",A5)+2,SEARCH(":",A5,SEARCH(":",A5)+1)-SEARCH(":",A5)-3)</f>
        <v>Radiant Wheels</v>
      </c>
      <c r="C5" s="15" t="str">
        <f>"part:"&amp;MID(A5,SEARCH(":",A5)+1,SEARCH(":",A5,SEARCH(":",A5)+1)-SEARCH(":",A5)-1)</f>
        <v xml:space="preserve">part: Radiant Wheels </v>
      </c>
      <c r="D5" s="15" t="s">
        <v>90</v>
      </c>
      <c r="E5" s="15" t="str">
        <f>IF(Table2[[#This Row],[Notes]]="","",LEFT(Table2[[#This Row],[Notes]],FIND(CHAR(10),Table2[[#This Row],[Notes]]&amp;CHAR(10))-1))</f>
        <v>10.9.21 Reach out to trading partner: 1</v>
      </c>
      <c r="F5" s="15">
        <f>DATEVALUE(SUBSTITUTE(LEFT(E5,SEARCH(" ",E5)-1),".","/"))</f>
        <v>44478</v>
      </c>
      <c r="G5" s="20">
        <f ca="1">IF(ISERROR(F5),TODAY(),F5)</f>
        <v>44478</v>
      </c>
      <c r="H5" s="3" t="s">
        <v>41</v>
      </c>
      <c r="I5" s="3" t="s">
        <v>94</v>
      </c>
      <c r="J5" s="22"/>
      <c r="K5" s="15"/>
      <c r="L5" s="15"/>
      <c r="M5" s="15"/>
      <c r="N5" s="15"/>
      <c r="O5" s="15"/>
      <c r="P5" s="15"/>
      <c r="Q5" s="15"/>
      <c r="R5" s="15"/>
      <c r="S5" s="15"/>
      <c r="T5" s="15"/>
      <c r="U5" s="15"/>
      <c r="V5" s="15"/>
      <c r="W5" s="15"/>
      <c r="X5" s="15"/>
      <c r="Y5" s="15"/>
      <c r="Z5" s="15"/>
      <c r="AA5" s="15"/>
      <c r="AB5" s="15"/>
    </row>
    <row r="6" spans="1:28" x14ac:dyDescent="0.25">
      <c r="A6" s="30" t="s">
        <v>39</v>
      </c>
      <c r="B6" s="16" t="str">
        <f xml:space="preserve"> MID(A6,SEARCH(":",A6)+2,SEARCH(":",A6,SEARCH(":",A6)+1)-SEARCH(":",A6)-3)</f>
        <v>Startrack - 3PL</v>
      </c>
      <c r="C6" s="16" t="str">
        <f>"part:"&amp;MID(A6,SEARCH(":",A6)+1,SEARCH(":",A6,SEARCH(":",A6)+1)-SEARCH(":",A6)-1)</f>
        <v xml:space="preserve">part: Startrack - 3PL </v>
      </c>
      <c r="D6" s="16" t="s">
        <v>73</v>
      </c>
      <c r="E6" s="15" t="str">
        <f>IF(Table2[[#This Row],[Notes]]="","",LEFT(Table2[[#This Row],[Notes]],FIND(CHAR(10),Table2[[#This Row],[Notes]]&amp;CHAR(10))-1))</f>
        <v xml:space="preserve">10.9.21 Assign a mapping case: </v>
      </c>
      <c r="F6" s="16">
        <f>DATEVALUE(SUBSTITUTE(LEFT(E6,SEARCH(" ",E6)-1),".","/"))</f>
        <v>44478</v>
      </c>
      <c r="G6" s="20">
        <f ca="1">IF(ISERROR(F6),TODAY(),F6)</f>
        <v>44478</v>
      </c>
      <c r="H6" s="21" t="s">
        <v>40</v>
      </c>
      <c r="I6" s="21" t="s">
        <v>41</v>
      </c>
      <c r="J6" s="23"/>
      <c r="K6" s="16"/>
      <c r="L6" s="16"/>
      <c r="M6" s="16"/>
      <c r="N6" s="16"/>
      <c r="O6" s="16"/>
      <c r="P6" s="16"/>
      <c r="Q6" s="16"/>
      <c r="R6" s="16"/>
      <c r="S6" s="16"/>
      <c r="T6" s="16"/>
      <c r="U6" s="16"/>
      <c r="V6" s="16"/>
      <c r="W6" s="16"/>
      <c r="X6" s="16"/>
      <c r="Y6" s="16"/>
      <c r="Z6" s="16"/>
      <c r="AA6" s="16"/>
      <c r="AB6" s="16"/>
    </row>
    <row r="7" spans="1:28" s="13" customFormat="1" x14ac:dyDescent="0.25">
      <c r="A7" s="31" t="s">
        <v>75</v>
      </c>
      <c r="B7" s="16" t="str">
        <f xml:space="preserve"> MID(A7,SEARCH(":",A7)+2,SEARCH(":",A7,SEARCH(":",A7)+1)-SEARCH(":",A7)-3)</f>
        <v>Wika Vendor</v>
      </c>
      <c r="C7" s="15" t="str">
        <f>"part:"&amp;MID(A7,SEARCH(":",A7)+1,SEARCH(":",A7,SEARCH(":",A7)+1)-SEARCH(":",A7)-1)</f>
        <v xml:space="preserve">part: Wika Vendor </v>
      </c>
      <c r="D7" s="15" t="s">
        <v>90</v>
      </c>
      <c r="E7" s="15" t="str">
        <f>IF(Table2[[#This Row],[Notes]]="","",LEFT(Table2[[#This Row],[Notes]],FIND(CHAR(10),Table2[[#This Row],[Notes]]&amp;CHAR(10))-1))</f>
        <v>10.9.21 Reach out to trading partner: 1</v>
      </c>
      <c r="F7" s="15">
        <f>DATEVALUE(SUBSTITUTE(LEFT(E7,SEARCH(" ",E7)-1),".","/"))</f>
        <v>44478</v>
      </c>
      <c r="G7" s="20">
        <f ca="1">IF(ISERROR(F7),TODAY(),F7)</f>
        <v>44478</v>
      </c>
      <c r="H7" s="3" t="s">
        <v>93</v>
      </c>
      <c r="I7" s="3"/>
      <c r="J7" s="22"/>
      <c r="K7" s="15"/>
      <c r="L7" s="15"/>
      <c r="M7" s="15"/>
      <c r="N7" s="15"/>
      <c r="O7" s="15"/>
      <c r="P7" s="15"/>
      <c r="Q7" s="15"/>
      <c r="R7" s="15"/>
      <c r="S7" s="15"/>
      <c r="T7" s="15"/>
      <c r="U7" s="15"/>
      <c r="V7" s="15"/>
      <c r="W7" s="15"/>
      <c r="X7" s="15"/>
      <c r="Y7" s="15"/>
      <c r="Z7" s="15"/>
      <c r="AA7" s="15"/>
      <c r="AB7" s="15"/>
    </row>
    <row r="8" spans="1:28" s="5" customFormat="1" x14ac:dyDescent="0.25">
      <c r="A8" s="31" t="s">
        <v>78</v>
      </c>
      <c r="B8" s="16" t="str">
        <f xml:space="preserve"> MID(A8,SEARCH(":",A8)+2,SEARCH(":",A8,SEARCH(":",A8)+1)-SEARCH(":",A8)-3)</f>
        <v>Wormser Corporation-Jaguar Freight XML</v>
      </c>
      <c r="C8" s="15" t="str">
        <f>"part:"&amp;MID(A8,SEARCH(":",A8)+1,SEARCH(":",A8,SEARCH(":",A8)+1)-SEARCH(":",A8)-1)</f>
        <v xml:space="preserve">part: Wormser Corporation-Jaguar Freight XML </v>
      </c>
      <c r="D8" s="15" t="s">
        <v>90</v>
      </c>
      <c r="E8" s="15" t="str">
        <f>IF(Table2[[#This Row],[Notes]]="","",LEFT(Table2[[#This Row],[Notes]],FIND(CHAR(10),Table2[[#This Row],[Notes]]&amp;CHAR(10))-1))</f>
        <v>10.9.21 Reach out to trading partner: 1</v>
      </c>
      <c r="F8" s="15">
        <f>DATEVALUE(SUBSTITUTE(LEFT(E8,SEARCH(" ",E8)-1),".","/"))</f>
        <v>44478</v>
      </c>
      <c r="G8" s="20">
        <f ca="1">IF(ISERROR(F8),TODAY(),F8)</f>
        <v>44478</v>
      </c>
      <c r="H8" s="3" t="s">
        <v>98</v>
      </c>
      <c r="I8" s="3" t="s">
        <v>99</v>
      </c>
      <c r="J8" s="22"/>
      <c r="K8" s="15"/>
      <c r="L8" s="15"/>
      <c r="M8" s="15"/>
      <c r="N8" s="15"/>
      <c r="O8" s="15"/>
      <c r="P8" s="15"/>
      <c r="Q8" s="15"/>
      <c r="R8" s="15"/>
      <c r="S8" s="15"/>
      <c r="T8" s="15"/>
      <c r="U8" s="15"/>
      <c r="V8" s="15"/>
      <c r="W8" s="15"/>
      <c r="X8" s="15"/>
      <c r="Y8" s="15"/>
      <c r="Z8" s="15"/>
      <c r="AA8" s="15"/>
      <c r="AB8" s="15"/>
    </row>
    <row r="9" spans="1:28" x14ac:dyDescent="0.25">
      <c r="A9" s="31" t="s">
        <v>87</v>
      </c>
      <c r="B9" s="16" t="str">
        <f xml:space="preserve"> MID(A9,SEARCH(":",A9)+2,SEARCH(":",A9,SEARCH(":",A9)+1)-SEARCH(":",A9)-3)</f>
        <v>Del Mar Fans</v>
      </c>
      <c r="C9" s="15" t="str">
        <f>"part:"&amp;MID(A9,SEARCH(":",A9)+1,SEARCH(":",A9,SEARCH(":",A9)+1)-SEARCH(":",A9)-1)</f>
        <v xml:space="preserve">part: Del Mar Fans </v>
      </c>
      <c r="D9" s="15" t="s">
        <v>91</v>
      </c>
      <c r="E9" s="15" t="str">
        <f>IF(Table2[[#This Row],[Notes]]="","",LEFT(Table2[[#This Row],[Notes]],FIND(CHAR(10),Table2[[#This Row],[Notes]]&amp;CHAR(10))-1))</f>
        <v>10.11.21 Reach out to trading partner: 1</v>
      </c>
      <c r="F9" s="15">
        <f>DATEVALUE(SUBSTITUTE(LEFT(E9,SEARCH(" ",E9)-1),".","/"))</f>
        <v>44480</v>
      </c>
      <c r="G9" s="20">
        <f ca="1">IF(ISERROR(F9),TODAY(),F9)</f>
        <v>44480</v>
      </c>
      <c r="H9" s="3" t="s">
        <v>103</v>
      </c>
      <c r="J9" s="22"/>
      <c r="K9" s="15"/>
      <c r="L9" s="15"/>
      <c r="M9" s="15"/>
      <c r="N9" s="15"/>
      <c r="O9" s="15"/>
      <c r="P9" s="15"/>
      <c r="Q9" s="15"/>
      <c r="R9" s="15"/>
      <c r="S9" s="15"/>
      <c r="T9" s="15"/>
      <c r="U9" s="15"/>
      <c r="V9" s="15"/>
      <c r="W9" s="15"/>
      <c r="X9" s="15"/>
      <c r="Y9" s="15"/>
      <c r="Z9" s="15"/>
      <c r="AA9" s="15"/>
      <c r="AB9" s="15"/>
    </row>
    <row r="10" spans="1:28" s="18" customFormat="1" x14ac:dyDescent="0.25">
      <c r="A10" s="32" t="s">
        <v>82</v>
      </c>
      <c r="B10" s="16" t="str">
        <f xml:space="preserve"> MID(A10,SEARCH(":",A10)+2,SEARCH(":",A10,SEARCH(":",A10)+1)-SEARCH(":",A10)-3)</f>
        <v>Essendant</v>
      </c>
      <c r="C10" s="15" t="str">
        <f>"part:"&amp;MID(A10,SEARCH(":",A10)+1,SEARCH(":",A10,SEARCH(":",A10)+1)-SEARCH(":",A10)-1)</f>
        <v xml:space="preserve">part: Essendant </v>
      </c>
      <c r="D10" s="15" t="s">
        <v>91</v>
      </c>
      <c r="E10" s="15" t="str">
        <f>IF(Table2[[#This Row],[Notes]]="","",LEFT(Table2[[#This Row],[Notes]],FIND(CHAR(10),Table2[[#This Row],[Notes]]&amp;CHAR(10))-1))</f>
        <v>10.11.21 Reach out to trading partner: 1</v>
      </c>
      <c r="F10" s="15">
        <f>DATEVALUE(SUBSTITUTE(LEFT(E10,SEARCH(" ",E10)-1),".","/"))</f>
        <v>44480</v>
      </c>
      <c r="G10" s="20">
        <f ca="1">IF(ISERROR(F10),TODAY(),F10)</f>
        <v>44480</v>
      </c>
      <c r="H10" s="3" t="s">
        <v>95</v>
      </c>
      <c r="I10" s="3"/>
      <c r="J10" s="22"/>
      <c r="K10" s="15"/>
      <c r="L10" s="15"/>
      <c r="M10" s="15"/>
      <c r="N10" s="15"/>
      <c r="O10" s="15"/>
      <c r="P10" s="15"/>
      <c r="Q10" s="15"/>
      <c r="R10" s="15"/>
      <c r="S10" s="15"/>
      <c r="T10" s="15"/>
      <c r="U10" s="15"/>
      <c r="V10" s="15"/>
      <c r="W10" s="15"/>
      <c r="X10" s="15"/>
      <c r="Y10" s="15"/>
      <c r="Z10" s="15"/>
      <c r="AA10" s="15"/>
      <c r="AB10" s="15"/>
    </row>
    <row r="11" spans="1:28" x14ac:dyDescent="0.25">
      <c r="A11" s="31" t="s">
        <v>84</v>
      </c>
      <c r="B11" s="16" t="str">
        <f xml:space="preserve"> MID(A11,SEARCH(":",A11)+2,SEARCH(":",A11,SEARCH(":",A11)+1)-SEARCH(":",A11)-3)</f>
        <v>Georges Music XML</v>
      </c>
      <c r="C11" s="15" t="str">
        <f>"part:"&amp;MID(A11,SEARCH(":",A11)+1,SEARCH(":",A11,SEARCH(":",A11)+1)-SEARCH(":",A11)-1)</f>
        <v xml:space="preserve">part: Georges Music XML </v>
      </c>
      <c r="D11" s="15" t="s">
        <v>91</v>
      </c>
      <c r="E11" s="15" t="str">
        <f>IF(Table2[[#This Row],[Notes]]="","",LEFT(Table2[[#This Row],[Notes]],FIND(CHAR(10),Table2[[#This Row],[Notes]]&amp;CHAR(10))-1))</f>
        <v>10.11.21 Reach out to trading partner: 1</v>
      </c>
      <c r="F11" s="15">
        <f>DATEVALUE(SUBSTITUTE(LEFT(E11,SEARCH(" ",E11)-1),".","/"))</f>
        <v>44480</v>
      </c>
      <c r="G11" s="20">
        <f ca="1">IF(ISERROR(F11),TODAY(),F11)</f>
        <v>44480</v>
      </c>
      <c r="H11" s="3" t="s">
        <v>59</v>
      </c>
      <c r="J11" s="22"/>
      <c r="K11" s="15"/>
      <c r="L11" s="15"/>
      <c r="M11" s="15"/>
      <c r="N11" s="15"/>
      <c r="O11" s="15"/>
      <c r="P11" s="15"/>
      <c r="Q11" s="15"/>
      <c r="R11" s="15"/>
      <c r="S11" s="15"/>
      <c r="T11" s="15"/>
      <c r="U11" s="15"/>
      <c r="V11" s="15"/>
      <c r="W11" s="15"/>
      <c r="X11" s="15"/>
      <c r="Y11" s="15"/>
      <c r="Z11" s="15"/>
      <c r="AA11" s="15"/>
      <c r="AB11" s="15"/>
    </row>
    <row r="12" spans="1:28" s="1" customFormat="1" x14ac:dyDescent="0.25">
      <c r="A12" s="31" t="s">
        <v>83</v>
      </c>
      <c r="B12" s="16" t="str">
        <f xml:space="preserve"> MID(A12,SEARCH(":",A12)+2,SEARCH(":",A12,SEARCH(":",A12)+1)-SEARCH(":",A12)-3)</f>
        <v>Guitar Center - XML Trading Partner</v>
      </c>
      <c r="C12" s="15" t="str">
        <f>"part:"&amp;MID(A12,SEARCH(":",A12)+1,SEARCH(":",A12,SEARCH(":",A12)+1)-SEARCH(":",A12)-1)</f>
        <v xml:space="preserve">part: Guitar Center - XML Trading Partner </v>
      </c>
      <c r="D12" s="15" t="s">
        <v>91</v>
      </c>
      <c r="E12" s="15" t="str">
        <f>IF(Table2[[#This Row],[Notes]]="","",LEFT(Table2[[#This Row],[Notes]],FIND(CHAR(10),Table2[[#This Row],[Notes]]&amp;CHAR(10))-1))</f>
        <v>10.11.21 Reach out to trading partner: 1</v>
      </c>
      <c r="F12" s="15">
        <f>DATEVALUE(SUBSTITUTE(LEFT(E12,SEARCH(" ",E12)-1),".","/"))</f>
        <v>44480</v>
      </c>
      <c r="G12" s="20">
        <f ca="1">IF(ISERROR(F12),TODAY(),F12)</f>
        <v>44480</v>
      </c>
      <c r="H12" s="3" t="s">
        <v>101</v>
      </c>
      <c r="I12" s="3"/>
      <c r="J12" s="22"/>
      <c r="K12" s="15"/>
      <c r="L12" s="15"/>
      <c r="M12" s="15"/>
      <c r="N12" s="15"/>
      <c r="O12" s="15"/>
      <c r="P12" s="15"/>
      <c r="Q12" s="15"/>
      <c r="R12" s="15"/>
      <c r="S12" s="15"/>
      <c r="T12" s="15"/>
      <c r="U12" s="15"/>
      <c r="V12" s="15"/>
      <c r="W12" s="15"/>
      <c r="X12" s="15"/>
      <c r="Y12" s="15"/>
      <c r="Z12" s="15"/>
      <c r="AA12" s="15"/>
      <c r="AB12" s="15"/>
    </row>
    <row r="13" spans="1:28" x14ac:dyDescent="0.25">
      <c r="A13" s="31" t="s">
        <v>85</v>
      </c>
      <c r="B13" s="16" t="str">
        <f xml:space="preserve"> MID(A13,SEARCH(":",A13)+2,SEARCH(":",A13,SEARCH(":",A13)+1)-SEARCH(":",A13)-3)</f>
        <v>RG Sellers</v>
      </c>
      <c r="C13" s="15" t="str">
        <f>"part:"&amp;MID(A13,SEARCH(":",A13)+1,SEARCH(":",A13,SEARCH(":",A13)+1)-SEARCH(":",A13)-1)</f>
        <v xml:space="preserve">part: RG Sellers </v>
      </c>
      <c r="D13" s="15" t="s">
        <v>91</v>
      </c>
      <c r="E13" s="15" t="str">
        <f>IF(Table2[[#This Row],[Notes]]="","",LEFT(Table2[[#This Row],[Notes]],FIND(CHAR(10),Table2[[#This Row],[Notes]]&amp;CHAR(10))-1))</f>
        <v>10.11.21 Reach out to trading partner: 1</v>
      </c>
      <c r="F13" s="15">
        <f>DATEVALUE(SUBSTITUTE(LEFT(E13,SEARCH(" ",E13)-1),".","/"))</f>
        <v>44480</v>
      </c>
      <c r="G13" s="20">
        <f ca="1">IF(ISERROR(F13),TODAY(),F13)</f>
        <v>44480</v>
      </c>
      <c r="H13" s="3" t="s">
        <v>95</v>
      </c>
      <c r="J13" s="22"/>
      <c r="K13" s="15"/>
      <c r="L13" s="15"/>
      <c r="M13" s="15"/>
      <c r="N13" s="15"/>
      <c r="O13" s="15"/>
      <c r="P13" s="15"/>
      <c r="Q13" s="15"/>
      <c r="R13" s="15"/>
      <c r="S13" s="15"/>
      <c r="T13" s="15"/>
      <c r="U13" s="15"/>
      <c r="V13" s="15"/>
      <c r="W13" s="15"/>
      <c r="X13" s="15"/>
      <c r="Y13" s="15"/>
      <c r="Z13" s="15"/>
      <c r="AA13" s="15"/>
      <c r="AB13" s="15"/>
    </row>
    <row r="14" spans="1:28" x14ac:dyDescent="0.25">
      <c r="A14" s="31" t="s">
        <v>81</v>
      </c>
      <c r="B14" s="16" t="str">
        <f xml:space="preserve"> MID(A14,SEARCH(":",A14)+2,SEARCH(":",A14,SEARCH(":",A14)+1)-SEARCH(":",A14)-3)</f>
        <v>Rhenus Contract Logistics - VSC</v>
      </c>
      <c r="C14" s="15" t="str">
        <f>"part:"&amp;MID(A14,SEARCH(":",A14)+1,SEARCH(":",A14,SEARCH(":",A14)+1)-SEARCH(":",A14)-1)</f>
        <v xml:space="preserve">part: Rhenus Contract Logistics - VSC </v>
      </c>
      <c r="D14" s="15" t="s">
        <v>91</v>
      </c>
      <c r="E14" s="15" t="str">
        <f>IF(Table2[[#This Row],[Notes]]="","",LEFT(Table2[[#This Row],[Notes]],FIND(CHAR(10),Table2[[#This Row],[Notes]]&amp;CHAR(10))-1))</f>
        <v>10.11.21 Reach out to trading partner: 1</v>
      </c>
      <c r="F14" s="15">
        <f>DATEVALUE(SUBSTITUTE(LEFT(E14,SEARCH(" ",E14)-1),".","/"))</f>
        <v>44480</v>
      </c>
      <c r="G14" s="20">
        <f ca="1">IF(ISERROR(F14),TODAY(),F14)</f>
        <v>44480</v>
      </c>
      <c r="H14" s="3" t="s">
        <v>59</v>
      </c>
      <c r="J14" s="22"/>
      <c r="K14" s="15"/>
      <c r="L14" s="15"/>
      <c r="M14" s="15"/>
      <c r="N14" s="15"/>
      <c r="O14" s="15"/>
      <c r="P14" s="15"/>
      <c r="Q14" s="15"/>
      <c r="R14" s="15"/>
      <c r="S14" s="15"/>
      <c r="T14" s="15"/>
      <c r="U14" s="15"/>
      <c r="V14" s="15"/>
      <c r="W14" s="15"/>
      <c r="X14" s="15"/>
      <c r="Y14" s="15"/>
      <c r="Z14" s="15"/>
      <c r="AA14" s="15"/>
      <c r="AB14" s="15"/>
    </row>
    <row r="15" spans="1:28" x14ac:dyDescent="0.25">
      <c r="A15" s="31" t="s">
        <v>88</v>
      </c>
      <c r="B15" s="15" t="str">
        <f xml:space="preserve"> MID(A15,SEARCH(":",A15)+2,SEARCH(":",A15,SEARCH(":",A15)+1)-SEARCH(":",A15)-3)</f>
        <v>Stego Germany</v>
      </c>
      <c r="C15" s="15" t="str">
        <f>"part:"&amp;MID(A15,SEARCH(":",A15)+1,SEARCH(":",A15,SEARCH(":",A15)+1)-SEARCH(":",A15)-1)</f>
        <v xml:space="preserve">part: Stego Germany </v>
      </c>
      <c r="D15" s="15" t="s">
        <v>91</v>
      </c>
      <c r="E15" s="15" t="str">
        <f>IF(Table2[[#This Row],[Notes]]="","",LEFT(Table2[[#This Row],[Notes]],FIND(CHAR(10),Table2[[#This Row],[Notes]]&amp;CHAR(10))-1))</f>
        <v>10.11.21 Reach out to trading partner: 1</v>
      </c>
      <c r="F15" s="15">
        <f>DATEVALUE(SUBSTITUTE(LEFT(E15,SEARCH(" ",E15)-1),".","/"))</f>
        <v>44480</v>
      </c>
      <c r="G15" s="20">
        <f ca="1">IF(ISERROR(F15),TODAY(),F15)</f>
        <v>44480</v>
      </c>
      <c r="H15" s="3" t="s">
        <v>104</v>
      </c>
      <c r="J15" s="22"/>
      <c r="K15" s="15"/>
      <c r="L15" s="15"/>
      <c r="M15" s="15"/>
      <c r="N15" s="15"/>
      <c r="O15" s="15"/>
      <c r="P15" s="15"/>
      <c r="Q15" s="15"/>
      <c r="R15" s="15"/>
      <c r="S15" s="15"/>
      <c r="T15" s="15"/>
      <c r="U15" s="15"/>
      <c r="V15" s="15"/>
      <c r="W15" s="15"/>
      <c r="X15" s="15"/>
      <c r="Y15" s="15"/>
      <c r="Z15" s="15"/>
      <c r="AA15" s="15"/>
      <c r="AB15" s="15"/>
    </row>
    <row r="16" spans="1:28" s="19" customFormat="1" x14ac:dyDescent="0.25">
      <c r="A16" s="31" t="s">
        <v>89</v>
      </c>
      <c r="B16" s="15" t="str">
        <f xml:space="preserve"> MID(A16,SEARCH(":",A16)+2,SEARCH(":",A16,SEARCH(":",A16)+1)-SEARCH(":",A16)-3)</f>
        <v>Sun &amp; Ski Sports</v>
      </c>
      <c r="C16" s="15" t="str">
        <f>"part:"&amp;MID(A16,SEARCH(":",A16)+1,SEARCH(":",A16,SEARCH(":",A16)+1)-SEARCH(":",A16)-1)</f>
        <v xml:space="preserve">part: Sun &amp; Ski Sports </v>
      </c>
      <c r="D16" s="15" t="s">
        <v>91</v>
      </c>
      <c r="E16" s="15" t="str">
        <f>IF(Table2[[#This Row],[Notes]]="","",LEFT(Table2[[#This Row],[Notes]],FIND(CHAR(10),Table2[[#This Row],[Notes]]&amp;CHAR(10))-1))</f>
        <v>10.11.21 Reach out to trading partner: 1</v>
      </c>
      <c r="F16" s="15">
        <f>DATEVALUE(SUBSTITUTE(LEFT(E16,SEARCH(" ",E16)-1),".","/"))</f>
        <v>44480</v>
      </c>
      <c r="G16" s="20">
        <f ca="1">IF(ISERROR(F16),TODAY(),F16)</f>
        <v>44480</v>
      </c>
      <c r="H16" s="3" t="s">
        <v>105</v>
      </c>
      <c r="I16" s="3" t="s">
        <v>106</v>
      </c>
      <c r="J16" s="22"/>
      <c r="K16" s="15"/>
      <c r="L16" s="15"/>
      <c r="M16" s="15"/>
      <c r="N16" s="15"/>
      <c r="O16" s="15"/>
      <c r="P16" s="15"/>
      <c r="Q16" s="15"/>
      <c r="R16" s="15"/>
      <c r="S16" s="15"/>
      <c r="T16" s="15"/>
      <c r="U16" s="15"/>
      <c r="V16" s="15"/>
      <c r="W16" s="15"/>
      <c r="X16" s="15"/>
      <c r="Y16" s="15"/>
      <c r="Z16" s="15"/>
      <c r="AA16" s="15"/>
      <c r="AB16" s="15"/>
    </row>
    <row r="17" spans="1:28" ht="15.75" thickBot="1" x14ac:dyDescent="0.3">
      <c r="A17" s="31" t="s">
        <v>80</v>
      </c>
      <c r="B17" s="16" t="str">
        <f xml:space="preserve"> MID(A17,SEARCH(":",A17)+2,SEARCH(":",A17,SEARCH(":",A17)+1)-SEARCH(":",A17)-3)</f>
        <v>Tower Automotive - Bellevue</v>
      </c>
      <c r="C17" s="15" t="str">
        <f>"part:"&amp;MID(A17,SEARCH(":",A17)+1,SEARCH(":",A17,SEARCH(":",A17)+1)-SEARCH(":",A17)-1)</f>
        <v xml:space="preserve">part: Tower Automotive - Bellevue </v>
      </c>
      <c r="D17" s="15" t="s">
        <v>91</v>
      </c>
      <c r="E17" s="15" t="str">
        <f>IF(Table2[[#This Row],[Notes]]="","",LEFT(Table2[[#This Row],[Notes]],FIND(CHAR(10),Table2[[#This Row],[Notes]]&amp;CHAR(10))-1))</f>
        <v>10.11.21 Reach out to trading partner: 1</v>
      </c>
      <c r="F17" s="15">
        <f>DATEVALUE(SUBSTITUTE(LEFT(E17,SEARCH(" ",E17)-1),".","/"))</f>
        <v>44480</v>
      </c>
      <c r="G17" s="20">
        <f ca="1">IF(ISERROR(F17),TODAY(),F17)</f>
        <v>44480</v>
      </c>
      <c r="H17" s="3" t="s">
        <v>100</v>
      </c>
      <c r="J17" s="22"/>
      <c r="K17" s="15"/>
      <c r="L17" s="15"/>
      <c r="M17" s="15"/>
      <c r="N17" s="15"/>
      <c r="O17" s="15"/>
      <c r="P17" s="15"/>
      <c r="Q17" s="15"/>
      <c r="R17" s="15"/>
      <c r="S17" s="15"/>
      <c r="T17" s="15"/>
      <c r="U17" s="15"/>
      <c r="V17" s="15"/>
      <c r="W17" s="15"/>
      <c r="X17" s="15"/>
      <c r="Y17" s="15"/>
      <c r="Z17" s="15"/>
      <c r="AA17" s="15"/>
      <c r="AB17" s="15"/>
    </row>
    <row r="18" spans="1:28" s="4" customFormat="1" x14ac:dyDescent="0.25">
      <c r="A18" s="38" t="s">
        <v>86</v>
      </c>
      <c r="B18" s="16" t="str">
        <f xml:space="preserve"> MID(A18,SEARCH(":",A18)+2,SEARCH(":",A18,SEARCH(":",A18)+1)-SEARCH(":",A18)-3)</f>
        <v>Valley Bakers</v>
      </c>
      <c r="C18" s="15" t="str">
        <f>"part:"&amp;MID(A18,SEARCH(":",A18)+1,SEARCH(":",A18,SEARCH(":",A18)+1)-SEARCH(":",A18)-1)</f>
        <v xml:space="preserve">part: Valley Bakers </v>
      </c>
      <c r="D18" s="15" t="s">
        <v>91</v>
      </c>
      <c r="E18" s="15" t="str">
        <f>IF(Table2[[#This Row],[Notes]]="","",LEFT(Table2[[#This Row],[Notes]],FIND(CHAR(10),Table2[[#This Row],[Notes]]&amp;CHAR(10))-1))</f>
        <v>10.11.21 Reach out to trading partner: 1</v>
      </c>
      <c r="F18" s="15">
        <f>DATEVALUE(SUBSTITUTE(LEFT(E18,SEARCH(" ",E18)-1),".","/"))</f>
        <v>44480</v>
      </c>
      <c r="G18" s="20">
        <f ca="1">IF(ISERROR(F18),TODAY(),F18)</f>
        <v>44480</v>
      </c>
      <c r="H18" s="3" t="s">
        <v>102</v>
      </c>
      <c r="I18" s="3"/>
      <c r="J18" s="22"/>
      <c r="K18" s="15"/>
      <c r="L18" s="15"/>
      <c r="M18" s="15"/>
      <c r="N18" s="15"/>
      <c r="O18" s="15"/>
      <c r="P18" s="15"/>
      <c r="Q18" s="15"/>
      <c r="R18" s="15"/>
      <c r="S18" s="15"/>
      <c r="T18" s="15"/>
      <c r="U18" s="15"/>
      <c r="V18" s="15"/>
      <c r="W18" s="15"/>
      <c r="X18" s="15"/>
      <c r="Y18" s="15"/>
      <c r="Z18" s="15"/>
      <c r="AA18" s="15"/>
      <c r="AB18" s="15"/>
    </row>
    <row r="19" spans="1:28" s="4" customFormat="1" ht="105" x14ac:dyDescent="0.25">
      <c r="A19" s="29" t="s">
        <v>60</v>
      </c>
      <c r="B19" s="15" t="str">
        <f xml:space="preserve"> MID(A19,SEARCH(":",A19)+2,SEARCH(":",A19,SEARCH(":",A19)+1)-SEARCH(":",A19)-3)</f>
        <v>Martha Stewart</v>
      </c>
      <c r="C19" s="15" t="str">
        <f>"part:"&amp;MID(A19,SEARCH(":",A19)+1,SEARCH(":",A19,SEARCH(":",A19)+1)-SEARCH(":",A19)-1)</f>
        <v xml:space="preserve">part: Martha Stewart </v>
      </c>
      <c r="D19" s="1" t="s">
        <v>107</v>
      </c>
      <c r="E19" s="15" t="str">
        <f>IF(Table2[[#This Row],[Notes]]="","",LEFT(Table2[[#This Row],[Notes]],FIND(CHAR(10),Table2[[#This Row],[Notes]]&amp;CHAR(10))-1))</f>
        <v>10.13.21 Waiting for FTP credential frome RevCascade</v>
      </c>
      <c r="F19" s="15">
        <f>DATEVALUE(SUBSTITUTE(LEFT(E19,SEARCH(" ",E19)-1),".","/"))</f>
        <v>44482</v>
      </c>
      <c r="G19" s="20">
        <f ca="1">IF(ISERROR(F19),TODAY(),F19)</f>
        <v>44482</v>
      </c>
      <c r="H19" s="3" t="s">
        <v>59</v>
      </c>
      <c r="I19" s="15"/>
      <c r="J19" s="22"/>
      <c r="K19" s="15"/>
      <c r="L19" s="15"/>
      <c r="M19" s="15"/>
      <c r="N19" s="15"/>
      <c r="O19" s="15"/>
      <c r="P19" s="15"/>
      <c r="Q19" s="15"/>
      <c r="R19" s="15"/>
      <c r="S19" s="15"/>
      <c r="T19" s="15"/>
      <c r="U19" s="15"/>
      <c r="V19" s="15"/>
      <c r="W19" s="15"/>
      <c r="X19" s="15"/>
      <c r="Y19" s="15"/>
      <c r="Z19" s="15"/>
      <c r="AA19" s="15"/>
      <c r="AB19" s="15"/>
    </row>
    <row r="20" spans="1:28" s="4" customFormat="1" ht="165" x14ac:dyDescent="0.25">
      <c r="A20" s="30" t="s">
        <v>47</v>
      </c>
      <c r="B20" s="16" t="str">
        <f xml:space="preserve"> MID(A20,SEARCH(":",A20)+2,SEARCH(":",A20,SEARCH(":",A20)+1)-SEARCH(":",A20)-3)</f>
        <v>Commercial Spring &amp; Tool</v>
      </c>
      <c r="C20" s="16" t="str">
        <f>"part:"&amp;MID(A20,SEARCH(":",A20)+1,SEARCH(":",A20,SEARCH(":",A20)+1)-SEARCH(":",A20)-1)</f>
        <v xml:space="preserve">part: Commercial Spring &amp; Tool </v>
      </c>
      <c r="D20" s="27" t="s">
        <v>111</v>
      </c>
      <c r="E20" s="15" t="str">
        <f>IF(Table2[[#This Row],[Notes]]="","",LEFT(Table2[[#This Row],[Notes]],FIND(CHAR(10),Table2[[#This Row],[Notes]]&amp;CHAR(10))-1))</f>
        <v>10.14.21 Reach out to Ravi again</v>
      </c>
      <c r="F20" s="16">
        <f>DATEVALUE(SUBSTITUTE(LEFT(E20,SEARCH(" ",E20)-1),".","/"))</f>
        <v>44483</v>
      </c>
      <c r="G20" s="20">
        <f ca="1">IF(ISERROR(F20),TODAY(),F20)</f>
        <v>44483</v>
      </c>
      <c r="H20" s="24"/>
      <c r="I20" s="21" t="s">
        <v>48</v>
      </c>
      <c r="J20" s="23"/>
      <c r="K20" s="16"/>
      <c r="L20" s="16"/>
      <c r="M20" s="16"/>
      <c r="N20" s="16"/>
      <c r="O20" s="16"/>
      <c r="P20" s="16"/>
      <c r="Q20" s="16"/>
      <c r="R20" s="16"/>
      <c r="S20" s="16"/>
      <c r="T20" s="16"/>
      <c r="U20" s="16"/>
      <c r="V20" s="16"/>
      <c r="W20" s="16"/>
      <c r="X20" s="16"/>
      <c r="Y20" s="16"/>
      <c r="Z20" s="16"/>
      <c r="AA20" s="16"/>
      <c r="AB20" s="16"/>
    </row>
    <row r="21" spans="1:28" s="26" customFormat="1" ht="120" x14ac:dyDescent="0.25">
      <c r="A21" s="29" t="s">
        <v>57</v>
      </c>
      <c r="B21" s="16" t="str">
        <f xml:space="preserve"> MID(A21,SEARCH(":",A21)+2,SEARCH(":",A21,SEARCH(":",A21)+1)-SEARCH(":",A21)-3)</f>
        <v>Cosma - Bowling Green Metalforming</v>
      </c>
      <c r="C21" s="16" t="str">
        <f>"part:"&amp;MID(A21,SEARCH(":",A21)+1,SEARCH(":",A21,SEARCH(":",A21)+1)-SEARCH(":",A21)-1)</f>
        <v xml:space="preserve">part: Cosma - Bowling Green Metalforming </v>
      </c>
      <c r="D21" s="27" t="s">
        <v>112</v>
      </c>
      <c r="E21" s="15" t="str">
        <f>IF(Table2[[#This Row],[Notes]]="","",LEFT(Table2[[#This Row],[Notes]],FIND(CHAR(10),Table2[[#This Row],[Notes]]&amp;CHAR(10))-1))</f>
        <v>10.14.21 Reach out to Cosma for details again:2</v>
      </c>
      <c r="F21" s="16">
        <f>DATEVALUE(SUBSTITUTE(LEFT(E21,SEARCH(" ",E21)-1),".","/"))</f>
        <v>44483</v>
      </c>
      <c r="G21" s="20">
        <f ca="1">IF(ISERROR(F21),TODAY(),F21)</f>
        <v>44483</v>
      </c>
      <c r="H21" s="21" t="s">
        <v>58</v>
      </c>
      <c r="I21" s="16"/>
      <c r="J21" s="23"/>
      <c r="K21" s="16"/>
      <c r="L21" s="16"/>
      <c r="M21" s="16"/>
      <c r="N21" s="16"/>
      <c r="O21" s="16"/>
      <c r="P21" s="16"/>
      <c r="Q21" s="16"/>
      <c r="R21" s="16"/>
      <c r="S21" s="16"/>
      <c r="T21" s="16"/>
      <c r="U21" s="16"/>
      <c r="V21" s="16"/>
      <c r="W21" s="16"/>
      <c r="X21" s="16"/>
      <c r="Y21" s="16"/>
      <c r="Z21" s="16"/>
      <c r="AA21" s="16"/>
      <c r="AB21" s="16"/>
    </row>
    <row r="22" spans="1:28" s="25" customFormat="1" ht="45" x14ac:dyDescent="0.25">
      <c r="A22" s="31" t="s">
        <v>69</v>
      </c>
      <c r="B22" s="16" t="str">
        <f xml:space="preserve"> MID(A22,SEARCH(":",A22)+2,SEARCH(":",A22,SEARCH(":",A22)+1)-SEARCH(":",A22)-3)</f>
        <v>Abilityone</v>
      </c>
      <c r="C22" s="15" t="str">
        <f>"part:"&amp;MID(A22,SEARCH(":",A22)+1,SEARCH(":",A22,SEARCH(":",A22)+1)-SEARCH(":",A22)-1)</f>
        <v xml:space="preserve">part: Abilityone </v>
      </c>
      <c r="D22" s="35" t="s">
        <v>108</v>
      </c>
      <c r="E22" s="15" t="str">
        <f>IF(Table2[[#This Row],[Notes]]="","",LEFT(Table2[[#This Row],[Notes]],FIND(CHAR(10),Table2[[#This Row],[Notes]]&amp;CHAR(10))-1))</f>
        <v>10.14.21 Reach out to trading partner:3</v>
      </c>
      <c r="F22" s="15">
        <f>DATEVALUE(SUBSTITUTE(LEFT(E22,SEARCH(" ",E22)-1),".","/"))</f>
        <v>44483</v>
      </c>
      <c r="G22" s="20">
        <f ca="1">IF(ISERROR(F22),TODAY(),F22)</f>
        <v>44483</v>
      </c>
      <c r="H22" s="3" t="s">
        <v>71</v>
      </c>
      <c r="I22" s="15"/>
      <c r="J22" s="22"/>
      <c r="K22" s="15"/>
      <c r="L22" s="15"/>
      <c r="M22" s="15"/>
      <c r="N22" s="15"/>
      <c r="O22" s="15"/>
      <c r="P22" s="15"/>
      <c r="Q22" s="15"/>
      <c r="R22" s="15"/>
      <c r="S22" s="15"/>
      <c r="T22" s="15"/>
      <c r="U22" s="15"/>
      <c r="V22" s="15"/>
      <c r="W22" s="15"/>
      <c r="X22" s="15"/>
      <c r="Y22" s="15"/>
      <c r="Z22" s="15"/>
      <c r="AA22" s="15"/>
      <c r="AB22" s="15"/>
    </row>
    <row r="23" spans="1:28" ht="105" x14ac:dyDescent="0.25">
      <c r="A23" s="29" t="s">
        <v>56</v>
      </c>
      <c r="B23" s="16" t="str">
        <f xml:space="preserve"> MID(A23,SEARCH(":",A23)+2,SEARCH(":",A23,SEARCH(":",A23)+1)-SEARCH(":",A23)-3)</f>
        <v>Bioplus Specialty Pharmacy</v>
      </c>
      <c r="C23" s="16" t="str">
        <f>"part:"&amp;MID(A23,SEARCH(":",A23)+1,SEARCH(":",A23,SEARCH(":",A23)+1)-SEARCH(":",A23)-1)</f>
        <v xml:space="preserve">part: Bioplus Specialty Pharmacy </v>
      </c>
      <c r="D23" s="27" t="s">
        <v>109</v>
      </c>
      <c r="E23" s="15" t="str">
        <f>IF(Table2[[#This Row],[Notes]]="","",LEFT(Table2[[#This Row],[Notes]],FIND(CHAR(10),Table2[[#This Row],[Notes]]&amp;CHAR(10))-1))</f>
        <v>10.14.21 Reach our to Brad for contact</v>
      </c>
      <c r="F23" s="16">
        <f>DATEVALUE(SUBSTITUTE(LEFT(E23,SEARCH(" ",E23)-1),".","/"))</f>
        <v>44483</v>
      </c>
      <c r="G23" s="20">
        <f ca="1">IF(ISERROR(F23),TODAY(),F23)</f>
        <v>44483</v>
      </c>
      <c r="H23" s="16"/>
      <c r="I23" s="16"/>
      <c r="J23" s="23"/>
      <c r="K23" s="16"/>
      <c r="L23" s="16"/>
      <c r="M23" s="16"/>
      <c r="N23" s="16"/>
      <c r="O23" s="16"/>
      <c r="P23" s="16"/>
      <c r="Q23" s="16"/>
      <c r="R23" s="16"/>
      <c r="S23" s="16"/>
      <c r="T23" s="16"/>
      <c r="U23" s="16"/>
      <c r="V23" s="16"/>
      <c r="W23" s="16"/>
      <c r="X23" s="16"/>
      <c r="Y23" s="16"/>
      <c r="Z23" s="16"/>
      <c r="AA23" s="16"/>
      <c r="AB23" s="16"/>
    </row>
    <row r="24" spans="1:28" s="14" customFormat="1" ht="15.75" customHeight="1" x14ac:dyDescent="0.25">
      <c r="A24" s="32" t="s">
        <v>65</v>
      </c>
      <c r="B24" s="15" t="str">
        <f xml:space="preserve"> MID(A24,SEARCH(":",A24)+2,SEARCH(":",A24,SEARCH(":",A24)+1)-SEARCH(":",A24)-3)</f>
        <v>Humanscale</v>
      </c>
      <c r="C24" s="15" t="str">
        <f>"part:"&amp;MID(A24,SEARCH(":",A24)+1,SEARCH(":",A24,SEARCH(":",A24)+1)-SEARCH(":",A24)-1)</f>
        <v xml:space="preserve">part: Humanscale </v>
      </c>
      <c r="D24" s="1" t="s">
        <v>113</v>
      </c>
      <c r="E24" s="15" t="str">
        <f>IF(Table2[[#This Row],[Notes]]="","",LEFT(Table2[[#This Row],[Notes]],FIND(CHAR(10),Table2[[#This Row],[Notes]]&amp;CHAR(10))-1))</f>
        <v>10.15.21 submitted a Map case: 13933538</v>
      </c>
      <c r="F24" s="15">
        <f>DATEVALUE(SUBSTITUTE(LEFT(E24,SEARCH(" ",E24)-1),".","/"))</f>
        <v>44484</v>
      </c>
      <c r="G24" s="20">
        <f ca="1">IF(ISERROR(F24),TODAY(),F24)</f>
        <v>44484</v>
      </c>
      <c r="H24" s="3" t="s">
        <v>59</v>
      </c>
      <c r="I24" s="15"/>
      <c r="J24" s="22"/>
      <c r="K24" s="15"/>
      <c r="L24" s="15"/>
      <c r="M24" s="15"/>
      <c r="N24" s="15"/>
      <c r="O24" s="15"/>
      <c r="P24" s="15"/>
      <c r="Q24" s="15"/>
      <c r="R24" s="15"/>
      <c r="S24" s="15"/>
      <c r="T24" s="15"/>
      <c r="U24" s="15"/>
      <c r="V24" s="15"/>
      <c r="W24" s="15"/>
      <c r="X24" s="15"/>
      <c r="Y24" s="15"/>
      <c r="Z24" s="15"/>
      <c r="AA24" s="15"/>
      <c r="AB24" s="15"/>
    </row>
    <row r="25" spans="1:28" ht="60" x14ac:dyDescent="0.25">
      <c r="A25" s="31" t="s">
        <v>64</v>
      </c>
      <c r="B25" s="15" t="str">
        <f xml:space="preserve"> MID(A25,SEARCH(":",A25)+2,SEARCH(":",A25,SEARCH(":",A25)+1)-SEARCH(":",A25)-3)</f>
        <v>Ollie's Bargain Outlet</v>
      </c>
      <c r="C25" s="15" t="str">
        <f>"part:"&amp;MID(A25,SEARCH(":",A25)+1,SEARCH(":",A25,SEARCH(":",A25)+1)-SEARCH(":",A25)-1)</f>
        <v xml:space="preserve">part: Ollie's Bargain Outlet </v>
      </c>
      <c r="D25" s="1" t="s">
        <v>114</v>
      </c>
      <c r="E25" s="15" t="str">
        <f>IF(Table2[[#This Row],[Notes]]="","",LEFT(Table2[[#This Row],[Notes]],FIND(CHAR(10),Table2[[#This Row],[Notes]]&amp;CHAR(10))-1))</f>
        <v>10.15.21 Reach out to new contact:2</v>
      </c>
      <c r="F25" s="15">
        <f>DATEVALUE(SUBSTITUTE(LEFT(E25,SEARCH(" ",E25)-1),".","/"))</f>
        <v>44484</v>
      </c>
      <c r="G25" s="20">
        <f ca="1">IF(ISERROR(F25),TODAY(),F25)</f>
        <v>44484</v>
      </c>
      <c r="H25" s="3" t="s">
        <v>67</v>
      </c>
      <c r="I25" s="15"/>
      <c r="J25" s="22"/>
      <c r="K25" s="15"/>
      <c r="L25" s="15"/>
      <c r="M25" s="15"/>
      <c r="N25" s="15"/>
      <c r="O25" s="15"/>
      <c r="P25" s="15"/>
      <c r="Q25" s="15"/>
      <c r="R25" s="15"/>
      <c r="S25" s="15"/>
      <c r="T25" s="15"/>
      <c r="U25" s="15"/>
      <c r="V25" s="15"/>
      <c r="W25" s="15"/>
      <c r="X25" s="15"/>
      <c r="Y25" s="15"/>
      <c r="Z25" s="15"/>
      <c r="AA25" s="15"/>
      <c r="AB25" s="15"/>
    </row>
    <row r="26" spans="1:28" ht="75.75" thickBot="1" x14ac:dyDescent="0.3">
      <c r="A26" s="29" t="s">
        <v>61</v>
      </c>
      <c r="B26" s="15" t="str">
        <f xml:space="preserve"> MID(A26,SEARCH(":",A26)+2,SEARCH(":",A26,SEARCH(":",A26)+1)-SEARCH(":",A26)-3)</f>
        <v>Pure Country West</v>
      </c>
      <c r="C26" s="15" t="str">
        <f>"part:"&amp;MID(A26,SEARCH(":",A26)+1,SEARCH(":",A26,SEARCH(":",A26)+1)-SEARCH(":",A26)-1)</f>
        <v xml:space="preserve">part: Pure Country West </v>
      </c>
      <c r="D26" s="1" t="s">
        <v>115</v>
      </c>
      <c r="E26" s="15" t="str">
        <f>IF(Table2[[#This Row],[Notes]]="","",LEFT(Table2[[#This Row],[Notes]],FIND(CHAR(10),Table2[[#This Row],[Notes]]&amp;CHAR(10))-1))</f>
        <v>10.15.21 Reach out to Bill agian</v>
      </c>
      <c r="F26" s="15">
        <f>DATEVALUE(SUBSTITUTE(LEFT(E26,SEARCH(" ",E26)-1),".","/"))</f>
        <v>44484</v>
      </c>
      <c r="G26" s="20">
        <f ca="1">IF(ISERROR(F26),TODAY(),F26)</f>
        <v>44484</v>
      </c>
      <c r="H26" s="33" t="s">
        <v>62</v>
      </c>
      <c r="I26" s="15"/>
      <c r="J26" s="22"/>
      <c r="K26" s="15"/>
      <c r="L26" s="15"/>
      <c r="M26" s="15"/>
      <c r="N26" s="15"/>
      <c r="O26" s="15"/>
      <c r="P26" s="15"/>
      <c r="Q26" s="15"/>
      <c r="R26" s="15"/>
      <c r="S26" s="15"/>
      <c r="T26" s="15"/>
      <c r="U26" s="15"/>
      <c r="V26" s="15"/>
      <c r="W26" s="15"/>
      <c r="X26" s="15"/>
      <c r="Y26" s="15"/>
      <c r="Z26" s="15"/>
      <c r="AA26" s="15"/>
      <c r="AB26" s="15"/>
    </row>
    <row r="27" spans="1:28" ht="60" x14ac:dyDescent="0.25">
      <c r="A27" s="34" t="s">
        <v>66</v>
      </c>
      <c r="B27" s="15" t="str">
        <f xml:space="preserve"> MID(A27,SEARCH(":",A27)+2,SEARCH(":",A27,SEARCH(":",A27)+1)-SEARCH(":",A27)-3)</f>
        <v>Raynor Gaming</v>
      </c>
      <c r="C27" s="15" t="str">
        <f>"part:"&amp;MID(A27,SEARCH(":",A27)+1,SEARCH(":",A27,SEARCH(":",A27)+1)-SEARCH(":",A27)-1)</f>
        <v xml:space="preserve">part: Raynor Gaming </v>
      </c>
      <c r="D27" s="1" t="s">
        <v>116</v>
      </c>
      <c r="E27" s="15" t="str">
        <f>IF(Table2[[#This Row],[Notes]]="","",LEFT(Table2[[#This Row],[Notes]],FIND(CHAR(10),Table2[[#This Row],[Notes]]&amp;CHAR(10))-1))</f>
        <v>10.15.21 Ask Brad for a new contact</v>
      </c>
      <c r="F27" s="15">
        <f>DATEVALUE(SUBSTITUTE(LEFT(E27,SEARCH(" ",E27)-1),".","/"))</f>
        <v>44484</v>
      </c>
      <c r="G27" s="20">
        <f ca="1">IF(ISERROR(F27),TODAY(),F27)</f>
        <v>44484</v>
      </c>
      <c r="H27" s="3" t="s">
        <v>68</v>
      </c>
      <c r="I27" s="15"/>
      <c r="J27" s="22"/>
      <c r="K27" s="15"/>
      <c r="L27" s="15"/>
      <c r="M27" s="15"/>
      <c r="N27" s="15"/>
      <c r="O27" s="15"/>
      <c r="P27" s="15"/>
      <c r="Q27" s="15"/>
      <c r="R27" s="15"/>
      <c r="S27" s="15"/>
      <c r="T27" s="15"/>
      <c r="U27" s="15"/>
      <c r="V27" s="15"/>
      <c r="W27" s="15"/>
      <c r="X27" s="15"/>
      <c r="Y27" s="15"/>
      <c r="Z27" s="15"/>
      <c r="AA27" s="15"/>
      <c r="AB27" s="15"/>
    </row>
    <row r="28" spans="1:28" ht="60" x14ac:dyDescent="0.25">
      <c r="A28" s="31" t="s">
        <v>63</v>
      </c>
      <c r="B28" s="15" t="str">
        <f xml:space="preserve"> MID(A28,SEARCH(":",A28)+2,SEARCH(":",A28,SEARCH(":",A28)+1)-SEARCH(":",A28)-3)</f>
        <v>Reny's - Down East Wholesalers</v>
      </c>
      <c r="C28" s="15" t="str">
        <f>"part:"&amp;MID(A28,SEARCH(":",A28)+1,SEARCH(":",A28,SEARCH(":",A28)+1)-SEARCH(":",A28)-1)</f>
        <v xml:space="preserve">part: Reny's - Down East Wholesalers </v>
      </c>
      <c r="D28" s="1" t="s">
        <v>117</v>
      </c>
      <c r="E28" s="15" t="str">
        <f>IF(Table2[[#This Row],[Notes]]="","",LEFT(Table2[[#This Row],[Notes]],FIND(CHAR(10),Table2[[#This Row],[Notes]]&amp;CHAR(10))-1))</f>
        <v>10.15.21 Reach out to contact again:2</v>
      </c>
      <c r="F28" s="15">
        <f>DATEVALUE(SUBSTITUTE(LEFT(E28,SEARCH(" ",E28)-1),".","/"))</f>
        <v>44484</v>
      </c>
      <c r="G28" s="20">
        <f ca="1">IF(ISERROR(F28),TODAY(),F28)</f>
        <v>44484</v>
      </c>
      <c r="H28" s="3" t="s">
        <v>67</v>
      </c>
      <c r="I28" s="15"/>
      <c r="J28" s="22"/>
      <c r="K28" s="15"/>
      <c r="L28" s="15"/>
      <c r="M28" s="15"/>
      <c r="N28" s="15"/>
      <c r="O28" s="15"/>
      <c r="P28" s="15"/>
      <c r="Q28" s="15"/>
      <c r="R28" s="15"/>
      <c r="S28" s="15"/>
      <c r="T28" s="15"/>
      <c r="U28" s="15"/>
      <c r="V28" s="15"/>
      <c r="W28" s="15"/>
      <c r="X28" s="15"/>
      <c r="Y28" s="15"/>
      <c r="Z28" s="15"/>
      <c r="AA28" s="15"/>
      <c r="AB28" s="15"/>
    </row>
    <row r="29" spans="1:28" ht="120.75" thickBot="1" x14ac:dyDescent="0.3">
      <c r="A29" s="29" t="s">
        <v>54</v>
      </c>
      <c r="B29" s="16" t="str">
        <f xml:space="preserve"> MID(A29,SEARCH(":",A29)+2,SEARCH(":",A29,SEARCH(":",A29)+1)-SEARCH(":",A29)-3)</f>
        <v>Trenton Cold Storage</v>
      </c>
      <c r="C29" s="16" t="str">
        <f>"part:"&amp;MID(A29,SEARCH(":",A29)+1,SEARCH(":",A29,SEARCH(":",A29)+1)-SEARCH(":",A29)-1)</f>
        <v xml:space="preserve">part: Trenton Cold Storage </v>
      </c>
      <c r="D29" s="27" t="s">
        <v>118</v>
      </c>
      <c r="E29" s="15" t="str">
        <f>IF(Table2[[#This Row],[Notes]]="","",LEFT(Table2[[#This Row],[Notes]],FIND(CHAR(10),Table2[[#This Row],[Notes]]&amp;CHAR(10))-1))</f>
        <v>10.15.21 Reach out to new Contact:2</v>
      </c>
      <c r="F29" s="16">
        <f>DATEVALUE(SUBSTITUTE(LEFT(E29,SEARCH(" ",E29)-1),".","/"))</f>
        <v>44484</v>
      </c>
      <c r="G29" s="20">
        <f ca="1">IF(ISERROR(F29),TODAY(),F29)</f>
        <v>44484</v>
      </c>
      <c r="H29" s="16"/>
      <c r="I29" s="16"/>
      <c r="J29" s="23"/>
      <c r="K29" s="16"/>
      <c r="L29" s="16"/>
      <c r="M29" s="16"/>
      <c r="N29" s="16"/>
      <c r="O29" s="16"/>
      <c r="P29" s="16"/>
      <c r="Q29" s="16"/>
      <c r="R29" s="16"/>
      <c r="S29" s="16"/>
      <c r="T29" s="16"/>
      <c r="U29" s="16"/>
      <c r="V29" s="16"/>
      <c r="W29" s="16"/>
      <c r="X29" s="16"/>
      <c r="Y29" s="16"/>
      <c r="Z29" s="16"/>
      <c r="AA29" s="16"/>
      <c r="AB29" s="16"/>
    </row>
    <row r="30" spans="1:28" s="7" customFormat="1" ht="60" x14ac:dyDescent="0.25">
      <c r="A30" s="30" t="s">
        <v>70</v>
      </c>
      <c r="B30" s="16" t="str">
        <f xml:space="preserve"> MID(A30,SEARCH(":",A30)+2,SEARCH(":",A30,SEARCH(":",A30)+1)-SEARCH(":",A30)-3)</f>
        <v>C2wireless SPS Vendor</v>
      </c>
      <c r="C30" s="15" t="str">
        <f>"part:"&amp;MID(A30,SEARCH(":",A30)+1,SEARCH(":",A30,SEARCH(":",A30)+1)-SEARCH(":",A30)-1)</f>
        <v xml:space="preserve">part: C2wireless SPS Vendor </v>
      </c>
      <c r="D30" s="35" t="s">
        <v>110</v>
      </c>
      <c r="E30" s="15" t="str">
        <f>IF(Table2[[#This Row],[Notes]]="","",LEFT(Table2[[#This Row],[Notes]],FIND(CHAR(10),Table2[[#This Row],[Notes]]&amp;CHAR(10))-1))</f>
        <v/>
      </c>
      <c r="F30" s="15" t="e">
        <f>DATEVALUE(SUBSTITUTE(LEFT(E30,SEARCH(" ",E30)-1),".","/"))</f>
        <v>#VALUE!</v>
      </c>
      <c r="G30" s="20">
        <f ca="1">IF(ISERROR(F30),TODAY(),F30)</f>
        <v>44487</v>
      </c>
      <c r="H30" s="3" t="s">
        <v>72</v>
      </c>
      <c r="I30" s="15"/>
      <c r="J30" s="22"/>
      <c r="K30" s="15"/>
      <c r="L30" s="15"/>
      <c r="M30" s="15"/>
      <c r="N30" s="15"/>
      <c r="O30" s="15"/>
      <c r="P30" s="15"/>
      <c r="Q30" s="15"/>
      <c r="R30" s="15"/>
      <c r="S30" s="15"/>
      <c r="T30" s="15"/>
      <c r="U30" s="15"/>
      <c r="V30" s="15"/>
      <c r="W30" s="15"/>
      <c r="X30" s="15"/>
      <c r="Y30" s="15"/>
      <c r="Z30" s="15"/>
      <c r="AA30" s="15"/>
      <c r="AB30" s="15"/>
    </row>
    <row r="31" spans="1:28" x14ac:dyDescent="0.2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0">
        <f ca="1">IF(ISERROR(F31),TODAY(),F31)</f>
        <v>44487</v>
      </c>
      <c r="H31" s="15"/>
      <c r="I31" s="15"/>
      <c r="J31" s="22"/>
      <c r="K31" s="15"/>
      <c r="L31" s="15"/>
      <c r="M31" s="15"/>
      <c r="N31" s="15"/>
      <c r="O31" s="15"/>
      <c r="P31" s="15"/>
      <c r="Q31" s="15"/>
      <c r="R31" s="15"/>
      <c r="S31" s="15"/>
      <c r="T31" s="15"/>
      <c r="U31" s="15"/>
      <c r="V31" s="15"/>
      <c r="W31" s="15"/>
      <c r="X31" s="15"/>
      <c r="Y31" s="15"/>
      <c r="Z31" s="15"/>
      <c r="AA31" s="15"/>
      <c r="AB31" s="15"/>
    </row>
    <row r="32" spans="1:28" x14ac:dyDescent="0.2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0">
        <f ca="1">IF(ISERROR(F32),TODAY(),F32)</f>
        <v>44487</v>
      </c>
      <c r="H32" s="15"/>
      <c r="I32" s="15"/>
      <c r="J32" s="22"/>
      <c r="K32" s="15"/>
      <c r="L32" s="15"/>
      <c r="M32" s="15"/>
      <c r="N32" s="15"/>
      <c r="O32" s="15"/>
      <c r="P32" s="15"/>
      <c r="Q32" s="15"/>
      <c r="R32" s="15"/>
      <c r="S32" s="15"/>
      <c r="T32" s="15"/>
      <c r="U32" s="15"/>
      <c r="V32" s="15"/>
      <c r="W32" s="15"/>
      <c r="X32" s="15"/>
      <c r="Y32" s="15"/>
      <c r="Z32" s="15"/>
      <c r="AA32" s="15"/>
      <c r="AB32" s="15"/>
    </row>
    <row r="33" spans="2:28" x14ac:dyDescent="0.2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0">
        <f ca="1">IF(ISERROR(F33),TODAY(),F33)</f>
        <v>44487</v>
      </c>
      <c r="H33" s="15"/>
      <c r="I33" s="15"/>
      <c r="J33" s="22"/>
      <c r="K33" s="15"/>
      <c r="L33" s="15"/>
      <c r="M33" s="15"/>
      <c r="N33" s="15"/>
      <c r="O33" s="15"/>
      <c r="P33" s="15"/>
      <c r="Q33" s="15"/>
      <c r="R33" s="15"/>
      <c r="S33" s="15"/>
      <c r="T33" s="15"/>
      <c r="U33" s="15"/>
      <c r="V33" s="15"/>
      <c r="W33" s="15"/>
      <c r="X33" s="15"/>
      <c r="Y33" s="15"/>
      <c r="Z33" s="15"/>
      <c r="AA33" s="15"/>
      <c r="AB33" s="15"/>
    </row>
    <row r="34" spans="2:28" x14ac:dyDescent="0.2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0">
        <f ca="1">IF(ISERROR(F34),TODAY(),F34)</f>
        <v>44487</v>
      </c>
      <c r="H34" s="15"/>
      <c r="I34" s="15"/>
      <c r="J34" s="22"/>
      <c r="K34" s="15"/>
      <c r="L34" s="15"/>
      <c r="M34" s="15"/>
      <c r="N34" s="15"/>
      <c r="O34" s="15"/>
      <c r="P34" s="15"/>
      <c r="Q34" s="15"/>
      <c r="R34" s="15"/>
      <c r="S34" s="15"/>
      <c r="T34" s="15"/>
      <c r="U34" s="15"/>
      <c r="V34" s="15"/>
      <c r="W34" s="15"/>
      <c r="X34" s="15"/>
      <c r="Y34" s="15"/>
      <c r="Z34" s="15"/>
      <c r="AA34" s="15"/>
      <c r="AB34" s="15"/>
    </row>
    <row r="35" spans="2:28" x14ac:dyDescent="0.2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0">
        <f ca="1">IF(ISERROR(F35),TODAY(),F35)</f>
        <v>44487</v>
      </c>
      <c r="H35" s="15"/>
      <c r="I35" s="15"/>
      <c r="J35" s="22"/>
      <c r="K35" s="15"/>
      <c r="L35" s="15"/>
      <c r="M35" s="15"/>
      <c r="N35" s="15"/>
      <c r="O35" s="15"/>
      <c r="P35" s="15"/>
      <c r="Q35" s="15"/>
      <c r="R35" s="15"/>
      <c r="S35" s="15"/>
      <c r="T35" s="15"/>
      <c r="U35" s="15"/>
      <c r="V35" s="15"/>
      <c r="W35" s="15"/>
      <c r="X35" s="15"/>
      <c r="Y35" s="15"/>
      <c r="Z35" s="15"/>
      <c r="AA35" s="15"/>
      <c r="AB35" s="15"/>
    </row>
    <row r="36" spans="2:28" x14ac:dyDescent="0.2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0">
        <f ca="1">IF(ISERROR(F36),TODAY(),F36)</f>
        <v>44487</v>
      </c>
      <c r="H36" s="15"/>
      <c r="I36" s="15"/>
      <c r="J36" s="22"/>
      <c r="K36" s="15"/>
      <c r="L36" s="15"/>
      <c r="M36" s="15"/>
      <c r="N36" s="15"/>
      <c r="O36" s="15"/>
      <c r="P36" s="15"/>
      <c r="Q36" s="15"/>
      <c r="R36" s="15"/>
      <c r="S36" s="15"/>
      <c r="T36" s="15"/>
      <c r="U36" s="15"/>
      <c r="V36" s="15"/>
      <c r="W36" s="15"/>
      <c r="X36" s="15"/>
      <c r="Y36" s="15"/>
      <c r="Z36" s="15"/>
      <c r="AA36" s="15"/>
      <c r="AB36" s="15"/>
    </row>
    <row r="37" spans="2:28" x14ac:dyDescent="0.2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0">
        <f ca="1">IF(ISERROR(F37),TODAY(),F37)</f>
        <v>44487</v>
      </c>
      <c r="H37" s="15"/>
      <c r="I37" s="15"/>
      <c r="J37" s="22"/>
      <c r="K37" s="15"/>
      <c r="L37" s="15"/>
      <c r="M37" s="15"/>
      <c r="N37" s="15"/>
      <c r="O37" s="15"/>
      <c r="P37" s="15"/>
      <c r="Q37" s="15"/>
      <c r="R37" s="15"/>
      <c r="S37" s="15"/>
      <c r="T37" s="15"/>
      <c r="U37" s="15"/>
      <c r="V37" s="15"/>
      <c r="W37" s="15"/>
      <c r="X37" s="15"/>
      <c r="Y37" s="15"/>
      <c r="Z37" s="15"/>
      <c r="AA37" s="15"/>
      <c r="AB37" s="15"/>
    </row>
    <row r="38" spans="2:28" x14ac:dyDescent="0.2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0">
        <f ca="1">IF(ISERROR(F38),TODAY(),F38)</f>
        <v>44487</v>
      </c>
      <c r="H38" s="15"/>
      <c r="I38" s="15"/>
      <c r="J38" s="22"/>
      <c r="K38" s="15"/>
      <c r="L38" s="15"/>
      <c r="M38" s="15"/>
      <c r="N38" s="15"/>
      <c r="O38" s="15"/>
      <c r="P38" s="15"/>
      <c r="Q38" s="15"/>
      <c r="R38" s="15"/>
      <c r="S38" s="15"/>
      <c r="T38" s="15"/>
      <c r="U38" s="15"/>
      <c r="V38" s="15"/>
      <c r="W38" s="15"/>
      <c r="X38" s="15"/>
      <c r="Y38" s="15"/>
      <c r="Z38" s="15"/>
      <c r="AA38" s="15"/>
      <c r="AB38" s="15"/>
    </row>
    <row r="39" spans="2:28" x14ac:dyDescent="0.2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0">
        <f ca="1">IF(ISERROR(F39),TODAY(),F39)</f>
        <v>44487</v>
      </c>
      <c r="H39" s="15"/>
      <c r="I39" s="15"/>
      <c r="J39" s="22"/>
      <c r="K39" s="15"/>
      <c r="L39" s="15"/>
      <c r="M39" s="15"/>
      <c r="N39" s="15"/>
      <c r="O39" s="15"/>
      <c r="P39" s="15"/>
      <c r="Q39" s="15"/>
      <c r="R39" s="15"/>
      <c r="S39" s="15"/>
      <c r="T39" s="15"/>
      <c r="U39" s="15"/>
      <c r="V39" s="15"/>
      <c r="W39" s="15"/>
      <c r="X39" s="15"/>
      <c r="Y39" s="15"/>
      <c r="Z39" s="15"/>
      <c r="AA39" s="15"/>
      <c r="AB39" s="15"/>
    </row>
    <row r="40" spans="2:28" x14ac:dyDescent="0.2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0">
        <f ca="1">IF(ISERROR(F40),TODAY(),F40)</f>
        <v>44487</v>
      </c>
      <c r="H40" s="15"/>
      <c r="I40" s="15"/>
      <c r="J40" s="22"/>
      <c r="K40" s="15"/>
      <c r="L40" s="15"/>
      <c r="M40" s="15"/>
      <c r="N40" s="15"/>
      <c r="O40" s="15"/>
      <c r="P40" s="15"/>
      <c r="Q40" s="15"/>
      <c r="R40" s="15"/>
      <c r="S40" s="15"/>
      <c r="T40" s="15"/>
      <c r="U40" s="15"/>
      <c r="V40" s="15"/>
      <c r="W40" s="15"/>
      <c r="X40" s="15"/>
      <c r="Y40" s="15"/>
      <c r="Z40" s="15"/>
      <c r="AA40" s="15"/>
      <c r="AB40" s="15"/>
    </row>
    <row r="41" spans="2:28" x14ac:dyDescent="0.2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0">
        <f ca="1">IF(ISERROR(F41),TODAY(),F41)</f>
        <v>44487</v>
      </c>
      <c r="H41" s="15"/>
      <c r="I41" s="15"/>
      <c r="J41" s="22"/>
      <c r="K41" s="15"/>
      <c r="L41" s="15"/>
      <c r="M41" s="15"/>
      <c r="N41" s="15"/>
      <c r="O41" s="15"/>
      <c r="P41" s="15"/>
      <c r="Q41" s="15"/>
      <c r="R41" s="15"/>
      <c r="S41" s="15"/>
      <c r="T41" s="15"/>
      <c r="U41" s="15"/>
      <c r="V41" s="15"/>
      <c r="W41" s="15"/>
      <c r="X41" s="15"/>
      <c r="Y41" s="15"/>
      <c r="Z41" s="15"/>
      <c r="AA41" s="15"/>
      <c r="AB41" s="15"/>
    </row>
    <row r="42" spans="2:28" x14ac:dyDescent="0.2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0">
        <f ca="1">IF(ISERROR(F42),TODAY(),F42)</f>
        <v>44487</v>
      </c>
      <c r="H42" s="15"/>
      <c r="I42" s="15"/>
      <c r="J42" s="22"/>
      <c r="K42" s="15"/>
      <c r="L42" s="15"/>
      <c r="M42" s="15"/>
      <c r="N42" s="15"/>
      <c r="O42" s="15"/>
      <c r="P42" s="15"/>
      <c r="Q42" s="15"/>
      <c r="R42" s="15"/>
      <c r="S42" s="15"/>
      <c r="T42" s="15"/>
      <c r="U42" s="15"/>
      <c r="V42" s="15"/>
      <c r="W42" s="15"/>
      <c r="X42" s="15"/>
      <c r="Y42" s="15"/>
      <c r="Z42" s="15"/>
      <c r="AA42" s="15"/>
      <c r="AB42" s="15"/>
    </row>
    <row r="43" spans="2:28" x14ac:dyDescent="0.2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0">
        <f ca="1">IF(ISERROR(F43),TODAY(),F43)</f>
        <v>44487</v>
      </c>
      <c r="H43" s="15"/>
      <c r="I43" s="15"/>
      <c r="J43" s="22"/>
      <c r="K43" s="15"/>
      <c r="L43" s="15"/>
      <c r="M43" s="15"/>
      <c r="N43" s="15"/>
      <c r="O43" s="15"/>
      <c r="P43" s="15"/>
      <c r="Q43" s="15"/>
      <c r="R43" s="15"/>
      <c r="S43" s="15"/>
      <c r="T43" s="15"/>
      <c r="U43" s="15"/>
      <c r="V43" s="15"/>
      <c r="W43" s="15"/>
      <c r="X43" s="15"/>
      <c r="Y43" s="15"/>
      <c r="Z43" s="15"/>
      <c r="AA43" s="15"/>
      <c r="AB43" s="15"/>
    </row>
    <row r="44" spans="2:28" x14ac:dyDescent="0.2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0">
        <f ca="1">IF(ISERROR(F44),TODAY(),F44)</f>
        <v>44487</v>
      </c>
      <c r="H44" s="15"/>
      <c r="I44" s="15"/>
      <c r="J44" s="22"/>
      <c r="K44" s="15"/>
      <c r="L44" s="15"/>
      <c r="M44" s="15"/>
      <c r="N44" s="15"/>
      <c r="O44" s="15"/>
      <c r="P44" s="15"/>
      <c r="Q44" s="15"/>
      <c r="R44" s="15"/>
      <c r="S44" s="15"/>
      <c r="T44" s="15"/>
      <c r="U44" s="15"/>
      <c r="V44" s="15"/>
      <c r="W44" s="15"/>
      <c r="X44" s="15"/>
      <c r="Y44" s="15"/>
      <c r="Z44" s="15"/>
      <c r="AA44" s="15"/>
      <c r="AB44" s="15"/>
    </row>
    <row r="45" spans="2:28" x14ac:dyDescent="0.2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0">
        <f ca="1">IF(ISERROR(F45),TODAY(),F45)</f>
        <v>44487</v>
      </c>
      <c r="H45" s="15"/>
      <c r="I45" s="15"/>
      <c r="J45" s="22"/>
      <c r="K45" s="15"/>
      <c r="L45" s="15"/>
      <c r="M45" s="15"/>
      <c r="N45" s="15"/>
      <c r="O45" s="15"/>
      <c r="P45" s="15"/>
      <c r="Q45" s="15"/>
      <c r="R45" s="15"/>
      <c r="S45" s="15"/>
      <c r="T45" s="15"/>
      <c r="U45" s="15"/>
      <c r="V45" s="15"/>
      <c r="W45" s="15"/>
      <c r="X45" s="15"/>
      <c r="Y45" s="15"/>
      <c r="Z45" s="15"/>
      <c r="AA45" s="15"/>
      <c r="AB45" s="15"/>
    </row>
    <row r="46" spans="2:28" x14ac:dyDescent="0.2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0">
        <f ca="1">IF(ISERROR(F46),TODAY(),F46)</f>
        <v>44487</v>
      </c>
      <c r="H46" s="15"/>
      <c r="I46" s="15"/>
      <c r="J46" s="22"/>
      <c r="K46" s="15"/>
      <c r="L46" s="15"/>
      <c r="M46" s="15"/>
      <c r="N46" s="15"/>
      <c r="O46" s="15"/>
      <c r="P46" s="15"/>
      <c r="Q46" s="15"/>
      <c r="R46" s="15"/>
      <c r="S46" s="15"/>
      <c r="T46" s="15"/>
      <c r="U46" s="15"/>
      <c r="V46" s="15"/>
      <c r="W46" s="15"/>
      <c r="X46" s="15"/>
      <c r="Y46" s="15"/>
      <c r="Z46" s="15"/>
      <c r="AA46" s="15"/>
      <c r="AB46" s="15"/>
    </row>
    <row r="47" spans="2:28" x14ac:dyDescent="0.2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0">
        <f ca="1">IF(ISERROR(F47),TODAY(),F47)</f>
        <v>44487</v>
      </c>
      <c r="H47" s="15"/>
      <c r="I47" s="15"/>
      <c r="J47" s="22"/>
      <c r="K47" s="15"/>
      <c r="L47" s="15"/>
      <c r="M47" s="15"/>
      <c r="N47" s="15"/>
      <c r="O47" s="15"/>
      <c r="P47" s="15"/>
      <c r="Q47" s="15"/>
      <c r="R47" s="15"/>
      <c r="S47" s="15"/>
      <c r="T47" s="15"/>
      <c r="U47" s="15"/>
      <c r="V47" s="15"/>
      <c r="W47" s="15"/>
      <c r="X47" s="15"/>
      <c r="Y47" s="15"/>
      <c r="Z47" s="15"/>
      <c r="AA47" s="15"/>
      <c r="AB47" s="15"/>
    </row>
    <row r="48" spans="2:28" x14ac:dyDescent="0.2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0">
        <f ca="1">IF(ISERROR(F48),TODAY(),F48)</f>
        <v>44487</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0">
        <f ca="1">IF(ISERROR(F49),TODAY(),F49)</f>
        <v>44487</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0">
        <f ca="1">IF(ISERROR(F50),TODAY(),F50)</f>
        <v>44487</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xml:space="preserve"> MID(A51,SEARCH(":",A51)+2,SEARCH(":",A51,SEARCH(":",A51)+1)-SEARCH(":",A51)-3)</f>
        <v>#VALUE!</v>
      </c>
      <c r="C51" s="15" t="e">
        <f>"part:"&amp;MID(A51,SEARCH(":",A51)+1,SEARCH(":",A51,SEARCH(":",A51)+1)-SEARCH(":",A51)-1)</f>
        <v>#VALUE!</v>
      </c>
      <c r="D51" s="15"/>
      <c r="E51" s="15" t="str">
        <f>IF(Table2[[#This Row],[Notes]]="","",LEFT(Table2[[#This Row],[Notes]],FIND(CHAR(10),Table2[[#This Row],[Notes]]&amp;CHAR(10))-1))</f>
        <v/>
      </c>
      <c r="F51" s="15" t="e">
        <f>DATEVALUE(SUBSTITUTE(LEFT(E51,SEARCH(" ",E51)-1),".","/"))</f>
        <v>#VALUE!</v>
      </c>
      <c r="G51" s="20">
        <f ca="1">IF(ISERROR(F51),TODAY(),F51)</f>
        <v>44487</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xml:space="preserve"> MID(A52,SEARCH(":",A52)+2,SEARCH(":",A52,SEARCH(":",A52)+1)-SEARCH(":",A52)-3)</f>
        <v>#VALUE!</v>
      </c>
      <c r="C52" s="15" t="e">
        <f>"part:"&amp;MID(A52,SEARCH(":",A52)+1,SEARCH(":",A52,SEARCH(":",A52)+1)-SEARCH(":",A52)-1)</f>
        <v>#VALUE!</v>
      </c>
      <c r="D52" s="15"/>
      <c r="E52" s="15" t="str">
        <f>IF(Table2[[#This Row],[Notes]]="","",LEFT(Table2[[#This Row],[Notes]],FIND(CHAR(10),Table2[[#This Row],[Notes]]&amp;CHAR(10))-1))</f>
        <v/>
      </c>
      <c r="F52" s="15" t="e">
        <f>DATEVALUE(SUBSTITUTE(LEFT(E52,SEARCH(" ",E52)-1),".","/"))</f>
        <v>#VALUE!</v>
      </c>
      <c r="G52" s="20">
        <f ca="1">IF(ISERROR(F52),TODAY(),F52)</f>
        <v>44487</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xml:space="preserve"> MID(A53,SEARCH(":",A53)+2,SEARCH(":",A53,SEARCH(":",A53)+1)-SEARCH(":",A53)-3)</f>
        <v>#VALUE!</v>
      </c>
      <c r="C53" s="15" t="e">
        <f>"part:"&amp;MID(A53,SEARCH(":",A53)+1,SEARCH(":",A53,SEARCH(":",A53)+1)-SEARCH(":",A53)-1)</f>
        <v>#VALUE!</v>
      </c>
      <c r="D53" s="15"/>
      <c r="E53" s="15" t="str">
        <f>IF(Table2[[#This Row],[Notes]]="","",LEFT(Table2[[#This Row],[Notes]],FIND(CHAR(10),Table2[[#This Row],[Notes]]&amp;CHAR(10))-1))</f>
        <v/>
      </c>
      <c r="F53" s="15" t="e">
        <f>DATEVALUE(SUBSTITUTE(LEFT(E53,SEARCH(" ",E53)-1),".","/"))</f>
        <v>#VALUE!</v>
      </c>
      <c r="G53" s="20">
        <f ca="1">IF(ISERROR(F53),TODAY(),F53)</f>
        <v>44487</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xml:space="preserve"> MID(A54,SEARCH(":",A54)+2,SEARCH(":",A54,SEARCH(":",A54)+1)-SEARCH(":",A54)-3)</f>
        <v>#VALUE!</v>
      </c>
      <c r="C54" s="15" t="e">
        <f>"part:"&amp;MID(A54,SEARCH(":",A54)+1,SEARCH(":",A54,SEARCH(":",A54)+1)-SEARCH(":",A54)-1)</f>
        <v>#VALUE!</v>
      </c>
      <c r="D54" s="15"/>
      <c r="E54" s="15" t="str">
        <f>IF(Table2[[#This Row],[Notes]]="","",LEFT(Table2[[#This Row],[Notes]],FIND(CHAR(10),Table2[[#This Row],[Notes]]&amp;CHAR(10))-1))</f>
        <v/>
      </c>
      <c r="F54" s="15" t="e">
        <f>DATEVALUE(SUBSTITUTE(LEFT(E54,SEARCH(" ",E54)-1),".","/"))</f>
        <v>#VALUE!</v>
      </c>
      <c r="G54" s="20">
        <f ca="1">IF(ISERROR(F54),TODAY(),F54)</f>
        <v>44487</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xml:space="preserve"> MID(A55,SEARCH(":",A55)+2,SEARCH(":",A55,SEARCH(":",A55)+1)-SEARCH(":",A55)-3)</f>
        <v>#VALUE!</v>
      </c>
      <c r="C55" s="15" t="e">
        <f>"part:"&amp;MID(A55,SEARCH(":",A55)+1,SEARCH(":",A55,SEARCH(":",A55)+1)-SEARCH(":",A55)-1)</f>
        <v>#VALUE!</v>
      </c>
      <c r="D55" s="15"/>
      <c r="E55" s="15" t="str">
        <f>IF(Table2[[#This Row],[Notes]]="","",LEFT(Table2[[#This Row],[Notes]],FIND(CHAR(10),Table2[[#This Row],[Notes]]&amp;CHAR(10))-1))</f>
        <v/>
      </c>
      <c r="F55" s="15" t="e">
        <f>DATEVALUE(SUBSTITUTE(LEFT(E55,SEARCH(" ",E55)-1),".","/"))</f>
        <v>#VALUE!</v>
      </c>
      <c r="G55" s="20">
        <f ca="1">IF(ISERROR(F55),TODAY(),F55)</f>
        <v>44487</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xml:space="preserve"> MID(A56,SEARCH(":",A56)+2,SEARCH(":",A56,SEARCH(":",A56)+1)-SEARCH(":",A56)-3)</f>
        <v>#VALUE!</v>
      </c>
      <c r="C56" s="15" t="e">
        <f>"part:"&amp;MID(A56,SEARCH(":",A56)+1,SEARCH(":",A56,SEARCH(":",A56)+1)-SEARCH(":",A56)-1)</f>
        <v>#VALUE!</v>
      </c>
      <c r="D56" s="15"/>
      <c r="E56" s="15" t="str">
        <f>IF(Table2[[#This Row],[Notes]]="","",LEFT(Table2[[#This Row],[Notes]],FIND(CHAR(10),Table2[[#This Row],[Notes]]&amp;CHAR(10))-1))</f>
        <v/>
      </c>
      <c r="F56" s="15" t="e">
        <f>DATEVALUE(SUBSTITUTE(LEFT(E56,SEARCH(" ",E56)-1),".","/"))</f>
        <v>#VALUE!</v>
      </c>
      <c r="G56" s="20">
        <f ca="1">IF(ISERROR(F56),TODAY(),F56)</f>
        <v>44487</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xml:space="preserve"> MID(A57,SEARCH(":",A57)+2,SEARCH(":",A57,SEARCH(":",A57)+1)-SEARCH(":",A57)-3)</f>
        <v>#VALUE!</v>
      </c>
      <c r="C57" s="15" t="e">
        <f>"part:"&amp;MID(A57,SEARCH(":",A57)+1,SEARCH(":",A57,SEARCH(":",A57)+1)-SEARCH(":",A57)-1)</f>
        <v>#VALUE!</v>
      </c>
      <c r="D57" s="15"/>
      <c r="E57" s="15" t="str">
        <f>IF(Table2[[#This Row],[Notes]]="","",LEFT(Table2[[#This Row],[Notes]],FIND(CHAR(10),Table2[[#This Row],[Notes]]&amp;CHAR(10))-1))</f>
        <v/>
      </c>
      <c r="F57" s="15" t="e">
        <f>DATEVALUE(SUBSTITUTE(LEFT(E57,SEARCH(" ",E57)-1),".","/"))</f>
        <v>#VALUE!</v>
      </c>
      <c r="G57" s="20">
        <f ca="1">IF(ISERROR(F57),TODAY(),F57)</f>
        <v>44487</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xml:space="preserve"> MID(A58,SEARCH(":",A58)+2,SEARCH(":",A58,SEARCH(":",A58)+1)-SEARCH(":",A58)-3)</f>
        <v>#VALUE!</v>
      </c>
      <c r="C58" s="15" t="e">
        <f>"part:"&amp;MID(A58,SEARCH(":",A58)+1,SEARCH(":",A58,SEARCH(":",A58)+1)-SEARCH(":",A58)-1)</f>
        <v>#VALUE!</v>
      </c>
      <c r="D58" s="15"/>
      <c r="E58" s="15" t="str">
        <f>IF(Table2[[#This Row],[Notes]]="","",LEFT(Table2[[#This Row],[Notes]],FIND(CHAR(10),Table2[[#This Row],[Notes]]&amp;CHAR(10))-1))</f>
        <v/>
      </c>
      <c r="F58" s="15" t="e">
        <f>DATEVALUE(SUBSTITUTE(LEFT(E58,SEARCH(" ",E58)-1),".","/"))</f>
        <v>#VALUE!</v>
      </c>
      <c r="G58" s="20">
        <f ca="1">IF(ISERROR(F58),TODAY(),F58)</f>
        <v>44487</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xml:space="preserve"> MID(A59,SEARCH(":",A59)+2,SEARCH(":",A59,SEARCH(":",A59)+1)-SEARCH(":",A59)-3)</f>
        <v>#VALUE!</v>
      </c>
      <c r="C59" s="15" t="e">
        <f>"part:"&amp;MID(A59,SEARCH(":",A59)+1,SEARCH(":",A59,SEARCH(":",A59)+1)-SEARCH(":",A59)-1)</f>
        <v>#VALUE!</v>
      </c>
      <c r="D59" s="15"/>
      <c r="E59" s="15" t="str">
        <f>IF(Table2[[#This Row],[Notes]]="","",LEFT(Table2[[#This Row],[Notes]],FIND(CHAR(10),Table2[[#This Row],[Notes]]&amp;CHAR(10))-1))</f>
        <v/>
      </c>
      <c r="F59" s="15" t="e">
        <f>DATEVALUE(SUBSTITUTE(LEFT(E59,SEARCH(" ",E59)-1),".","/"))</f>
        <v>#VALUE!</v>
      </c>
      <c r="G59" s="20">
        <f ca="1">IF(ISERROR(F59),TODAY(),F59)</f>
        <v>44487</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xml:space="preserve"> MID(A60,SEARCH(":",A60)+2,SEARCH(":",A60,SEARCH(":",A60)+1)-SEARCH(":",A60)-3)</f>
        <v>#VALUE!</v>
      </c>
      <c r="C60" s="15" t="e">
        <f>"part:"&amp;MID(A60,SEARCH(":",A60)+1,SEARCH(":",A60,SEARCH(":",A60)+1)-SEARCH(":",A60)-1)</f>
        <v>#VALUE!</v>
      </c>
      <c r="D60" s="15"/>
      <c r="E60" s="15" t="str">
        <f>IF(Table2[[#This Row],[Notes]]="","",LEFT(Table2[[#This Row],[Notes]],FIND(CHAR(10),Table2[[#This Row],[Notes]]&amp;CHAR(10))-1))</f>
        <v/>
      </c>
      <c r="F60" s="15" t="e">
        <f>DATEVALUE(SUBSTITUTE(LEFT(E60,SEARCH(" ",E60)-1),".","/"))</f>
        <v>#VALUE!</v>
      </c>
      <c r="G60" s="20">
        <f ca="1">IF(ISERROR(F60),TODAY(),F60)</f>
        <v>44487</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xml:space="preserve"> MID(A61,SEARCH(":",A61)+2,SEARCH(":",A61,SEARCH(":",A61)+1)-SEARCH(":",A61)-3)</f>
        <v>#VALUE!</v>
      </c>
      <c r="C61" s="15" t="e">
        <f>"part:"&amp;MID(A61,SEARCH(":",A61)+1,SEARCH(":",A61,SEARCH(":",A61)+1)-SEARCH(":",A61)-1)</f>
        <v>#VALUE!</v>
      </c>
      <c r="D61" s="15"/>
      <c r="E61" s="15" t="str">
        <f>IF(Table2[[#This Row],[Notes]]="","",LEFT(Table2[[#This Row],[Notes]],FIND(CHAR(10),Table2[[#This Row],[Notes]]&amp;CHAR(10))-1))</f>
        <v/>
      </c>
      <c r="F61" s="15" t="e">
        <f>DATEVALUE(SUBSTITUTE(LEFT(E61,SEARCH(" ",E61)-1),".","/"))</f>
        <v>#VALUE!</v>
      </c>
      <c r="G61" s="20">
        <f ca="1">IF(ISERROR(F61),TODAY(),F61)</f>
        <v>44487</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xml:space="preserve"> MID(A62,SEARCH(":",A62)+2,SEARCH(":",A62,SEARCH(":",A62)+1)-SEARCH(":",A62)-3)</f>
        <v>#VALUE!</v>
      </c>
      <c r="C62" s="15" t="e">
        <f>"part:"&amp;MID(A62,SEARCH(":",A62)+1,SEARCH(":",A62,SEARCH(":",A62)+1)-SEARCH(":",A62)-1)</f>
        <v>#VALUE!</v>
      </c>
      <c r="D62" s="15"/>
      <c r="E62" s="15" t="str">
        <f>IF(Table2[[#This Row],[Notes]]="","",LEFT(Table2[[#This Row],[Notes]],FIND(CHAR(10),Table2[[#This Row],[Notes]]&amp;CHAR(10))-1))</f>
        <v/>
      </c>
      <c r="F62" s="15" t="e">
        <f>DATEVALUE(SUBSTITUTE(LEFT(E62,SEARCH(" ",E62)-1),".","/"))</f>
        <v>#VALUE!</v>
      </c>
      <c r="G62" s="20">
        <f ca="1">IF(ISERROR(F62),TODAY(),F62)</f>
        <v>44487</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xml:space="preserve"> MID(A63,SEARCH(":",A63)+2,SEARCH(":",A63,SEARCH(":",A63)+1)-SEARCH(":",A63)-3)</f>
        <v>#VALUE!</v>
      </c>
      <c r="C63" s="15" t="e">
        <f>"part:"&amp;MID(A63,SEARCH(":",A63)+1,SEARCH(":",A63,SEARCH(":",A63)+1)-SEARCH(":",A63)-1)</f>
        <v>#VALUE!</v>
      </c>
      <c r="D63" s="15"/>
      <c r="E63" s="15" t="str">
        <f>IF(Table2[[#This Row],[Notes]]="","",LEFT(Table2[[#This Row],[Notes]],FIND(CHAR(10),Table2[[#This Row],[Notes]]&amp;CHAR(10))-1))</f>
        <v/>
      </c>
      <c r="F63" s="15" t="e">
        <f>DATEVALUE(SUBSTITUTE(LEFT(E63,SEARCH(" ",E63)-1),".","/"))</f>
        <v>#VALUE!</v>
      </c>
      <c r="G63" s="20">
        <f ca="1">IF(ISERROR(F63),TODAY(),F63)</f>
        <v>44487</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xml:space="preserve"> MID(A64,SEARCH(":",A64)+2,SEARCH(":",A64,SEARCH(":",A64)+1)-SEARCH(":",A64)-3)</f>
        <v>#VALUE!</v>
      </c>
      <c r="C64" s="15" t="e">
        <f>"part:"&amp;MID(A64,SEARCH(":",A64)+1,SEARCH(":",A64,SEARCH(":",A64)+1)-SEARCH(":",A64)-1)</f>
        <v>#VALUE!</v>
      </c>
      <c r="D64" s="15"/>
      <c r="E64" s="15" t="str">
        <f>IF(Table2[[#This Row],[Notes]]="","",LEFT(Table2[[#This Row],[Notes]],FIND(CHAR(10),Table2[[#This Row],[Notes]]&amp;CHAR(10))-1))</f>
        <v/>
      </c>
      <c r="F64" s="15" t="e">
        <f>DATEVALUE(SUBSTITUTE(LEFT(E64,SEARCH(" ",E64)-1),".","/"))</f>
        <v>#VALUE!</v>
      </c>
      <c r="G64" s="20">
        <f ca="1">IF(ISERROR(F64),TODAY(),F64)</f>
        <v>44487</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xml:space="preserve"> MID(A65,SEARCH(":",A65)+2,SEARCH(":",A65,SEARCH(":",A65)+1)-SEARCH(":",A65)-3)</f>
        <v>#VALUE!</v>
      </c>
      <c r="C65" s="15" t="e">
        <f>"part:"&amp;MID(A65,SEARCH(":",A65)+1,SEARCH(":",A65,SEARCH(":",A65)+1)-SEARCH(":",A65)-1)</f>
        <v>#VALUE!</v>
      </c>
      <c r="D65" s="15"/>
      <c r="E65" s="15" t="str">
        <f>IF(Table2[[#This Row],[Notes]]="","",LEFT(Table2[[#This Row],[Notes]],FIND(CHAR(10),Table2[[#This Row],[Notes]]&amp;CHAR(10))-1))</f>
        <v/>
      </c>
      <c r="F65" s="15" t="e">
        <f>DATEVALUE(SUBSTITUTE(LEFT(E65,SEARCH(" ",E65)-1),".","/"))</f>
        <v>#VALUE!</v>
      </c>
      <c r="G65" s="20">
        <f ca="1">IF(ISERROR(F65),TODAY(),F65)</f>
        <v>44487</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xml:space="preserve"> MID(A66,SEARCH(":",A66)+2,SEARCH(":",A66,SEARCH(":",A66)+1)-SEARCH(":",A66)-3)</f>
        <v>#VALUE!</v>
      </c>
      <c r="C66" s="15" t="e">
        <f>"part:"&amp;MID(A66,SEARCH(":",A66)+1,SEARCH(":",A66,SEARCH(":",A66)+1)-SEARCH(":",A66)-1)</f>
        <v>#VALUE!</v>
      </c>
      <c r="D66" s="15"/>
      <c r="E66" s="15" t="str">
        <f>IF(Table2[[#This Row],[Notes]]="","",LEFT(Table2[[#This Row],[Notes]],FIND(CHAR(10),Table2[[#This Row],[Notes]]&amp;CHAR(10))-1))</f>
        <v/>
      </c>
      <c r="F66" s="15" t="e">
        <f>DATEVALUE(SUBSTITUTE(LEFT(E66,SEARCH(" ",E66)-1),".","/"))</f>
        <v>#VALUE!</v>
      </c>
      <c r="G66" s="20">
        <f ca="1">IF(ISERROR(F66),TODAY(),F66)</f>
        <v>44487</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xml:space="preserve"> MID(A67,SEARCH(":",A67)+2,SEARCH(":",A67,SEARCH(":",A67)+1)-SEARCH(":",A67)-3)</f>
        <v>#VALUE!</v>
      </c>
      <c r="C67" s="15" t="e">
        <f>"part:"&amp;MID(A67,SEARCH(":",A67)+1,SEARCH(":",A67,SEARCH(":",A67)+1)-SEARCH(":",A67)-1)</f>
        <v>#VALUE!</v>
      </c>
      <c r="D67" s="15"/>
      <c r="E67" s="15" t="str">
        <f>IF(Table2[[#This Row],[Notes]]="","",LEFT(Table2[[#This Row],[Notes]],FIND(CHAR(10),Table2[[#This Row],[Notes]]&amp;CHAR(10))-1))</f>
        <v/>
      </c>
      <c r="F67" s="15" t="e">
        <f>DATEVALUE(SUBSTITUTE(LEFT(E67,SEARCH(" ",E67)-1),".","/"))</f>
        <v>#VALUE!</v>
      </c>
      <c r="G67" s="20">
        <f ca="1">IF(ISERROR(F67),TODAY(),F67)</f>
        <v>44487</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xml:space="preserve"> MID(A68,SEARCH(":",A68)+2,SEARCH(":",A68,SEARCH(":",A68)+1)-SEARCH(":",A68)-3)</f>
        <v>#VALUE!</v>
      </c>
      <c r="C68" s="15" t="e">
        <f>"part:"&amp;MID(A68,SEARCH(":",A68)+1,SEARCH(":",A68,SEARCH(":",A68)+1)-SEARCH(":",A68)-1)</f>
        <v>#VALUE!</v>
      </c>
      <c r="D68" s="15"/>
      <c r="E68" s="15" t="str">
        <f>IF(Table2[[#This Row],[Notes]]="","",LEFT(Table2[[#This Row],[Notes]],FIND(CHAR(10),Table2[[#This Row],[Notes]]&amp;CHAR(10))-1))</f>
        <v/>
      </c>
      <c r="F68" s="15" t="e">
        <f>DATEVALUE(SUBSTITUTE(LEFT(E68,SEARCH(" ",E68)-1),".","/"))</f>
        <v>#VALUE!</v>
      </c>
      <c r="G68" s="20">
        <f ca="1">IF(ISERROR(F68),TODAY(),F68)</f>
        <v>44487</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xml:space="preserve"> MID(A69,SEARCH(":",A69)+2,SEARCH(":",A69,SEARCH(":",A69)+1)-SEARCH(":",A69)-3)</f>
        <v>#VALUE!</v>
      </c>
      <c r="C69" s="15" t="e">
        <f>"part:"&amp;MID(A69,SEARCH(":",A69)+1,SEARCH(":",A69,SEARCH(":",A69)+1)-SEARCH(":",A69)-1)</f>
        <v>#VALUE!</v>
      </c>
      <c r="D69" s="15"/>
      <c r="E69" s="15" t="str">
        <f>IF(Table2[[#This Row],[Notes]]="","",LEFT(Table2[[#This Row],[Notes]],FIND(CHAR(10),Table2[[#This Row],[Notes]]&amp;CHAR(10))-1))</f>
        <v/>
      </c>
      <c r="F69" s="15" t="e">
        <f>DATEVALUE(SUBSTITUTE(LEFT(E69,SEARCH(" ",E69)-1),".","/"))</f>
        <v>#VALUE!</v>
      </c>
      <c r="G69" s="20">
        <f ca="1">IF(ISERROR(F69),TODAY(),F69)</f>
        <v>44487</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xml:space="preserve"> MID(A70,SEARCH(":",A70)+2,SEARCH(":",A70,SEARCH(":",A70)+1)-SEARCH(":",A70)-3)</f>
        <v>#VALUE!</v>
      </c>
      <c r="C70" s="15" t="e">
        <f>"part:"&amp;MID(A70,SEARCH(":",A70)+1,SEARCH(":",A70,SEARCH(":",A70)+1)-SEARCH(":",A70)-1)</f>
        <v>#VALUE!</v>
      </c>
      <c r="D70" s="15"/>
      <c r="E70" s="15" t="str">
        <f>IF(Table2[[#This Row],[Notes]]="","",LEFT(Table2[[#This Row],[Notes]],FIND(CHAR(10),Table2[[#This Row],[Notes]]&amp;CHAR(10))-1))</f>
        <v/>
      </c>
      <c r="F70" s="15" t="e">
        <f>DATEVALUE(SUBSTITUTE(LEFT(E70,SEARCH(" ",E70)-1),".","/"))</f>
        <v>#VALUE!</v>
      </c>
      <c r="G70" s="20">
        <f ca="1">IF(ISERROR(F70),TODAY(),F70)</f>
        <v>44487</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xml:space="preserve"> MID(A71,SEARCH(":",A71)+2,SEARCH(":",A71,SEARCH(":",A71)+1)-SEARCH(":",A71)-3)</f>
        <v>#VALUE!</v>
      </c>
      <c r="C71" s="15" t="e">
        <f>"part:"&amp;MID(A71,SEARCH(":",A71)+1,SEARCH(":",A71,SEARCH(":",A71)+1)-SEARCH(":",A71)-1)</f>
        <v>#VALUE!</v>
      </c>
      <c r="D71" s="15"/>
      <c r="E71" s="15" t="str">
        <f>IF(Table2[[#This Row],[Notes]]="","",LEFT(Table2[[#This Row],[Notes]],FIND(CHAR(10),Table2[[#This Row],[Notes]]&amp;CHAR(10))-1))</f>
        <v/>
      </c>
      <c r="F71" s="15" t="e">
        <f>DATEVALUE(SUBSTITUTE(LEFT(E71,SEARCH(" ",E71)-1),".","/"))</f>
        <v>#VALUE!</v>
      </c>
      <c r="G71" s="20">
        <f ca="1">IF(ISERROR(F71),TODAY(),F71)</f>
        <v>44487</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xml:space="preserve"> MID(A72,SEARCH(":",A72)+2,SEARCH(":",A72,SEARCH(":",A72)+1)-SEARCH(":",A72)-3)</f>
        <v>#VALUE!</v>
      </c>
      <c r="C72" s="15" t="e">
        <f>"part:"&amp;MID(A72,SEARCH(":",A72)+1,SEARCH(":",A72,SEARCH(":",A72)+1)-SEARCH(":",A72)-1)</f>
        <v>#VALUE!</v>
      </c>
      <c r="D72" s="15"/>
      <c r="E72" s="15" t="str">
        <f>IF(Table2[[#This Row],[Notes]]="","",LEFT(Table2[[#This Row],[Notes]],FIND(CHAR(10),Table2[[#This Row],[Notes]]&amp;CHAR(10))-1))</f>
        <v/>
      </c>
      <c r="F72" s="15" t="e">
        <f>DATEVALUE(SUBSTITUTE(LEFT(E72,SEARCH(" ",E72)-1),".","/"))</f>
        <v>#VALUE!</v>
      </c>
      <c r="G72" s="20">
        <f ca="1">IF(ISERROR(F72),TODAY(),F72)</f>
        <v>44487</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xml:space="preserve"> MID(A73,SEARCH(":",A73)+2,SEARCH(":",A73,SEARCH(":",A73)+1)-SEARCH(":",A73)-3)</f>
        <v>#VALUE!</v>
      </c>
      <c r="C73" s="15" t="e">
        <f>"part:"&amp;MID(A73,SEARCH(":",A73)+1,SEARCH(":",A73,SEARCH(":",A73)+1)-SEARCH(":",A73)-1)</f>
        <v>#VALUE!</v>
      </c>
      <c r="D73" s="15"/>
      <c r="E73" s="15" t="str">
        <f>IF(Table2[[#This Row],[Notes]]="","",LEFT(Table2[[#This Row],[Notes]],FIND(CHAR(10),Table2[[#This Row],[Notes]]&amp;CHAR(10))-1))</f>
        <v/>
      </c>
      <c r="F73" s="15" t="e">
        <f>DATEVALUE(SUBSTITUTE(LEFT(E73,SEARCH(" ",E73)-1),".","/"))</f>
        <v>#VALUE!</v>
      </c>
      <c r="G73" s="20">
        <f ca="1">IF(ISERROR(F73),TODAY(),F73)</f>
        <v>44487</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xml:space="preserve"> MID(A74,SEARCH(":",A74)+2,SEARCH(":",A74,SEARCH(":",A74)+1)-SEARCH(":",A74)-3)</f>
        <v>#VALUE!</v>
      </c>
      <c r="C74" s="15" t="e">
        <f>"part:"&amp;MID(A74,SEARCH(":",A74)+1,SEARCH(":",A74,SEARCH(":",A74)+1)-SEARCH(":",A74)-1)</f>
        <v>#VALUE!</v>
      </c>
      <c r="D74" s="15"/>
      <c r="E74" s="15" t="str">
        <f>IF(Table2[[#This Row],[Notes]]="","",LEFT(Table2[[#This Row],[Notes]],FIND(CHAR(10),Table2[[#This Row],[Notes]]&amp;CHAR(10))-1))</f>
        <v/>
      </c>
      <c r="F74" s="15" t="e">
        <f>DATEVALUE(SUBSTITUTE(LEFT(E74,SEARCH(" ",E74)-1),".","/"))</f>
        <v>#VALUE!</v>
      </c>
      <c r="G74" s="20">
        <f ca="1">IF(ISERROR(F74),TODAY(),F74)</f>
        <v>44487</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xml:space="preserve"> MID(A75,SEARCH(":",A75)+2,SEARCH(":",A75,SEARCH(":",A75)+1)-SEARCH(":",A75)-3)</f>
        <v>#VALUE!</v>
      </c>
      <c r="C75" s="15" t="e">
        <f>"part:"&amp;MID(A75,SEARCH(":",A75)+1,SEARCH(":",A75,SEARCH(":",A75)+1)-SEARCH(":",A75)-1)</f>
        <v>#VALUE!</v>
      </c>
      <c r="D75" s="15"/>
      <c r="E75" s="15" t="str">
        <f>IF(Table2[[#This Row],[Notes]]="","",LEFT(Table2[[#This Row],[Notes]],FIND(CHAR(10),Table2[[#This Row],[Notes]]&amp;CHAR(10))-1))</f>
        <v/>
      </c>
      <c r="F75" s="15" t="e">
        <f>DATEVALUE(SUBSTITUTE(LEFT(E75,SEARCH(" ",E75)-1),".","/"))</f>
        <v>#VALUE!</v>
      </c>
      <c r="G75" s="20">
        <f ca="1">IF(ISERROR(F75),TODAY(),F75)</f>
        <v>44487</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xml:space="preserve"> MID(A76,SEARCH(":",A76)+2,SEARCH(":",A76,SEARCH(":",A76)+1)-SEARCH(":",A76)-3)</f>
        <v>#VALUE!</v>
      </c>
      <c r="C76" s="15" t="e">
        <f>"part:"&amp;MID(A76,SEARCH(":",A76)+1,SEARCH(":",A76,SEARCH(":",A76)+1)-SEARCH(":",A76)-1)</f>
        <v>#VALUE!</v>
      </c>
      <c r="D76" s="15"/>
      <c r="E76" s="15" t="str">
        <f>IF(Table2[[#This Row],[Notes]]="","",LEFT(Table2[[#This Row],[Notes]],FIND(CHAR(10),Table2[[#This Row],[Notes]]&amp;CHAR(10))-1))</f>
        <v/>
      </c>
      <c r="F76" s="15" t="e">
        <f>DATEVALUE(SUBSTITUTE(LEFT(E76,SEARCH(" ",E76)-1),".","/"))</f>
        <v>#VALUE!</v>
      </c>
      <c r="G76" s="20">
        <f ca="1">IF(ISERROR(F76),TODAY(),F76)</f>
        <v>44487</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xml:space="preserve"> MID(A77,SEARCH(":",A77)+2,SEARCH(":",A77,SEARCH(":",A77)+1)-SEARCH(":",A77)-3)</f>
        <v>#VALUE!</v>
      </c>
      <c r="C77" s="15" t="e">
        <f>"part:"&amp;MID(A77,SEARCH(":",A77)+1,SEARCH(":",A77,SEARCH(":",A77)+1)-SEARCH(":",A77)-1)</f>
        <v>#VALUE!</v>
      </c>
      <c r="D77" s="15"/>
      <c r="E77" s="15" t="str">
        <f>IF(Table2[[#This Row],[Notes]]="","",LEFT(Table2[[#This Row],[Notes]],FIND(CHAR(10),Table2[[#This Row],[Notes]]&amp;CHAR(10))-1))</f>
        <v/>
      </c>
      <c r="F77" s="15" t="e">
        <f>DATEVALUE(SUBSTITUTE(LEFT(E77,SEARCH(" ",E77)-1),".","/"))</f>
        <v>#VALUE!</v>
      </c>
      <c r="G77" s="20">
        <f ca="1">IF(ISERROR(F77),TODAY(),F77)</f>
        <v>44487</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xml:space="preserve"> MID(A78,SEARCH(":",A78)+2,SEARCH(":",A78,SEARCH(":",A78)+1)-SEARCH(":",A78)-3)</f>
        <v>#VALUE!</v>
      </c>
      <c r="C78" s="15" t="e">
        <f>"part:"&amp;MID(A78,SEARCH(":",A78)+1,SEARCH(":",A78,SEARCH(":",A78)+1)-SEARCH(":",A78)-1)</f>
        <v>#VALUE!</v>
      </c>
      <c r="D78" s="15"/>
      <c r="E78" s="15" t="str">
        <f>IF(Table2[[#This Row],[Notes]]="","",LEFT(Table2[[#This Row],[Notes]],FIND(CHAR(10),Table2[[#This Row],[Notes]]&amp;CHAR(10))-1))</f>
        <v/>
      </c>
      <c r="F78" s="15" t="e">
        <f>DATEVALUE(SUBSTITUTE(LEFT(E78,SEARCH(" ",E78)-1),".","/"))</f>
        <v>#VALUE!</v>
      </c>
      <c r="G78" s="20">
        <f ca="1">IF(ISERROR(F78),TODAY(),F78)</f>
        <v>44487</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xml:space="preserve"> MID(A79,SEARCH(":",A79)+2,SEARCH(":",A79,SEARCH(":",A79)+1)-SEARCH(":",A79)-3)</f>
        <v>#VALUE!</v>
      </c>
      <c r="C79" s="15" t="e">
        <f>"part:"&amp;MID(A79,SEARCH(":",A79)+1,SEARCH(":",A79,SEARCH(":",A79)+1)-SEARCH(":",A79)-1)</f>
        <v>#VALUE!</v>
      </c>
      <c r="D79" s="15"/>
      <c r="E79" s="15" t="str">
        <f>IF(Table2[[#This Row],[Notes]]="","",LEFT(Table2[[#This Row],[Notes]],FIND(CHAR(10),Table2[[#This Row],[Notes]]&amp;CHAR(10))-1))</f>
        <v/>
      </c>
      <c r="F79" s="15" t="e">
        <f>DATEVALUE(SUBSTITUTE(LEFT(E79,SEARCH(" ",E79)-1),".","/"))</f>
        <v>#VALUE!</v>
      </c>
      <c r="G79" s="20">
        <f ca="1">IF(ISERROR(F79),TODAY(),F79)</f>
        <v>44487</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xml:space="preserve"> MID(A80,SEARCH(":",A80)+2,SEARCH(":",A80,SEARCH(":",A80)+1)-SEARCH(":",A80)-3)</f>
        <v>#VALUE!</v>
      </c>
      <c r="C80" s="15" t="e">
        <f>"part:"&amp;MID(A80,SEARCH(":",A80)+1,SEARCH(":",A80,SEARCH(":",A80)+1)-SEARCH(":",A80)-1)</f>
        <v>#VALUE!</v>
      </c>
      <c r="D80" s="15"/>
      <c r="E80" s="15" t="str">
        <f>IF(Table2[[#This Row],[Notes]]="","",LEFT(Table2[[#This Row],[Notes]],FIND(CHAR(10),Table2[[#This Row],[Notes]]&amp;CHAR(10))-1))</f>
        <v/>
      </c>
      <c r="F80" s="15" t="e">
        <f>DATEVALUE(SUBSTITUTE(LEFT(E80,SEARCH(" ",E80)-1),".","/"))</f>
        <v>#VALUE!</v>
      </c>
      <c r="G80" s="20">
        <f ca="1">IF(ISERROR(F80),TODAY(),F80)</f>
        <v>44487</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xml:space="preserve"> MID(A81,SEARCH(":",A81)+2,SEARCH(":",A81,SEARCH(":",A81)+1)-SEARCH(":",A81)-3)</f>
        <v>#VALUE!</v>
      </c>
      <c r="C81" s="15" t="e">
        <f>"part:"&amp;MID(A81,SEARCH(":",A81)+1,SEARCH(":",A81,SEARCH(":",A81)+1)-SEARCH(":",A81)-1)</f>
        <v>#VALUE!</v>
      </c>
      <c r="D81" s="15"/>
      <c r="E81" s="15" t="str">
        <f>IF(Table2[[#This Row],[Notes]]="","",LEFT(Table2[[#This Row],[Notes]],FIND(CHAR(10),Table2[[#This Row],[Notes]]&amp;CHAR(10))-1))</f>
        <v/>
      </c>
      <c r="F81" s="15" t="e">
        <f>DATEVALUE(SUBSTITUTE(LEFT(E81,SEARCH(" ",E81)-1),".","/"))</f>
        <v>#VALUE!</v>
      </c>
      <c r="G81" s="20">
        <f ca="1">IF(ISERROR(F81),TODAY(),F81)</f>
        <v>44487</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xml:space="preserve"> MID(A82,SEARCH(":",A82)+2,SEARCH(":",A82,SEARCH(":",A82)+1)-SEARCH(":",A82)-3)</f>
        <v>#VALUE!</v>
      </c>
      <c r="C82" s="15" t="e">
        <f>"part:"&amp;MID(A82,SEARCH(":",A82)+1,SEARCH(":",A82,SEARCH(":",A82)+1)-SEARCH(":",A82)-1)</f>
        <v>#VALUE!</v>
      </c>
      <c r="D82" s="15"/>
      <c r="E82" s="15" t="str">
        <f>IF(Table2[[#This Row],[Notes]]="","",LEFT(Table2[[#This Row],[Notes]],FIND(CHAR(10),Table2[[#This Row],[Notes]]&amp;CHAR(10))-1))</f>
        <v/>
      </c>
      <c r="F82" s="15" t="e">
        <f>DATEVALUE(SUBSTITUTE(LEFT(E82,SEARCH(" ",E82)-1),".","/"))</f>
        <v>#VALUE!</v>
      </c>
      <c r="G82" s="20">
        <f ca="1">IF(ISERROR(F82),TODAY(),F82)</f>
        <v>44487</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xml:space="preserve"> MID(A83,SEARCH(":",A83)+2,SEARCH(":",A83,SEARCH(":",A83)+1)-SEARCH(":",A83)-3)</f>
        <v>#VALUE!</v>
      </c>
      <c r="C83" s="15" t="e">
        <f>"part:"&amp;MID(A83,SEARCH(":",A83)+1,SEARCH(":",A83,SEARCH(":",A83)+1)-SEARCH(":",A83)-1)</f>
        <v>#VALUE!</v>
      </c>
      <c r="D83" s="15"/>
      <c r="E83" s="15" t="str">
        <f>IF(Table2[[#This Row],[Notes]]="","",LEFT(Table2[[#This Row],[Notes]],FIND(CHAR(10),Table2[[#This Row],[Notes]]&amp;CHAR(10))-1))</f>
        <v/>
      </c>
      <c r="F83" s="15" t="e">
        <f>DATEVALUE(SUBSTITUTE(LEFT(E83,SEARCH(" ",E83)-1),".","/"))</f>
        <v>#VALUE!</v>
      </c>
      <c r="G83" s="20">
        <f ca="1">IF(ISERROR(F83),TODAY(),F83)</f>
        <v>44487</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xml:space="preserve"> MID(A84,SEARCH(":",A84)+2,SEARCH(":",A84,SEARCH(":",A84)+1)-SEARCH(":",A84)-3)</f>
        <v>#VALUE!</v>
      </c>
      <c r="C84" s="15" t="e">
        <f>"part:"&amp;MID(A84,SEARCH(":",A84)+1,SEARCH(":",A84,SEARCH(":",A84)+1)-SEARCH(":",A84)-1)</f>
        <v>#VALUE!</v>
      </c>
      <c r="D84" s="15"/>
      <c r="E84" s="15" t="str">
        <f>IF(Table2[[#This Row],[Notes]]="","",LEFT(Table2[[#This Row],[Notes]],FIND(CHAR(10),Table2[[#This Row],[Notes]]&amp;CHAR(10))-1))</f>
        <v/>
      </c>
      <c r="F84" s="15" t="e">
        <f>DATEVALUE(SUBSTITUTE(LEFT(E84,SEARCH(" ",E84)-1),".","/"))</f>
        <v>#VALUE!</v>
      </c>
      <c r="G84" s="20">
        <f ca="1">IF(ISERROR(F84),TODAY(),F84)</f>
        <v>44487</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xml:space="preserve"> MID(A85,SEARCH(":",A85)+2,SEARCH(":",A85,SEARCH(":",A85)+1)-SEARCH(":",A85)-3)</f>
        <v>#VALUE!</v>
      </c>
      <c r="C85" s="15" t="e">
        <f>"part:"&amp;MID(A85,SEARCH(":",A85)+1,SEARCH(":",A85,SEARCH(":",A85)+1)-SEARCH(":",A85)-1)</f>
        <v>#VALUE!</v>
      </c>
      <c r="D85" s="15"/>
      <c r="E85" s="15" t="str">
        <f>IF(Table2[[#This Row],[Notes]]="","",LEFT(Table2[[#This Row],[Notes]],FIND(CHAR(10),Table2[[#This Row],[Notes]]&amp;CHAR(10))-1))</f>
        <v/>
      </c>
      <c r="F85" s="15" t="e">
        <f>DATEVALUE(SUBSTITUTE(LEFT(E85,SEARCH(" ",E85)-1),".","/"))</f>
        <v>#VALUE!</v>
      </c>
      <c r="G85" s="20">
        <f ca="1">IF(ISERROR(F85),TODAY(),F85)</f>
        <v>44487</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xml:space="preserve"> MID(A86,SEARCH(":",A86)+2,SEARCH(":",A86,SEARCH(":",A86)+1)-SEARCH(":",A86)-3)</f>
        <v>#VALUE!</v>
      </c>
      <c r="C86" s="15" t="e">
        <f>"part:"&amp;MID(A86,SEARCH(":",A86)+1,SEARCH(":",A86,SEARCH(":",A86)+1)-SEARCH(":",A86)-1)</f>
        <v>#VALUE!</v>
      </c>
      <c r="D86" s="15"/>
      <c r="E86" s="15" t="str">
        <f>IF(Table2[[#This Row],[Notes]]="","",LEFT(Table2[[#This Row],[Notes]],FIND(CHAR(10),Table2[[#This Row],[Notes]]&amp;CHAR(10))-1))</f>
        <v/>
      </c>
      <c r="F86" s="15" t="e">
        <f>DATEVALUE(SUBSTITUTE(LEFT(E86,SEARCH(" ",E86)-1),".","/"))</f>
        <v>#VALUE!</v>
      </c>
      <c r="G86" s="20">
        <f ca="1">IF(ISERROR(F86),TODAY(),F86)</f>
        <v>44487</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xml:space="preserve"> MID(A87,SEARCH(":",A87)+2,SEARCH(":",A87,SEARCH(":",A87)+1)-SEARCH(":",A87)-3)</f>
        <v>#VALUE!</v>
      </c>
      <c r="C87" s="15" t="e">
        <f>"part:"&amp;MID(A87,SEARCH(":",A87)+1,SEARCH(":",A87,SEARCH(":",A87)+1)-SEARCH(":",A87)-1)</f>
        <v>#VALUE!</v>
      </c>
      <c r="D87" s="15"/>
      <c r="E87" s="15" t="str">
        <f>IF(Table2[[#This Row],[Notes]]="","",LEFT(Table2[[#This Row],[Notes]],FIND(CHAR(10),Table2[[#This Row],[Notes]]&amp;CHAR(10))-1))</f>
        <v/>
      </c>
      <c r="F87" s="15" t="e">
        <f>DATEVALUE(SUBSTITUTE(LEFT(E87,SEARCH(" ",E87)-1),".","/"))</f>
        <v>#VALUE!</v>
      </c>
      <c r="G87" s="20">
        <f ca="1">IF(ISERROR(F87),TODAY(),F87)</f>
        <v>44487</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xml:space="preserve"> MID(A88,SEARCH(":",A88)+2,SEARCH(":",A88,SEARCH(":",A88)+1)-SEARCH(":",A88)-3)</f>
        <v>#VALUE!</v>
      </c>
      <c r="C88" s="15" t="e">
        <f>"part:"&amp;MID(A88,SEARCH(":",A88)+1,SEARCH(":",A88,SEARCH(":",A88)+1)-SEARCH(":",A88)-1)</f>
        <v>#VALUE!</v>
      </c>
      <c r="D88" s="15"/>
      <c r="E88" s="15" t="str">
        <f>IF(Table2[[#This Row],[Notes]]="","",LEFT(Table2[[#This Row],[Notes]],FIND(CHAR(10),Table2[[#This Row],[Notes]]&amp;CHAR(10))-1))</f>
        <v/>
      </c>
      <c r="F88" s="15" t="e">
        <f>DATEVALUE(SUBSTITUTE(LEFT(E88,SEARCH(" ",E88)-1),".","/"))</f>
        <v>#VALUE!</v>
      </c>
      <c r="G88" s="20">
        <f ca="1">IF(ISERROR(F88),TODAY(),F88)</f>
        <v>44487</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xml:space="preserve"> MID(A89,SEARCH(":",A89)+2,SEARCH(":",A89,SEARCH(":",A89)+1)-SEARCH(":",A89)-3)</f>
        <v>#VALUE!</v>
      </c>
      <c r="C89" s="15" t="e">
        <f>"part:"&amp;MID(A89,SEARCH(":",A89)+1,SEARCH(":",A89,SEARCH(":",A89)+1)-SEARCH(":",A89)-1)</f>
        <v>#VALUE!</v>
      </c>
      <c r="D89" s="15"/>
      <c r="E89" s="15" t="str">
        <f>IF(Table2[[#This Row],[Notes]]="","",LEFT(Table2[[#This Row],[Notes]],FIND(CHAR(10),Table2[[#This Row],[Notes]]&amp;CHAR(10))-1))</f>
        <v/>
      </c>
      <c r="F89" s="15" t="e">
        <f>DATEVALUE(SUBSTITUTE(LEFT(E89,SEARCH(" ",E89)-1),".","/"))</f>
        <v>#VALUE!</v>
      </c>
      <c r="G89" s="20">
        <f ca="1">IF(ISERROR(F89),TODAY(),F89)</f>
        <v>44487</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xml:space="preserve"> MID(A90,SEARCH(":",A90)+2,SEARCH(":",A90,SEARCH(":",A90)+1)-SEARCH(":",A90)-3)</f>
        <v>#VALUE!</v>
      </c>
      <c r="C90" s="15" t="e">
        <f>"part:"&amp;MID(A90,SEARCH(":",A90)+1,SEARCH(":",A90,SEARCH(":",A90)+1)-SEARCH(":",A90)-1)</f>
        <v>#VALUE!</v>
      </c>
      <c r="D90" s="15"/>
      <c r="E90" s="15" t="str">
        <f>IF(Table2[[#This Row],[Notes]]="","",LEFT(Table2[[#This Row],[Notes]],FIND(CHAR(10),Table2[[#This Row],[Notes]]&amp;CHAR(10))-1))</f>
        <v/>
      </c>
      <c r="F90" s="15" t="e">
        <f>DATEVALUE(SUBSTITUTE(LEFT(E90,SEARCH(" ",E90)-1),".","/"))</f>
        <v>#VALUE!</v>
      </c>
      <c r="G90" s="20">
        <f ca="1">IF(ISERROR(F90),TODAY(),F90)</f>
        <v>44487</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xml:space="preserve"> MID(A91,SEARCH(":",A91)+2,SEARCH(":",A91,SEARCH(":",A91)+1)-SEARCH(":",A91)-3)</f>
        <v>#VALUE!</v>
      </c>
      <c r="C91" s="15" t="e">
        <f>"part:"&amp;MID(A91,SEARCH(":",A91)+1,SEARCH(":",A91,SEARCH(":",A91)+1)-SEARCH(":",A91)-1)</f>
        <v>#VALUE!</v>
      </c>
      <c r="D91" s="15"/>
      <c r="E91" s="15" t="str">
        <f>IF(Table2[[#This Row],[Notes]]="","",LEFT(Table2[[#This Row],[Notes]],FIND(CHAR(10),Table2[[#This Row],[Notes]]&amp;CHAR(10))-1))</f>
        <v/>
      </c>
      <c r="F91" s="15" t="e">
        <f>DATEVALUE(SUBSTITUTE(LEFT(E91,SEARCH(" ",E91)-1),".","/"))</f>
        <v>#VALUE!</v>
      </c>
      <c r="G91" s="20">
        <f ca="1">IF(ISERROR(F91),TODAY(),F91)</f>
        <v>44487</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xml:space="preserve"> MID(A92,SEARCH(":",A92)+2,SEARCH(":",A92,SEARCH(":",A92)+1)-SEARCH(":",A92)-3)</f>
        <v>#VALUE!</v>
      </c>
      <c r="C92" s="15" t="e">
        <f>"part:"&amp;MID(A92,SEARCH(":",A92)+1,SEARCH(":",A92,SEARCH(":",A92)+1)-SEARCH(":",A92)-1)</f>
        <v>#VALUE!</v>
      </c>
      <c r="D92" s="15"/>
      <c r="E92" s="15" t="str">
        <f>IF(Table2[[#This Row],[Notes]]="","",LEFT(Table2[[#This Row],[Notes]],FIND(CHAR(10),Table2[[#This Row],[Notes]]&amp;CHAR(10))-1))</f>
        <v/>
      </c>
      <c r="F92" s="15" t="e">
        <f>DATEVALUE(SUBSTITUTE(LEFT(E92,SEARCH(" ",E92)-1),".","/"))</f>
        <v>#VALUE!</v>
      </c>
      <c r="G92" s="20">
        <f ca="1">IF(ISERROR(F92),TODAY(),F92)</f>
        <v>44487</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xml:space="preserve"> MID(A93,SEARCH(":",A93)+2,SEARCH(":",A93,SEARCH(":",A93)+1)-SEARCH(":",A93)-3)</f>
        <v>#VALUE!</v>
      </c>
      <c r="C93" s="15" t="e">
        <f>"part:"&amp;MID(A93,SEARCH(":",A93)+1,SEARCH(":",A93,SEARCH(":",A93)+1)-SEARCH(":",A93)-1)</f>
        <v>#VALUE!</v>
      </c>
      <c r="D93" s="15"/>
      <c r="E93" s="15" t="str">
        <f>IF(Table2[[#This Row],[Notes]]="","",LEFT(Table2[[#This Row],[Notes]],FIND(CHAR(10),Table2[[#This Row],[Notes]]&amp;CHAR(10))-1))</f>
        <v/>
      </c>
      <c r="F93" s="15" t="e">
        <f>DATEVALUE(SUBSTITUTE(LEFT(E93,SEARCH(" ",E93)-1),".","/"))</f>
        <v>#VALUE!</v>
      </c>
      <c r="G93" s="20">
        <f ca="1">IF(ISERROR(F93),TODAY(),F93)</f>
        <v>44487</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xml:space="preserve"> MID(A94,SEARCH(":",A94)+2,SEARCH(":",A94,SEARCH(":",A94)+1)-SEARCH(":",A94)-3)</f>
        <v>#VALUE!</v>
      </c>
      <c r="C94" s="15" t="e">
        <f>"part:"&amp;MID(A94,SEARCH(":",A94)+1,SEARCH(":",A94,SEARCH(":",A94)+1)-SEARCH(":",A94)-1)</f>
        <v>#VALUE!</v>
      </c>
      <c r="D94" s="15"/>
      <c r="E94" s="15" t="str">
        <f>IF(Table2[[#This Row],[Notes]]="","",LEFT(Table2[[#This Row],[Notes]],FIND(CHAR(10),Table2[[#This Row],[Notes]]&amp;CHAR(10))-1))</f>
        <v/>
      </c>
      <c r="F94" s="15" t="e">
        <f>DATEVALUE(SUBSTITUTE(LEFT(E94,SEARCH(" ",E94)-1),".","/"))</f>
        <v>#VALUE!</v>
      </c>
      <c r="G94" s="20">
        <f ca="1">IF(ISERROR(F94),TODAY(),F94)</f>
        <v>44487</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xml:space="preserve"> MID(A95,SEARCH(":",A95)+2,SEARCH(":",A95,SEARCH(":",A95)+1)-SEARCH(":",A95)-3)</f>
        <v>#VALUE!</v>
      </c>
      <c r="C95" s="15" t="e">
        <f>"part:"&amp;MID(A95,SEARCH(":",A95)+1,SEARCH(":",A95,SEARCH(":",A95)+1)-SEARCH(":",A95)-1)</f>
        <v>#VALUE!</v>
      </c>
      <c r="D95" s="15"/>
      <c r="E95" s="15" t="str">
        <f>IF(Table2[[#This Row],[Notes]]="","",LEFT(Table2[[#This Row],[Notes]],FIND(CHAR(10),Table2[[#This Row],[Notes]]&amp;CHAR(10))-1))</f>
        <v/>
      </c>
      <c r="F95" s="15" t="e">
        <f>DATEVALUE(SUBSTITUTE(LEFT(E95,SEARCH(" ",E95)-1),".","/"))</f>
        <v>#VALUE!</v>
      </c>
      <c r="G95" s="20">
        <f ca="1">IF(ISERROR(F95),TODAY(),F95)</f>
        <v>44487</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xml:space="preserve"> MID(A96,SEARCH(":",A96)+2,SEARCH(":",A96,SEARCH(":",A96)+1)-SEARCH(":",A96)-3)</f>
        <v>#VALUE!</v>
      </c>
      <c r="C96" s="15" t="e">
        <f>"part:"&amp;MID(A96,SEARCH(":",A96)+1,SEARCH(":",A96,SEARCH(":",A96)+1)-SEARCH(":",A96)-1)</f>
        <v>#VALUE!</v>
      </c>
      <c r="D96" s="15"/>
      <c r="E96" s="15" t="str">
        <f>IF(Table2[[#This Row],[Notes]]="","",LEFT(Table2[[#This Row],[Notes]],FIND(CHAR(10),Table2[[#This Row],[Notes]]&amp;CHAR(10))-1))</f>
        <v/>
      </c>
      <c r="F96" s="15" t="e">
        <f>DATEVALUE(SUBSTITUTE(LEFT(E96,SEARCH(" ",E96)-1),".","/"))</f>
        <v>#VALUE!</v>
      </c>
      <c r="G96" s="20">
        <f ca="1">IF(ISERROR(F96),TODAY(),F96)</f>
        <v>44487</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xml:space="preserve"> MID(A97,SEARCH(":",A97)+2,SEARCH(":",A97,SEARCH(":",A97)+1)-SEARCH(":",A97)-3)</f>
        <v>#VALUE!</v>
      </c>
      <c r="C97" s="15" t="e">
        <f>"part:"&amp;MID(A97,SEARCH(":",A97)+1,SEARCH(":",A97,SEARCH(":",A97)+1)-SEARCH(":",A97)-1)</f>
        <v>#VALUE!</v>
      </c>
      <c r="D97" s="15"/>
      <c r="E97" s="15" t="str">
        <f>IF(Table2[[#This Row],[Notes]]="","",LEFT(Table2[[#This Row],[Notes]],FIND(CHAR(10),Table2[[#This Row],[Notes]]&amp;CHAR(10))-1))</f>
        <v/>
      </c>
      <c r="F97" s="15" t="e">
        <f>DATEVALUE(SUBSTITUTE(LEFT(E97,SEARCH(" ",E97)-1),".","/"))</f>
        <v>#VALUE!</v>
      </c>
      <c r="G97" s="20">
        <f ca="1">IF(ISERROR(F97),TODAY(),F97)</f>
        <v>44487</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xml:space="preserve"> MID(A98,SEARCH(":",A98)+2,SEARCH(":",A98,SEARCH(":",A98)+1)-SEARCH(":",A98)-3)</f>
        <v>#VALUE!</v>
      </c>
      <c r="C98" s="15" t="e">
        <f>"part:"&amp;MID(A98,SEARCH(":",A98)+1,SEARCH(":",A98,SEARCH(":",A98)+1)-SEARCH(":",A98)-1)</f>
        <v>#VALUE!</v>
      </c>
      <c r="D98" s="15"/>
      <c r="E98" s="15" t="str">
        <f>IF(Table2[[#This Row],[Notes]]="","",LEFT(Table2[[#This Row],[Notes]],FIND(CHAR(10),Table2[[#This Row],[Notes]]&amp;CHAR(10))-1))</f>
        <v/>
      </c>
      <c r="F98" s="15" t="e">
        <f>DATEVALUE(SUBSTITUTE(LEFT(E98,SEARCH(" ",E98)-1),".","/"))</f>
        <v>#VALUE!</v>
      </c>
      <c r="G98" s="20">
        <f ca="1">IF(ISERROR(F98),TODAY(),F98)</f>
        <v>44487</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xml:space="preserve"> MID(A99,SEARCH(":",A99)+2,SEARCH(":",A99,SEARCH(":",A99)+1)-SEARCH(":",A99)-3)</f>
        <v>#VALUE!</v>
      </c>
      <c r="C99" s="15" t="e">
        <f>"part:"&amp;MID(A99,SEARCH(":",A99)+1,SEARCH(":",A99,SEARCH(":",A99)+1)-SEARCH(":",A99)-1)</f>
        <v>#VALUE!</v>
      </c>
      <c r="D99" s="15"/>
      <c r="E99" s="15" t="str">
        <f>IF(Table2[[#This Row],[Notes]]="","",LEFT(Table2[[#This Row],[Notes]],FIND(CHAR(10),Table2[[#This Row],[Notes]]&amp;CHAR(10))-1))</f>
        <v/>
      </c>
      <c r="F99" s="15" t="e">
        <f>DATEVALUE(SUBSTITUTE(LEFT(E99,SEARCH(" ",E99)-1),".","/"))</f>
        <v>#VALUE!</v>
      </c>
      <c r="G99" s="20">
        <f ca="1">IF(ISERROR(F99),TODAY(),F99)</f>
        <v>44487</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xml:space="preserve"> MID(A100,SEARCH(":",A100)+2,SEARCH(":",A100,SEARCH(":",A100)+1)-SEARCH(":",A100)-3)</f>
        <v>#VALUE!</v>
      </c>
      <c r="C100" s="15" t="e">
        <f>"part:"&amp;MID(A100,SEARCH(":",A100)+1,SEARCH(":",A100,SEARCH(":",A100)+1)-SEARCH(":",A100)-1)</f>
        <v>#VALUE!</v>
      </c>
      <c r="D100" s="15"/>
      <c r="E100" s="15" t="str">
        <f>IF(Table2[[#This Row],[Notes]]="","",LEFT(Table2[[#This Row],[Notes]],FIND(CHAR(10),Table2[[#This Row],[Notes]]&amp;CHAR(10))-1))</f>
        <v/>
      </c>
      <c r="F100" s="15" t="e">
        <f>DATEVALUE(SUBSTITUTE(LEFT(E100,SEARCH(" ",E100)-1),".","/"))</f>
        <v>#VALUE!</v>
      </c>
      <c r="G100" s="20">
        <f ca="1">IF(ISERROR(F100),TODAY(),F100)</f>
        <v>44487</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xml:space="preserve"> MID(A101,SEARCH(":",A101)+2,SEARCH(":",A101,SEARCH(":",A101)+1)-SEARCH(":",A101)-3)</f>
        <v>#VALUE!</v>
      </c>
      <c r="C101" s="15" t="e">
        <f>"part:"&amp;MID(A101,SEARCH(":",A101)+1,SEARCH(":",A101,SEARCH(":",A101)+1)-SEARCH(":",A101)-1)</f>
        <v>#VALUE!</v>
      </c>
      <c r="D101" s="15"/>
      <c r="E101" s="15" t="str">
        <f>IF(Table2[[#This Row],[Notes]]="","",LEFT(Table2[[#This Row],[Notes]],FIND(CHAR(10),Table2[[#This Row],[Notes]]&amp;CHAR(10))-1))</f>
        <v/>
      </c>
      <c r="F101" s="15" t="e">
        <f>DATEVALUE(SUBSTITUTE(LEFT(E101,SEARCH(" ",E101)-1),".","/"))</f>
        <v>#VALUE!</v>
      </c>
      <c r="G101" s="20">
        <f ca="1">IF(ISERROR(F101),TODAY(),F101)</f>
        <v>44487</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xml:space="preserve"> MID(A102,SEARCH(":",A102)+2,SEARCH(":",A102,SEARCH(":",A102)+1)-SEARCH(":",A102)-3)</f>
        <v>#VALUE!</v>
      </c>
      <c r="C102" s="15" t="e">
        <f>"part:"&amp;MID(A102,SEARCH(":",A102)+1,SEARCH(":",A102,SEARCH(":",A102)+1)-SEARCH(":",A102)-1)</f>
        <v>#VALUE!</v>
      </c>
      <c r="D102" s="15"/>
      <c r="E102" s="15" t="str">
        <f>IF(Table2[[#This Row],[Notes]]="","",LEFT(Table2[[#This Row],[Notes]],FIND(CHAR(10),Table2[[#This Row],[Notes]]&amp;CHAR(10))-1))</f>
        <v/>
      </c>
      <c r="F102" s="15" t="e">
        <f>DATEVALUE(SUBSTITUTE(LEFT(E102,SEARCH(" ",E102)-1),".","/"))</f>
        <v>#VALUE!</v>
      </c>
      <c r="G102" s="20">
        <f ca="1">IF(ISERROR(F102),TODAY(),F102)</f>
        <v>44487</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xml:space="preserve"> MID(A103,SEARCH(":",A103)+2,SEARCH(":",A103,SEARCH(":",A103)+1)-SEARCH(":",A103)-3)</f>
        <v>#VALUE!</v>
      </c>
      <c r="C103" s="15" t="e">
        <f>"part:"&amp;MID(A103,SEARCH(":",A103)+1,SEARCH(":",A103,SEARCH(":",A103)+1)-SEARCH(":",A103)-1)</f>
        <v>#VALUE!</v>
      </c>
      <c r="D103" s="15"/>
      <c r="E103" s="15" t="str">
        <f>IF(Table2[[#This Row],[Notes]]="","",LEFT(Table2[[#This Row],[Notes]],FIND(CHAR(10),Table2[[#This Row],[Notes]]&amp;CHAR(10))-1))</f>
        <v/>
      </c>
      <c r="F103" s="15" t="e">
        <f>DATEVALUE(SUBSTITUTE(LEFT(E103,SEARCH(" ",E103)-1),".","/"))</f>
        <v>#VALUE!</v>
      </c>
      <c r="G103" s="20">
        <f ca="1">IF(ISERROR(F103),TODAY(),F103)</f>
        <v>44487</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xml:space="preserve"> MID(A104,SEARCH(":",A104)+2,SEARCH(":",A104,SEARCH(":",A104)+1)-SEARCH(":",A104)-3)</f>
        <v>#VALUE!</v>
      </c>
      <c r="C104" s="15" t="e">
        <f>"part:"&amp;MID(A104,SEARCH(":",A104)+1,SEARCH(":",A104,SEARCH(":",A104)+1)-SEARCH(":",A104)-1)</f>
        <v>#VALUE!</v>
      </c>
      <c r="D104" s="15"/>
      <c r="E104" s="15" t="str">
        <f>IF(Table2[[#This Row],[Notes]]="","",LEFT(Table2[[#This Row],[Notes]],FIND(CHAR(10),Table2[[#This Row],[Notes]]&amp;CHAR(10))-1))</f>
        <v/>
      </c>
      <c r="F104" s="15" t="e">
        <f>DATEVALUE(SUBSTITUTE(LEFT(E104,SEARCH(" ",E104)-1),".","/"))</f>
        <v>#VALUE!</v>
      </c>
      <c r="G104" s="20">
        <f ca="1">IF(ISERROR(F104),TODAY(),F104)</f>
        <v>44487</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xml:space="preserve"> MID(A105,SEARCH(":",A105)+2,SEARCH(":",A105,SEARCH(":",A105)+1)-SEARCH(":",A105)-3)</f>
        <v>#VALUE!</v>
      </c>
      <c r="C105" s="15" t="e">
        <f>"part:"&amp;MID(A105,SEARCH(":",A105)+1,SEARCH(":",A105,SEARCH(":",A105)+1)-SEARCH(":",A105)-1)</f>
        <v>#VALUE!</v>
      </c>
      <c r="D105" s="15"/>
      <c r="E105" s="15" t="str">
        <f>IF(Table2[[#This Row],[Notes]]="","",LEFT(Table2[[#This Row],[Notes]],FIND(CHAR(10),Table2[[#This Row],[Notes]]&amp;CHAR(10))-1))</f>
        <v/>
      </c>
      <c r="F105" s="15" t="e">
        <f>DATEVALUE(SUBSTITUTE(LEFT(E105,SEARCH(" ",E105)-1),".","/"))</f>
        <v>#VALUE!</v>
      </c>
      <c r="G105" s="20">
        <f ca="1">IF(ISERROR(F105),TODAY(),F105)</f>
        <v>44487</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xml:space="preserve"> MID(A106,SEARCH(":",A106)+2,SEARCH(":",A106,SEARCH(":",A106)+1)-SEARCH(":",A106)-3)</f>
        <v>#VALUE!</v>
      </c>
      <c r="C106" s="15" t="e">
        <f>"part:"&amp;MID(A106,SEARCH(":",A106)+1,SEARCH(":",A106,SEARCH(":",A106)+1)-SEARCH(":",A106)-1)</f>
        <v>#VALUE!</v>
      </c>
      <c r="D106" s="15"/>
      <c r="E106" s="15" t="str">
        <f>IF(Table2[[#This Row],[Notes]]="","",LEFT(Table2[[#This Row],[Notes]],FIND(CHAR(10),Table2[[#This Row],[Notes]]&amp;CHAR(10))-1))</f>
        <v/>
      </c>
      <c r="F106" s="15" t="e">
        <f>DATEVALUE(SUBSTITUTE(LEFT(E106,SEARCH(" ",E106)-1),".","/"))</f>
        <v>#VALUE!</v>
      </c>
      <c r="G106" s="20">
        <f ca="1">IF(ISERROR(F106),TODAY(),F106)</f>
        <v>44487</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xml:space="preserve"> MID(A107,SEARCH(":",A107)+2,SEARCH(":",A107,SEARCH(":",A107)+1)-SEARCH(":",A107)-3)</f>
        <v>#VALUE!</v>
      </c>
      <c r="C107" s="15" t="e">
        <f>"part:"&amp;MID(A107,SEARCH(":",A107)+1,SEARCH(":",A107,SEARCH(":",A107)+1)-SEARCH(":",A107)-1)</f>
        <v>#VALUE!</v>
      </c>
      <c r="D107" s="15"/>
      <c r="E107" s="15" t="str">
        <f>IF(Table2[[#This Row],[Notes]]="","",LEFT(Table2[[#This Row],[Notes]],FIND(CHAR(10),Table2[[#This Row],[Notes]]&amp;CHAR(10))-1))</f>
        <v/>
      </c>
      <c r="F107" s="15" t="e">
        <f>DATEVALUE(SUBSTITUTE(LEFT(E107,SEARCH(" ",E107)-1),".","/"))</f>
        <v>#VALUE!</v>
      </c>
      <c r="G107" s="20">
        <f ca="1">IF(ISERROR(F107),TODAY(),F107)</f>
        <v>44487</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xml:space="preserve"> MID(A108,SEARCH(":",A108)+2,SEARCH(":",A108,SEARCH(":",A108)+1)-SEARCH(":",A108)-3)</f>
        <v>#VALUE!</v>
      </c>
      <c r="C108" s="15" t="e">
        <f>"part:"&amp;MID(A108,SEARCH(":",A108)+1,SEARCH(":",A108,SEARCH(":",A108)+1)-SEARCH(":",A108)-1)</f>
        <v>#VALUE!</v>
      </c>
      <c r="D108" s="15"/>
      <c r="E108" s="15" t="str">
        <f>IF(Table2[[#This Row],[Notes]]="","",LEFT(Table2[[#This Row],[Notes]],FIND(CHAR(10),Table2[[#This Row],[Notes]]&amp;CHAR(10))-1))</f>
        <v/>
      </c>
      <c r="F108" s="15" t="e">
        <f>DATEVALUE(SUBSTITUTE(LEFT(E108,SEARCH(" ",E108)-1),".","/"))</f>
        <v>#VALUE!</v>
      </c>
      <c r="G108" s="20">
        <f ca="1">IF(ISERROR(F108),TODAY(),F108)</f>
        <v>44487</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xml:space="preserve"> MID(A109,SEARCH(":",A109)+2,SEARCH(":",A109,SEARCH(":",A109)+1)-SEARCH(":",A109)-3)</f>
        <v>#VALUE!</v>
      </c>
      <c r="C109" s="15" t="e">
        <f>"part:"&amp;MID(A109,SEARCH(":",A109)+1,SEARCH(":",A109,SEARCH(":",A109)+1)-SEARCH(":",A109)-1)</f>
        <v>#VALUE!</v>
      </c>
      <c r="D109" s="15"/>
      <c r="E109" s="15" t="str">
        <f>IF(Table2[[#This Row],[Notes]]="","",LEFT(Table2[[#This Row],[Notes]],FIND(CHAR(10),Table2[[#This Row],[Notes]]&amp;CHAR(10))-1))</f>
        <v/>
      </c>
      <c r="F109" s="15" t="e">
        <f>DATEVALUE(SUBSTITUTE(LEFT(E109,SEARCH(" ",E109)-1),".","/"))</f>
        <v>#VALUE!</v>
      </c>
      <c r="G109" s="20">
        <f ca="1">IF(ISERROR(F109),TODAY(),F109)</f>
        <v>44487</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xml:space="preserve"> MID(A110,SEARCH(":",A110)+2,SEARCH(":",A110,SEARCH(":",A110)+1)-SEARCH(":",A110)-3)</f>
        <v>#VALUE!</v>
      </c>
      <c r="C110" s="15" t="e">
        <f>"part:"&amp;MID(A110,SEARCH(":",A110)+1,SEARCH(":",A110,SEARCH(":",A110)+1)-SEARCH(":",A110)-1)</f>
        <v>#VALUE!</v>
      </c>
      <c r="D110" s="15"/>
      <c r="E110" s="15" t="str">
        <f>IF(Table2[[#This Row],[Notes]]="","",LEFT(Table2[[#This Row],[Notes]],FIND(CHAR(10),Table2[[#This Row],[Notes]]&amp;CHAR(10))-1))</f>
        <v/>
      </c>
      <c r="F110" s="15" t="e">
        <f>DATEVALUE(SUBSTITUTE(LEFT(E110,SEARCH(" ",E110)-1),".","/"))</f>
        <v>#VALUE!</v>
      </c>
      <c r="G110" s="20">
        <f ca="1">IF(ISERROR(F110),TODAY(),F110)</f>
        <v>44487</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xml:space="preserve"> MID(A111,SEARCH(":",A111)+2,SEARCH(":",A111,SEARCH(":",A111)+1)-SEARCH(":",A111)-3)</f>
        <v>#VALUE!</v>
      </c>
      <c r="C111" s="15" t="e">
        <f>"part:"&amp;MID(A111,SEARCH(":",A111)+1,SEARCH(":",A111,SEARCH(":",A111)+1)-SEARCH(":",A111)-1)</f>
        <v>#VALUE!</v>
      </c>
      <c r="D111" s="15"/>
      <c r="E111" s="15" t="str">
        <f>IF(Table2[[#This Row],[Notes]]="","",LEFT(Table2[[#This Row],[Notes]],FIND(CHAR(10),Table2[[#This Row],[Notes]]&amp;CHAR(10))-1))</f>
        <v/>
      </c>
      <c r="F111" s="15" t="e">
        <f>DATEVALUE(SUBSTITUTE(LEFT(E111,SEARCH(" ",E111)-1),".","/"))</f>
        <v>#VALUE!</v>
      </c>
      <c r="G111" s="20">
        <f ca="1">IF(ISERROR(F111),TODAY(),F111)</f>
        <v>44487</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xml:space="preserve"> MID(A112,SEARCH(":",A112)+2,SEARCH(":",A112,SEARCH(":",A112)+1)-SEARCH(":",A112)-3)</f>
        <v>#VALUE!</v>
      </c>
      <c r="C112" s="15" t="e">
        <f>"part:"&amp;MID(A112,SEARCH(":",A112)+1,SEARCH(":",A112,SEARCH(":",A112)+1)-SEARCH(":",A112)-1)</f>
        <v>#VALUE!</v>
      </c>
      <c r="D112" s="15"/>
      <c r="E112" s="15" t="str">
        <f>IF(Table2[[#This Row],[Notes]]="","",LEFT(Table2[[#This Row],[Notes]],FIND(CHAR(10),Table2[[#This Row],[Notes]]&amp;CHAR(10))-1))</f>
        <v/>
      </c>
      <c r="F112" s="15" t="e">
        <f>DATEVALUE(SUBSTITUTE(LEFT(E112,SEARCH(" ",E112)-1),".","/"))</f>
        <v>#VALUE!</v>
      </c>
      <c r="G112" s="20">
        <f ca="1">IF(ISERROR(F112),TODAY(),F112)</f>
        <v>44487</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xml:space="preserve"> MID(A113,SEARCH(":",A113)+2,SEARCH(":",A113,SEARCH(":",A113)+1)-SEARCH(":",A113)-3)</f>
        <v>#VALUE!</v>
      </c>
      <c r="C113" s="15" t="e">
        <f>"part:"&amp;MID(A113,SEARCH(":",A113)+1,SEARCH(":",A113,SEARCH(":",A113)+1)-SEARCH(":",A113)-1)</f>
        <v>#VALUE!</v>
      </c>
      <c r="D113" s="15"/>
      <c r="E113" s="15" t="str">
        <f>IF(Table2[[#This Row],[Notes]]="","",LEFT(Table2[[#This Row],[Notes]],FIND(CHAR(10),Table2[[#This Row],[Notes]]&amp;CHAR(10))-1))</f>
        <v/>
      </c>
      <c r="F113" s="15" t="e">
        <f>DATEVALUE(SUBSTITUTE(LEFT(E113,SEARCH(" ",E113)-1),".","/"))</f>
        <v>#VALUE!</v>
      </c>
      <c r="G113" s="20">
        <f ca="1">IF(ISERROR(F113),TODAY(),F113)</f>
        <v>44487</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xml:space="preserve"> MID(A114,SEARCH(":",A114)+2,SEARCH(":",A114,SEARCH(":",A114)+1)-SEARCH(":",A114)-3)</f>
        <v>#VALUE!</v>
      </c>
      <c r="C114" s="15" t="e">
        <f>"part:"&amp;MID(A114,SEARCH(":",A114)+1,SEARCH(":",A114,SEARCH(":",A114)+1)-SEARCH(":",A114)-1)</f>
        <v>#VALUE!</v>
      </c>
      <c r="D114" s="15"/>
      <c r="E114" s="15" t="str">
        <f>IF(Table2[[#This Row],[Notes]]="","",LEFT(Table2[[#This Row],[Notes]],FIND(CHAR(10),Table2[[#This Row],[Notes]]&amp;CHAR(10))-1))</f>
        <v/>
      </c>
      <c r="F114" s="15" t="e">
        <f>DATEVALUE(SUBSTITUTE(LEFT(E114,SEARCH(" ",E114)-1),".","/"))</f>
        <v>#VALUE!</v>
      </c>
      <c r="G114" s="20">
        <f ca="1">IF(ISERROR(F114),TODAY(),F114)</f>
        <v>44487</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xml:space="preserve"> MID(A115,SEARCH(":",A115)+2,SEARCH(":",A115,SEARCH(":",A115)+1)-SEARCH(":",A115)-3)</f>
        <v>#VALUE!</v>
      </c>
      <c r="C115" s="15" t="e">
        <f>"part:"&amp;MID(A115,SEARCH(":",A115)+1,SEARCH(":",A115,SEARCH(":",A115)+1)-SEARCH(":",A115)-1)</f>
        <v>#VALUE!</v>
      </c>
      <c r="D115" s="15"/>
      <c r="E115" s="15" t="str">
        <f>IF(Table2[[#This Row],[Notes]]="","",LEFT(Table2[[#This Row],[Notes]],FIND(CHAR(10),Table2[[#This Row],[Notes]]&amp;CHAR(10))-1))</f>
        <v/>
      </c>
      <c r="F115" s="15" t="e">
        <f>DATEVALUE(SUBSTITUTE(LEFT(E115,SEARCH(" ",E115)-1),".","/"))</f>
        <v>#VALUE!</v>
      </c>
      <c r="G115" s="20">
        <f ca="1">IF(ISERROR(F115),TODAY(),F115)</f>
        <v>44487</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xml:space="preserve"> MID(A116,SEARCH(":",A116)+2,SEARCH(":",A116,SEARCH(":",A116)+1)-SEARCH(":",A116)-3)</f>
        <v>#VALUE!</v>
      </c>
      <c r="C116" s="15" t="e">
        <f>"part:"&amp;MID(A116,SEARCH(":",A116)+1,SEARCH(":",A116,SEARCH(":",A116)+1)-SEARCH(":",A116)-1)</f>
        <v>#VALUE!</v>
      </c>
      <c r="D116" s="15"/>
      <c r="E116" s="15" t="str">
        <f>IF(Table2[[#This Row],[Notes]]="","",LEFT(Table2[[#This Row],[Notes]],FIND(CHAR(10),Table2[[#This Row],[Notes]]&amp;CHAR(10))-1))</f>
        <v/>
      </c>
      <c r="F116" s="15" t="e">
        <f>DATEVALUE(SUBSTITUTE(LEFT(E116,SEARCH(" ",E116)-1),".","/"))</f>
        <v>#VALUE!</v>
      </c>
      <c r="G116" s="20">
        <f ca="1">IF(ISERROR(F116),TODAY(),F116)</f>
        <v>44487</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xml:space="preserve"> MID(A117,SEARCH(":",A117)+2,SEARCH(":",A117,SEARCH(":",A117)+1)-SEARCH(":",A117)-3)</f>
        <v>#VALUE!</v>
      </c>
      <c r="C117" s="15" t="e">
        <f>"part:"&amp;MID(A117,SEARCH(":",A117)+1,SEARCH(":",A117,SEARCH(":",A117)+1)-SEARCH(":",A117)-1)</f>
        <v>#VALUE!</v>
      </c>
      <c r="D117" s="15"/>
      <c r="E117" s="15" t="str">
        <f>IF(Table2[[#This Row],[Notes]]="","",LEFT(Table2[[#This Row],[Notes]],FIND(CHAR(10),Table2[[#This Row],[Notes]]&amp;CHAR(10))-1))</f>
        <v/>
      </c>
      <c r="F117" s="15" t="e">
        <f>DATEVALUE(SUBSTITUTE(LEFT(E117,SEARCH(" ",E117)-1),".","/"))</f>
        <v>#VALUE!</v>
      </c>
      <c r="G117" s="20">
        <f ca="1">IF(ISERROR(F117),TODAY(),F117)</f>
        <v>44487</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xml:space="preserve"> MID(A118,SEARCH(":",A118)+2,SEARCH(":",A118,SEARCH(":",A118)+1)-SEARCH(":",A118)-3)</f>
        <v>#VALUE!</v>
      </c>
      <c r="C118" s="15" t="e">
        <f>"part:"&amp;MID(A118,SEARCH(":",A118)+1,SEARCH(":",A118,SEARCH(":",A118)+1)-SEARCH(":",A118)-1)</f>
        <v>#VALUE!</v>
      </c>
      <c r="D118" s="15"/>
      <c r="E118" s="15" t="str">
        <f>IF(Table2[[#This Row],[Notes]]="","",LEFT(Table2[[#This Row],[Notes]],FIND(CHAR(10),Table2[[#This Row],[Notes]]&amp;CHAR(10))-1))</f>
        <v/>
      </c>
      <c r="F118" s="15" t="e">
        <f>DATEVALUE(SUBSTITUTE(LEFT(E118,SEARCH(" ",E118)-1),".","/"))</f>
        <v>#VALUE!</v>
      </c>
      <c r="G118" s="20">
        <f ca="1">IF(ISERROR(F118),TODAY(),F118)</f>
        <v>44487</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xml:space="preserve"> MID(A119,SEARCH(":",A119)+2,SEARCH(":",A119,SEARCH(":",A119)+1)-SEARCH(":",A119)-3)</f>
        <v>#VALUE!</v>
      </c>
      <c r="C119" s="15" t="e">
        <f>"part:"&amp;MID(A119,SEARCH(":",A119)+1,SEARCH(":",A119,SEARCH(":",A119)+1)-SEARCH(":",A119)-1)</f>
        <v>#VALUE!</v>
      </c>
      <c r="D119" s="15"/>
      <c r="E119" s="15" t="str">
        <f>IF(Table2[[#This Row],[Notes]]="","",LEFT(Table2[[#This Row],[Notes]],FIND(CHAR(10),Table2[[#This Row],[Notes]]&amp;CHAR(10))-1))</f>
        <v/>
      </c>
      <c r="F119" s="15" t="e">
        <f>DATEVALUE(SUBSTITUTE(LEFT(E119,SEARCH(" ",E119)-1),".","/"))</f>
        <v>#VALUE!</v>
      </c>
      <c r="G119" s="20">
        <f ca="1">IF(ISERROR(F119),TODAY(),F119)</f>
        <v>44487</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xml:space="preserve"> MID(A120,SEARCH(":",A120)+2,SEARCH(":",A120,SEARCH(":",A120)+1)-SEARCH(":",A120)-3)</f>
        <v>#VALUE!</v>
      </c>
      <c r="C120" s="15" t="e">
        <f>"part:"&amp;MID(A120,SEARCH(":",A120)+1,SEARCH(":",A120,SEARCH(":",A120)+1)-SEARCH(":",A120)-1)</f>
        <v>#VALUE!</v>
      </c>
      <c r="D120" s="15"/>
      <c r="E120" s="15" t="str">
        <f>IF(Table2[[#This Row],[Notes]]="","",LEFT(Table2[[#This Row],[Notes]],FIND(CHAR(10),Table2[[#This Row],[Notes]]&amp;CHAR(10))-1))</f>
        <v/>
      </c>
      <c r="F120" s="15" t="e">
        <f>DATEVALUE(SUBSTITUTE(LEFT(E120,SEARCH(" ",E120)-1),".","/"))</f>
        <v>#VALUE!</v>
      </c>
      <c r="G120" s="20">
        <f ca="1">IF(ISERROR(F120),TODAY(),F120)</f>
        <v>44487</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xml:space="preserve"> MID(A121,SEARCH(":",A121)+2,SEARCH(":",A121,SEARCH(":",A121)+1)-SEARCH(":",A121)-3)</f>
        <v>#VALUE!</v>
      </c>
      <c r="C121" s="15" t="e">
        <f>"part:"&amp;MID(A121,SEARCH(":",A121)+1,SEARCH(":",A121,SEARCH(":",A121)+1)-SEARCH(":",A121)-1)</f>
        <v>#VALUE!</v>
      </c>
      <c r="D121" s="15"/>
      <c r="E121" s="15" t="str">
        <f>IF(Table2[[#This Row],[Notes]]="","",LEFT(Table2[[#This Row],[Notes]],FIND(CHAR(10),Table2[[#This Row],[Notes]]&amp;CHAR(10))-1))</f>
        <v/>
      </c>
      <c r="F121" s="15" t="e">
        <f>DATEVALUE(SUBSTITUTE(LEFT(E121,SEARCH(" ",E121)-1),".","/"))</f>
        <v>#VALUE!</v>
      </c>
      <c r="G121" s="20">
        <f ca="1">IF(ISERROR(F121),TODAY(),F121)</f>
        <v>44487</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xml:space="preserve"> MID(A122,SEARCH(":",A122)+2,SEARCH(":",A122,SEARCH(":",A122)+1)-SEARCH(":",A122)-3)</f>
        <v>#VALUE!</v>
      </c>
      <c r="C122" s="15" t="e">
        <f>"part:"&amp;MID(A122,SEARCH(":",A122)+1,SEARCH(":",A122,SEARCH(":",A122)+1)-SEARCH(":",A122)-1)</f>
        <v>#VALUE!</v>
      </c>
      <c r="D122" s="15"/>
      <c r="E122" s="15"/>
      <c r="F122" s="15" t="e">
        <f>DATEVALUE(SUBSTITUTE(LEFT(E122,SEARCH(" ",E122)-1),".","/"))</f>
        <v>#VALUE!</v>
      </c>
      <c r="G122" s="20">
        <f ca="1">IF(ISERROR(F122),TODAY(),F122)</f>
        <v>44487</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xml:space="preserve"> MID(A123,SEARCH(":",A123)+2,SEARCH(":",A123,SEARCH(":",A123)+1)-SEARCH(":",A123)-3)</f>
        <v>#VALUE!</v>
      </c>
      <c r="C123" s="15" t="e">
        <f>"part:"&amp;MID(A123,SEARCH(":",A123)+1,SEARCH(":",A123,SEARCH(":",A123)+1)-SEARCH(":",A123)-1)</f>
        <v>#VALUE!</v>
      </c>
      <c r="D123" s="15"/>
      <c r="E123" s="15"/>
      <c r="F123" s="15" t="e">
        <f>DATEVALUE(SUBSTITUTE(LEFT(E123,SEARCH(" ",E123)-1),".","/"))</f>
        <v>#VALUE!</v>
      </c>
      <c r="G123" s="20">
        <f ca="1">IF(ISERROR(F123),TODAY(),F123)</f>
        <v>44487</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xml:space="preserve"> MID(A124,SEARCH(":",A124)+2,SEARCH(":",A124,SEARCH(":",A124)+1)-SEARCH(":",A124)-3)</f>
        <v>#VALUE!</v>
      </c>
      <c r="C124" s="15" t="e">
        <f>"part:"&amp;MID(A124,SEARCH(":",A124)+1,SEARCH(":",A124,SEARCH(":",A124)+1)-SEARCH(":",A124)-1)</f>
        <v>#VALUE!</v>
      </c>
      <c r="D124" s="15"/>
      <c r="E124" s="15"/>
      <c r="F124" s="15" t="e">
        <f>DATEVALUE(SUBSTITUTE(LEFT(E124,SEARCH(" ",E124)-1),".","/"))</f>
        <v>#VALUE!</v>
      </c>
      <c r="G124" s="20">
        <f ca="1">IF(ISERROR(F124),TODAY(),F124)</f>
        <v>44487</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xml:space="preserve"> MID(A125,SEARCH(":",A125)+2,SEARCH(":",A125,SEARCH(":",A125)+1)-SEARCH(":",A125)-3)</f>
        <v>#VALUE!</v>
      </c>
      <c r="C125" s="15" t="e">
        <f>"part:"&amp;MID(A125,SEARCH(":",A125)+1,SEARCH(":",A125,SEARCH(":",A125)+1)-SEARCH(":",A125)-1)</f>
        <v>#VALUE!</v>
      </c>
      <c r="D125" s="15"/>
      <c r="E125" s="15"/>
      <c r="F125" s="15" t="e">
        <f>DATEVALUE(SUBSTITUTE(LEFT(E125,SEARCH(" ",E125)-1),".","/"))</f>
        <v>#VALUE!</v>
      </c>
      <c r="G125" s="20">
        <f ca="1">IF(ISERROR(F125),TODAY(),F125)</f>
        <v>44487</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xml:space="preserve"> MID(A126,SEARCH(":",A126)+2,SEARCH(":",A126,SEARCH(":",A126)+1)-SEARCH(":",A126)-3)</f>
        <v>#VALUE!</v>
      </c>
      <c r="C126" s="15" t="e">
        <f>"part:"&amp;MID(A126,SEARCH(":",A126)+1,SEARCH(":",A126,SEARCH(":",A126)+1)-SEARCH(":",A126)-1)</f>
        <v>#VALUE!</v>
      </c>
      <c r="D126" s="15"/>
      <c r="E126" s="15"/>
      <c r="F126" s="15" t="e">
        <f>DATEVALUE(SUBSTITUTE(LEFT(E126,SEARCH(" ",E126)-1),".","/"))</f>
        <v>#VALUE!</v>
      </c>
      <c r="G126" s="20">
        <f ca="1">IF(ISERROR(F126),TODAY(),F126)</f>
        <v>44487</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xml:space="preserve"> MID(A127,SEARCH(":",A127)+2,SEARCH(":",A127,SEARCH(":",A127)+1)-SEARCH(":",A127)-3)</f>
        <v>#VALUE!</v>
      </c>
      <c r="C127" s="15" t="e">
        <f>"part:"&amp;MID(A127,SEARCH(":",A127)+1,SEARCH(":",A127,SEARCH(":",A127)+1)-SEARCH(":",A127)-1)</f>
        <v>#VALUE!</v>
      </c>
      <c r="D127" s="15"/>
      <c r="E127" s="15"/>
      <c r="F127" s="15" t="e">
        <f>DATEVALUE(SUBSTITUTE(LEFT(E127,SEARCH(" ",E127)-1),".","/"))</f>
        <v>#VALUE!</v>
      </c>
      <c r="G127" s="20">
        <f ca="1">IF(ISERROR(F127),TODAY(),F127)</f>
        <v>44487</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xml:space="preserve"> MID(A128,SEARCH(":",A128)+2,SEARCH(":",A128,SEARCH(":",A128)+1)-SEARCH(":",A128)-3)</f>
        <v>#VALUE!</v>
      </c>
      <c r="C128" s="15" t="e">
        <f>"part:"&amp;MID(A128,SEARCH(":",A128)+1,SEARCH(":",A128,SEARCH(":",A128)+1)-SEARCH(":",A128)-1)</f>
        <v>#VALUE!</v>
      </c>
      <c r="D128" s="15"/>
      <c r="E128" s="15"/>
      <c r="F128" s="15" t="e">
        <f>DATEVALUE(SUBSTITUTE(LEFT(E128,SEARCH(" ",E128)-1),".","/"))</f>
        <v>#VALUE!</v>
      </c>
      <c r="G128" s="20">
        <f ca="1">IF(ISERROR(F128),TODAY(),F128)</f>
        <v>44487</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xml:space="preserve"> MID(A129,SEARCH(":",A129)+2,SEARCH(":",A129,SEARCH(":",A129)+1)-SEARCH(":",A129)-3)</f>
        <v>#VALUE!</v>
      </c>
      <c r="C129" s="15" t="e">
        <f>"part:"&amp;MID(A129,SEARCH(":",A129)+1,SEARCH(":",A129,SEARCH(":",A129)+1)-SEARCH(":",A129)-1)</f>
        <v>#VALUE!</v>
      </c>
      <c r="D129" s="15"/>
      <c r="E129" s="15"/>
      <c r="F129" s="15" t="e">
        <f>DATEVALUE(SUBSTITUTE(LEFT(E129,SEARCH(" ",E129)-1),".","/"))</f>
        <v>#VALUE!</v>
      </c>
      <c r="G129" s="20">
        <f ca="1">IF(ISERROR(F129),TODAY(),F129)</f>
        <v>44487</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xml:space="preserve"> MID(A130,SEARCH(":",A130)+2,SEARCH(":",A130,SEARCH(":",A130)+1)-SEARCH(":",A130)-3)</f>
        <v>#VALUE!</v>
      </c>
      <c r="C130" s="15" t="e">
        <f>"part:"&amp;MID(A130,SEARCH(":",A130)+1,SEARCH(":",A130,SEARCH(":",A130)+1)-SEARCH(":",A130)-1)</f>
        <v>#VALUE!</v>
      </c>
      <c r="D130" s="15"/>
      <c r="E130" s="15"/>
      <c r="F130" s="15" t="e">
        <f>DATEVALUE(SUBSTITUTE(LEFT(E130,SEARCH(" ",E130)-1),".","/"))</f>
        <v>#VALUE!</v>
      </c>
      <c r="G130" s="20">
        <f ca="1">IF(ISERROR(F130),TODAY(),F130)</f>
        <v>44487</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xml:space="preserve"> MID(A131,SEARCH(":",A131)+2,SEARCH(":",A131,SEARCH(":",A131)+1)-SEARCH(":",A131)-3)</f>
        <v>#VALUE!</v>
      </c>
      <c r="C131" s="15" t="e">
        <f>"part:"&amp;MID(A131,SEARCH(":",A131)+1,SEARCH(":",A131,SEARCH(":",A131)+1)-SEARCH(":",A131)-1)</f>
        <v>#VALUE!</v>
      </c>
      <c r="D131" s="15"/>
      <c r="E131" s="15"/>
      <c r="F131" s="15" t="e">
        <f>DATEVALUE(SUBSTITUTE(LEFT(E131,SEARCH(" ",E131)-1),".","/"))</f>
        <v>#VALUE!</v>
      </c>
      <c r="G131" s="20">
        <f ca="1">IF(ISERROR(F131),TODAY(),F131)</f>
        <v>44487</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xml:space="preserve"> MID(A132,SEARCH(":",A132)+2,SEARCH(":",A132,SEARCH(":",A132)+1)-SEARCH(":",A132)-3)</f>
        <v>#VALUE!</v>
      </c>
      <c r="C132" s="15" t="e">
        <f>"part:"&amp;MID(A132,SEARCH(":",A132)+1,SEARCH(":",A132,SEARCH(":",A132)+1)-SEARCH(":",A132)-1)</f>
        <v>#VALUE!</v>
      </c>
      <c r="D132" s="15"/>
      <c r="E132" s="15"/>
      <c r="F132" s="15" t="e">
        <f>DATEVALUE(SUBSTITUTE(LEFT(E132,SEARCH(" ",E132)-1),".","/"))</f>
        <v>#VALUE!</v>
      </c>
      <c r="G132" s="20">
        <f ca="1">IF(ISERROR(F132),TODAY(),F132)</f>
        <v>44487</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xml:space="preserve"> MID(A133,SEARCH(":",A133)+2,SEARCH(":",A133,SEARCH(":",A133)+1)-SEARCH(":",A133)-3)</f>
        <v>#VALUE!</v>
      </c>
      <c r="C133" s="15" t="e">
        <f>"part:"&amp;MID(A133,SEARCH(":",A133)+1,SEARCH(":",A133,SEARCH(":",A133)+1)-SEARCH(":",A133)-1)</f>
        <v>#VALUE!</v>
      </c>
      <c r="D133" s="15"/>
      <c r="E133" s="15"/>
      <c r="F133" s="15" t="e">
        <f>DATEVALUE(SUBSTITUTE(LEFT(E133,SEARCH(" ",E133)-1),".","/"))</f>
        <v>#VALUE!</v>
      </c>
      <c r="G133" s="20">
        <f ca="1">IF(ISERROR(F133),TODAY(),F133)</f>
        <v>44487</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xml:space="preserve"> MID(A134,SEARCH(":",A134)+2,SEARCH(":",A134,SEARCH(":",A134)+1)-SEARCH(":",A134)-3)</f>
        <v>#VALUE!</v>
      </c>
      <c r="C134" s="15" t="e">
        <f>"part:"&amp;MID(A134,SEARCH(":",A134)+1,SEARCH(":",A134,SEARCH(":",A134)+1)-SEARCH(":",A134)-1)</f>
        <v>#VALUE!</v>
      </c>
      <c r="D134" s="15"/>
      <c r="E134" s="15"/>
      <c r="F134" s="15" t="e">
        <f>DATEVALUE(SUBSTITUTE(LEFT(E134,SEARCH(" ",E134)-1),".","/"))</f>
        <v>#VALUE!</v>
      </c>
      <c r="G134" s="20">
        <f ca="1">IF(ISERROR(F134),TODAY(),F134)</f>
        <v>44487</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0">
        <f ca="1">IF(ISERROR(F135),TODAY(),F135)</f>
        <v>44487</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0">
        <f ca="1">IF(ISERROR(F136),TODAY(),F136)</f>
        <v>44487</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0">
        <f ca="1">IF(ISERROR(F137),TODAY(),F137)</f>
        <v>44487</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0">
        <f ca="1">IF(ISERROR(F138),TODAY(),F138)</f>
        <v>44487</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0">
        <f ca="1">IF(ISERROR(F139),TODAY(),F139)</f>
        <v>44487</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0">
        <f ca="1">IF(ISERROR(F140),TODAY(),F140)</f>
        <v>44487</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0">
        <f ca="1">IF(ISERROR(F141),TODAY(),F141)</f>
        <v>44487</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0">
        <f ca="1">IF(ISERROR(F142),TODAY(),F142)</f>
        <v>44487</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0">
        <f ca="1">IF(ISERROR(F143),TODAY(),F143)</f>
        <v>44487</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0">
        <f ca="1">IF(ISERROR(F144),TODAY(),F144)</f>
        <v>44487</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0">
        <f ca="1">IF(ISERROR(F145),TODAY(),F145)</f>
        <v>44487</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0">
        <f ca="1">IF(ISERROR(F146),TODAY(),F146)</f>
        <v>44487</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0">
        <f ca="1">IF(ISERROR(F147),TODAY(),F147)</f>
        <v>44487</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0">
        <f ca="1">IF(ISERROR(F148),TODAY(),F148)</f>
        <v>44487</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0">
        <f ca="1">IF(ISERROR(F149),TODAY(),F149)</f>
        <v>44487</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0">
        <f ca="1">IF(ISERROR(F150),TODAY(),F150)</f>
        <v>44487</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0">
        <f ca="1">IF(ISERROR(F151),TODAY(),F151)</f>
        <v>44487</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0">
        <f ca="1">IF(ISERROR(F152),TODAY(),F152)</f>
        <v>44487</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0">
        <f ca="1">IF(ISERROR(F153),TODAY(),F153)</f>
        <v>44487</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0">
        <f ca="1">IF(ISERROR(F154),TODAY(),F154)</f>
        <v>44487</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0">
        <f ca="1">IF(ISERROR(F155),TODAY(),F155)</f>
        <v>44487</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0"/>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0"/>
      <c r="H157" s="15"/>
      <c r="I157" s="15"/>
      <c r="J157" s="22"/>
      <c r="K157" s="15"/>
      <c r="L157" s="15"/>
      <c r="M157" s="15"/>
      <c r="N157" s="15"/>
      <c r="O157" s="15"/>
      <c r="P157" s="15"/>
      <c r="Q157" s="15"/>
      <c r="R157" s="15"/>
      <c r="S157" s="15"/>
      <c r="T157" s="15"/>
      <c r="U157" s="15"/>
      <c r="V157" s="15"/>
      <c r="W157" s="15"/>
      <c r="X157" s="15"/>
      <c r="Y157" s="15"/>
      <c r="Z157" s="15"/>
      <c r="AA157" s="15"/>
      <c r="AB157" s="15"/>
    </row>
  </sheetData>
  <conditionalFormatting sqref="G1:G1048576">
    <cfRule type="expression" dxfId="3" priority="12">
      <formula>TODAY()-G1&gt;=7</formula>
    </cfRule>
    <cfRule type="expression" dxfId="2" priority="26">
      <formula>TODAY()-G1&gt;=5</formula>
    </cfRule>
    <cfRule type="expression" dxfId="1" priority="27">
      <formula>TODAY()-G1&gt;=3</formula>
    </cfRule>
  </conditionalFormatting>
  <conditionalFormatting sqref="D1:D1048576">
    <cfRule type="expression" dxfId="0" priority="1">
      <formula>ISBLANK(D1)</formula>
    </cfRule>
  </conditionalFormatting>
  <hyperlinks>
    <hyperlink ref="H26"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e">
        <f xml:space="preserve"> 'in progress'!#REF!</f>
        <v>#REF!</v>
      </c>
    </row>
    <row r="40" spans="1:1" x14ac:dyDescent="0.25">
      <c r="A40" t="e">
        <f xml:space="preserve"> 'in progress'!#REF!</f>
        <v>#REF!</v>
      </c>
    </row>
    <row r="41" spans="1:1" x14ac:dyDescent="0.25">
      <c r="A41" t="e">
        <f xml:space="preserve"> 'in progress'!#REF!</f>
        <v>#REF!</v>
      </c>
    </row>
    <row r="42" spans="1:1" x14ac:dyDescent="0.25">
      <c r="A42" t="e">
        <f xml:space="preserve"> 'in progress'!#REF!</f>
        <v>#REF!</v>
      </c>
    </row>
    <row r="43" spans="1:1" x14ac:dyDescent="0.25">
      <c r="A43" t="e">
        <f xml:space="preserve"> 'in progress'!#REF!</f>
        <v>#REF!</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str">
        <f xml:space="preserve"> 'in progress'!B2</f>
        <v>HD Supply - White Cap</v>
      </c>
    </row>
    <row r="50" spans="1:1" x14ac:dyDescent="0.25">
      <c r="A50" t="e">
        <f xml:space="preserve"> 'in progress'!#REF!</f>
        <v>#REF!</v>
      </c>
    </row>
    <row r="51" spans="1:1" x14ac:dyDescent="0.25">
      <c r="A51" t="e">
        <f xml:space="preserve"> 'in progress'!#REF!</f>
        <v>#REF!</v>
      </c>
    </row>
    <row r="52" spans="1:1" x14ac:dyDescent="0.25">
      <c r="A52" t="e">
        <f xml:space="preserve"> 'in progress'!#REF!</f>
        <v>#REF!</v>
      </c>
    </row>
    <row r="53" spans="1:1" x14ac:dyDescent="0.25">
      <c r="A53" t="str">
        <f xml:space="preserve"> 'in progress'!B3</f>
        <v>Herregan Distributors Inc.</v>
      </c>
    </row>
    <row r="54" spans="1:1" x14ac:dyDescent="0.25">
      <c r="A54" t="e">
        <f xml:space="preserve"> 'in progress'!#REF!</f>
        <v>#REF!</v>
      </c>
    </row>
    <row r="55" spans="1:1" x14ac:dyDescent="0.25">
      <c r="A55" t="e">
        <f xml:space="preserve"> 'in progress'!#REF!</f>
        <v>#REF!</v>
      </c>
    </row>
    <row r="56" spans="1:1" x14ac:dyDescent="0.25">
      <c r="A56" t="str">
        <f xml:space="preserve"> 'in progress'!B4</f>
        <v>Radial</v>
      </c>
    </row>
    <row r="57" spans="1:1" x14ac:dyDescent="0.25">
      <c r="A57" t="str">
        <f xml:space="preserve"> 'in progress'!B5</f>
        <v>Radiant Wheels</v>
      </c>
    </row>
    <row r="58" spans="1:1" x14ac:dyDescent="0.25">
      <c r="A58" t="str">
        <f xml:space="preserve"> 'in progress'!B6</f>
        <v>Startrack - 3PL</v>
      </c>
    </row>
    <row r="59" spans="1:1" x14ac:dyDescent="0.25">
      <c r="A59" t="e">
        <f xml:space="preserve"> 'in progress'!#REF!</f>
        <v>#REF!</v>
      </c>
    </row>
    <row r="60" spans="1:1" x14ac:dyDescent="0.25">
      <c r="A60" t="e">
        <f xml:space="preserve"> 'in progress'!#REF!</f>
        <v>#REF!</v>
      </c>
    </row>
    <row r="61" spans="1:1" x14ac:dyDescent="0.25">
      <c r="A61" t="str">
        <f xml:space="preserve"> 'in progress'!B7</f>
        <v>Wika Vendor</v>
      </c>
    </row>
    <row r="62" spans="1:1" x14ac:dyDescent="0.25">
      <c r="A62" t="e">
        <f xml:space="preserve"> 'in progress'!#REF!</f>
        <v>#REF!</v>
      </c>
    </row>
    <row r="63" spans="1:1" x14ac:dyDescent="0.25">
      <c r="A63" t="e">
        <f xml:space="preserve"> 'in progress'!#REF!</f>
        <v>#REF!</v>
      </c>
    </row>
    <row r="64" spans="1:1" x14ac:dyDescent="0.25">
      <c r="A64" t="e">
        <f xml:space="preserve"> 'in progress'!#REF!</f>
        <v>#REF!</v>
      </c>
    </row>
    <row r="65" spans="1:1" x14ac:dyDescent="0.25">
      <c r="A65" t="e">
        <f xml:space="preserve"> 'in progress'!#REF!</f>
        <v>#REF!</v>
      </c>
    </row>
    <row r="66" spans="1:1" x14ac:dyDescent="0.25">
      <c r="A66" t="e">
        <f xml:space="preserve"> 'in progress'!#REF!</f>
        <v>#REF!</v>
      </c>
    </row>
    <row r="67" spans="1:1" x14ac:dyDescent="0.25">
      <c r="A67" t="str">
        <f xml:space="preserve"> 'in progress'!B8</f>
        <v>Wormser Corporation-Jaguar Freight XML</v>
      </c>
    </row>
    <row r="68" spans="1:1" x14ac:dyDescent="0.25">
      <c r="A68" t="str">
        <f xml:space="preserve"> 'in progress'!B9</f>
        <v>Del Mar Fans</v>
      </c>
    </row>
    <row r="69" spans="1:1" x14ac:dyDescent="0.25">
      <c r="A69" t="str">
        <f xml:space="preserve"> 'in progress'!B10</f>
        <v>Essendant</v>
      </c>
    </row>
    <row r="70" spans="1:1" x14ac:dyDescent="0.25">
      <c r="A70" t="e">
        <f xml:space="preserve"> 'in progress'!#REF!</f>
        <v>#REF!</v>
      </c>
    </row>
    <row r="71" spans="1:1" x14ac:dyDescent="0.25">
      <c r="A71" t="str">
        <f xml:space="preserve"> 'in progress'!B11</f>
        <v>Georges Music XML</v>
      </c>
    </row>
    <row r="72" spans="1:1" x14ac:dyDescent="0.25">
      <c r="A72" t="e">
        <f xml:space="preserve"> 'in progress'!#REF!</f>
        <v>#REF!</v>
      </c>
    </row>
    <row r="73" spans="1:1" x14ac:dyDescent="0.25">
      <c r="A73" t="str">
        <f xml:space="preserve"> 'in progress'!B12</f>
        <v>Guitar Center - XML Trading Partner</v>
      </c>
    </row>
    <row r="74" spans="1:1" x14ac:dyDescent="0.25">
      <c r="A74" t="str">
        <f xml:space="preserve"> 'in progress'!B13</f>
        <v>RG Sellers</v>
      </c>
    </row>
    <row r="75" spans="1:1" x14ac:dyDescent="0.25">
      <c r="A75" t="str">
        <f xml:space="preserve"> 'in progress'!B14</f>
        <v>Rhenus Contract Logistics - VSC</v>
      </c>
    </row>
    <row r="76" spans="1:1" x14ac:dyDescent="0.25">
      <c r="A76" t="str">
        <f xml:space="preserve"> 'in progress'!B15</f>
        <v>Stego Germany</v>
      </c>
    </row>
    <row r="77" spans="1:1" x14ac:dyDescent="0.25">
      <c r="A77" t="str">
        <f xml:space="preserve"> 'in progress'!B16</f>
        <v>Sun &amp; Ski Sports</v>
      </c>
    </row>
    <row r="78" spans="1:1" x14ac:dyDescent="0.25">
      <c r="A78" t="str">
        <f xml:space="preserve"> 'in progress'!B17</f>
        <v>Tower Automotive - Bellevue</v>
      </c>
    </row>
    <row r="79" spans="1:1" x14ac:dyDescent="0.25">
      <c r="A79" t="str">
        <f xml:space="preserve"> 'in progress'!B18</f>
        <v>Valley Bakers</v>
      </c>
    </row>
    <row r="80" spans="1:1" x14ac:dyDescent="0.25">
      <c r="A80" t="str">
        <f xml:space="preserve"> 'in progress'!B19</f>
        <v>Martha Stewart</v>
      </c>
    </row>
    <row r="81" spans="1:1" x14ac:dyDescent="0.25">
      <c r="A81" t="str">
        <f xml:space="preserve"> 'in progress'!B20</f>
        <v>Commercial Spring &amp; Tool</v>
      </c>
    </row>
    <row r="82" spans="1:1" x14ac:dyDescent="0.25">
      <c r="A82" t="str">
        <f xml:space="preserve"> 'in progress'!B21</f>
        <v>Cosma - Bowling Green Metalforming</v>
      </c>
    </row>
    <row r="83" spans="1:1" x14ac:dyDescent="0.25">
      <c r="A83" t="e">
        <f xml:space="preserve"> 'in progress'!#REF!</f>
        <v>#REF!</v>
      </c>
    </row>
    <row r="84" spans="1:1" x14ac:dyDescent="0.25">
      <c r="A84" t="str">
        <f xml:space="preserve"> 'in progress'!B22</f>
        <v>Abilityone</v>
      </c>
    </row>
    <row r="85" spans="1:1" x14ac:dyDescent="0.25">
      <c r="A85" t="str">
        <f xml:space="preserve"> 'in progress'!B23</f>
        <v>Bioplus Specialty Pharmacy</v>
      </c>
    </row>
    <row r="86" spans="1:1" x14ac:dyDescent="0.25">
      <c r="A86" t="str">
        <f xml:space="preserve"> 'in progress'!B24</f>
        <v>Humanscale</v>
      </c>
    </row>
    <row r="87" spans="1:1" x14ac:dyDescent="0.25">
      <c r="A87" t="str">
        <f xml:space="preserve"> 'in progress'!B25</f>
        <v>Ollie's Bargain Outlet</v>
      </c>
    </row>
    <row r="88" spans="1:1" x14ac:dyDescent="0.25">
      <c r="A88" t="str">
        <f xml:space="preserve"> 'in progress'!B26</f>
        <v>Pure Country West</v>
      </c>
    </row>
    <row r="89" spans="1:1" x14ac:dyDescent="0.25">
      <c r="A89" t="str">
        <f xml:space="preserve"> 'in progress'!B27</f>
        <v>Raynor Gaming</v>
      </c>
    </row>
    <row r="90" spans="1:1" x14ac:dyDescent="0.25">
      <c r="A90" t="str">
        <f xml:space="preserve"> 'in progress'!B28</f>
        <v>Reny's - Down East Wholesalers</v>
      </c>
    </row>
    <row r="91" spans="1:1" x14ac:dyDescent="0.25">
      <c r="A91" t="e">
        <f xml:space="preserve"> 'in progress'!#REF!</f>
        <v>#REF!</v>
      </c>
    </row>
    <row r="92" spans="1:1" x14ac:dyDescent="0.25">
      <c r="A92" t="str">
        <f xml:space="preserve"> 'in progress'!B29</f>
        <v>Trenton Cold Storage</v>
      </c>
    </row>
    <row r="93" spans="1:1" x14ac:dyDescent="0.25">
      <c r="A93" t="str">
        <f xml:space="preserve"> 'in progress'!B30</f>
        <v>C2wireless SPS Vendor</v>
      </c>
    </row>
    <row r="94" spans="1:1" x14ac:dyDescent="0.25">
      <c r="A94" t="e">
        <f xml:space="preserve"> 'in progress'!#REF!</f>
        <v>#REF!</v>
      </c>
    </row>
    <row r="95" spans="1:1" x14ac:dyDescent="0.25">
      <c r="A95" t="e">
        <f xml:space="preserve"> 'in progress'!B31</f>
        <v>#VALUE!</v>
      </c>
    </row>
    <row r="96" spans="1:1" x14ac:dyDescent="0.25">
      <c r="A96" t="e">
        <f xml:space="preserve"> 'in progress'!B32</f>
        <v>#VALUE!</v>
      </c>
    </row>
    <row r="97" spans="1:1" x14ac:dyDescent="0.25">
      <c r="A97" t="e">
        <f xml:space="preserve"> 'in progress'!B33</f>
        <v>#VALUE!</v>
      </c>
    </row>
    <row r="98" spans="1:1" x14ac:dyDescent="0.25">
      <c r="A98" t="e">
        <f xml:space="preserve"> 'in progress'!B34</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6" t="s">
        <v>38</v>
      </c>
      <c r="B1" s="37"/>
      <c r="C1" s="37"/>
      <c r="D1" s="37"/>
      <c r="E1" s="37"/>
      <c r="F1" s="37"/>
      <c r="G1" s="37"/>
    </row>
    <row r="2" spans="1:7" x14ac:dyDescent="0.25">
      <c r="A2" s="37"/>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7"/>
      <c r="B10" s="37"/>
      <c r="C10" s="37"/>
      <c r="D10" s="37"/>
      <c r="E10" s="37"/>
      <c r="F10" s="37"/>
      <c r="G10" s="37"/>
    </row>
    <row r="11" spans="1:7" x14ac:dyDescent="0.25">
      <c r="A11" s="37"/>
      <c r="B11" s="37"/>
      <c r="C11" s="37"/>
      <c r="D11" s="37"/>
      <c r="E11" s="37"/>
      <c r="F11" s="37"/>
      <c r="G11" s="37"/>
    </row>
    <row r="12" spans="1:7" x14ac:dyDescent="0.25">
      <c r="A12" s="37"/>
      <c r="B12" s="37"/>
      <c r="C12" s="37"/>
      <c r="D12" s="37"/>
      <c r="E12" s="37"/>
      <c r="F12" s="37"/>
      <c r="G12" s="37"/>
    </row>
    <row r="13" spans="1:7" x14ac:dyDescent="0.25">
      <c r="A13" s="37"/>
      <c r="B13" s="37"/>
      <c r="C13" s="37"/>
      <c r="D13" s="37"/>
      <c r="E13" s="37"/>
      <c r="F13" s="37"/>
      <c r="G13" s="37"/>
    </row>
    <row r="14" spans="1:7" x14ac:dyDescent="0.25">
      <c r="A14" s="37"/>
      <c r="B14" s="37"/>
      <c r="C14" s="37"/>
      <c r="D14" s="37"/>
      <c r="E14" s="37"/>
      <c r="F14" s="37"/>
      <c r="G14" s="37"/>
    </row>
    <row r="15" spans="1:7" x14ac:dyDescent="0.25">
      <c r="A15" s="37"/>
      <c r="B15" s="37"/>
      <c r="C15" s="37"/>
      <c r="D15" s="37"/>
      <c r="E15" s="37"/>
      <c r="F15" s="37"/>
      <c r="G15" s="37"/>
    </row>
    <row r="16" spans="1:7" x14ac:dyDescent="0.25">
      <c r="B16" s="12" t="s">
        <v>49</v>
      </c>
    </row>
    <row r="17" spans="2:2" x14ac:dyDescent="0.25">
      <c r="B17" t="s">
        <v>50</v>
      </c>
    </row>
    <row r="18" spans="2:2" x14ac:dyDescent="0.25">
      <c r="B18" t="s">
        <v>52</v>
      </c>
    </row>
    <row r="19" spans="2:2" x14ac:dyDescent="0.25">
      <c r="B19" t="s">
        <v>53</v>
      </c>
    </row>
    <row r="20" spans="2:2" ht="15.75" thickBot="1" x14ac:dyDescent="0.3">
      <c r="B20" s="28" t="e">
        <f ca="1" xml:space="preserve"> IF(#REF!="done",TEXT(TODAY(),"m.d.yy")&amp;" Reach out to trading partner",TEXT(TODAY(),"m.d.yy")&amp;" "&amp;#REF!)</f>
        <v>#REF!</v>
      </c>
    </row>
    <row r="21" spans="2:2" x14ac:dyDescent="0.25">
      <c r="B21" s="17" t="e">
        <f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33</v>
      </c>
      <c r="B1" t="s">
        <v>34</v>
      </c>
      <c r="C1" t="s">
        <v>32</v>
      </c>
      <c r="D1" t="s">
        <v>37</v>
      </c>
      <c r="E1" t="s">
        <v>35</v>
      </c>
      <c r="F1" t="s">
        <v>36</v>
      </c>
    </row>
    <row r="2" spans="1:6" x14ac:dyDescent="0.25">
      <c r="A2" t="s">
        <v>21</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22</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23</v>
      </c>
      <c r="B4" t="str">
        <f t="shared" si="0"/>
        <v>1050778400</v>
      </c>
      <c r="C4" t="str">
        <f t="shared" si="1"/>
        <v>Burlington Coat Factory Unknown</v>
      </c>
      <c r="D4" t="str">
        <f t="shared" si="2"/>
        <v>Burlington Coat Factory</v>
      </c>
      <c r="E4" t="str">
        <f t="shared" si="3"/>
        <v>Unknown</v>
      </c>
      <c r="F4" t="str">
        <f t="shared" si="4"/>
        <v>Unknown</v>
      </c>
    </row>
    <row r="5" spans="1:6" x14ac:dyDescent="0.25">
      <c r="A5" t="s">
        <v>24</v>
      </c>
      <c r="B5" t="str">
        <f t="shared" si="0"/>
        <v>1050778401</v>
      </c>
      <c r="C5" t="str">
        <f t="shared" si="1"/>
        <v>Burlington Coat Factory Unknown</v>
      </c>
      <c r="D5" t="str">
        <f t="shared" si="2"/>
        <v>Burlington Coat Factory</v>
      </c>
      <c r="E5" t="str">
        <f t="shared" si="3"/>
        <v>Unknown</v>
      </c>
      <c r="F5" t="str">
        <f t="shared" si="4"/>
        <v>Unknown</v>
      </c>
    </row>
    <row r="6" spans="1:6" x14ac:dyDescent="0.25">
      <c r="A6" t="s">
        <v>25</v>
      </c>
      <c r="B6" t="str">
        <f t="shared" si="0"/>
        <v>1050778402</v>
      </c>
      <c r="C6" t="str">
        <f t="shared" si="1"/>
        <v>Burlington Coat Factory Unknown</v>
      </c>
      <c r="D6" t="str">
        <f t="shared" si="2"/>
        <v>Burlington Coat Factory</v>
      </c>
      <c r="E6" t="str">
        <f t="shared" si="3"/>
        <v>Unknown</v>
      </c>
      <c r="F6" t="str">
        <f t="shared" si="4"/>
        <v>Unknown</v>
      </c>
    </row>
    <row r="7" spans="1:6" x14ac:dyDescent="0.25">
      <c r="A7" t="s">
        <v>26</v>
      </c>
      <c r="B7" t="str">
        <f t="shared" si="0"/>
        <v>1050778403</v>
      </c>
      <c r="C7" t="str">
        <f t="shared" si="1"/>
        <v>Burlington Coat Factory Unknown</v>
      </c>
      <c r="D7" t="str">
        <f t="shared" si="2"/>
        <v>Burlington Coat Factory</v>
      </c>
      <c r="E7" t="str">
        <f t="shared" si="3"/>
        <v>Unknown</v>
      </c>
      <c r="F7" t="str">
        <f t="shared" si="4"/>
        <v>Unknown</v>
      </c>
    </row>
    <row r="8" spans="1:6" x14ac:dyDescent="0.25">
      <c r="A8" t="s">
        <v>27</v>
      </c>
      <c r="B8" t="str">
        <f t="shared" si="0"/>
        <v>1050778404</v>
      </c>
      <c r="C8" t="str">
        <f t="shared" si="1"/>
        <v>Burlington Coat Factory Unknown</v>
      </c>
      <c r="D8" t="str">
        <f t="shared" si="2"/>
        <v>Burlington Coat Factory</v>
      </c>
      <c r="E8" t="str">
        <f t="shared" si="3"/>
        <v>Unknown</v>
      </c>
      <c r="F8" t="str">
        <f t="shared" si="4"/>
        <v>Unknown</v>
      </c>
    </row>
    <row r="9" spans="1:6" x14ac:dyDescent="0.25">
      <c r="A9" t="s">
        <v>28</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29</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30</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31</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2021-10-18T10:16:17Z</dcterms:modified>
</cp:coreProperties>
</file>