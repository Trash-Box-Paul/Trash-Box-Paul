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workbookPr filterPrivacy="1" codeName="ThisWorkbook"/>
  <xr:revisionPtr revIDLastSave="0" documentId="13_ncr:1_{9E022942-1ECC-4879-935B-224D2E3A595F}" xr6:coauthVersionLast="47" xr6:coauthVersionMax="47" xr10:uidLastSave="{00000000-0000-0000-0000-000000000000}"/>
  <bookViews>
    <workbookView minimized="1" xWindow="33000" yWindow="9120" windowWidth="21600" windowHeight="11385" activeTab="1" xr2:uid="{00000000-000D-0000-FFFF-FFFF00000000}"/>
  </bookViews>
  <sheets>
    <sheet name="general" sheetId="10" r:id="rId1"/>
    <sheet name="in progress" sheetId="1" r:id="rId2"/>
    <sheet name="pending" sheetId="7" r:id="rId3"/>
    <sheet name="completed" sheetId="8" r:id="rId4"/>
    <sheet name="notes" sheetId="3" r:id="rId5"/>
    <sheet name="Sheet2" sheetId="2" r:id="rId6"/>
    <sheet name="Sheet5" sheetId="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1" l="1"/>
  <c r="F5" i="1"/>
  <c r="F6" i="1"/>
  <c r="F8" i="1"/>
  <c r="F13" i="1"/>
  <c r="F15" i="1"/>
  <c r="F18" i="1"/>
  <c r="F19" i="1"/>
  <c r="F3" i="1"/>
  <c r="F4" i="1"/>
  <c r="F7" i="1"/>
  <c r="F11" i="1"/>
  <c r="F14" i="1"/>
  <c r="F21" i="1"/>
  <c r="F9" i="1"/>
  <c r="F12" i="1"/>
  <c r="F16" i="1"/>
  <c r="F17" i="1"/>
  <c r="F22" i="1"/>
  <c r="F2" i="1"/>
  <c r="F20" i="1"/>
  <c r="F23" i="1"/>
  <c r="F24" i="1"/>
  <c r="F25" i="1"/>
  <c r="F26" i="1"/>
  <c r="F27" i="1"/>
  <c r="F28" i="1"/>
  <c r="F29" i="1"/>
  <c r="F30" i="1"/>
  <c r="F31" i="1"/>
  <c r="F32" i="1"/>
  <c r="F33" i="1"/>
  <c r="F34" i="1"/>
  <c r="F35" i="1"/>
  <c r="F36" i="1"/>
  <c r="F37" i="1"/>
  <c r="F38" i="1"/>
  <c r="F10" i="1"/>
  <c r="C2" i="1"/>
  <c r="C17" i="1"/>
  <c r="B1" i="10"/>
  <c r="B20" i="1"/>
  <c r="B17" i="1"/>
  <c r="B2" i="1"/>
  <c r="B10" i="1"/>
  <c r="B22" i="1"/>
  <c r="B5" i="1"/>
  <c r="B6" i="1"/>
  <c r="B8" i="1"/>
  <c r="B13" i="1"/>
  <c r="B15" i="1"/>
  <c r="B18" i="1"/>
  <c r="B19" i="1"/>
  <c r="B7" i="1"/>
  <c r="B3" i="1"/>
  <c r="B4" i="1"/>
  <c r="B11" i="1"/>
  <c r="B14" i="1"/>
  <c r="B21" i="1"/>
  <c r="B16" i="1"/>
  <c r="B9" i="1"/>
  <c r="B1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E2" i="8"/>
  <c r="D2" i="8"/>
  <c r="C120" i="1" l="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B136" i="8"/>
  <c r="B135" i="8"/>
  <c r="E134" i="8"/>
  <c r="B134" i="8"/>
  <c r="E133" i="8"/>
  <c r="B133" i="8"/>
  <c r="E132" i="8"/>
  <c r="B132" i="8"/>
  <c r="E131" i="8"/>
  <c r="B131" i="8"/>
  <c r="E130" i="8"/>
  <c r="B130" i="8"/>
  <c r="E129" i="8"/>
  <c r="B129" i="8"/>
  <c r="E128" i="8"/>
  <c r="B128" i="8"/>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E110" i="8"/>
  <c r="B110" i="8"/>
  <c r="E109" i="8"/>
  <c r="B109" i="8"/>
  <c r="E108" i="8"/>
  <c r="B108" i="8"/>
  <c r="E107" i="8"/>
  <c r="B107" i="8"/>
  <c r="E106" i="8"/>
  <c r="B106" i="8"/>
  <c r="E105" i="8"/>
  <c r="B105" i="8"/>
  <c r="E104" i="8"/>
  <c r="B104" i="8"/>
  <c r="E103" i="8"/>
  <c r="B103" i="8"/>
  <c r="E102" i="8"/>
  <c r="B102" i="8"/>
  <c r="E101" i="8"/>
  <c r="B101" i="8"/>
  <c r="E100" i="8"/>
  <c r="B100" i="8"/>
  <c r="E99" i="8"/>
  <c r="B99" i="8"/>
  <c r="E98" i="8"/>
  <c r="B98" i="8"/>
  <c r="E97" i="8"/>
  <c r="B97" i="8"/>
  <c r="E96" i="8"/>
  <c r="B96" i="8"/>
  <c r="E95" i="8"/>
  <c r="B95" i="8"/>
  <c r="E94" i="8"/>
  <c r="B94" i="8"/>
  <c r="E93" i="8"/>
  <c r="B93" i="8"/>
  <c r="E92" i="8"/>
  <c r="B92" i="8"/>
  <c r="E91" i="8"/>
  <c r="B91" i="8"/>
  <c r="E90" i="8"/>
  <c r="B90" i="8"/>
  <c r="E89" i="8"/>
  <c r="B89" i="8"/>
  <c r="E88" i="8"/>
  <c r="B88" i="8"/>
  <c r="E87" i="8"/>
  <c r="B87" i="8"/>
  <c r="E86" i="8"/>
  <c r="B86" i="8"/>
  <c r="E85" i="8"/>
  <c r="B85" i="8"/>
  <c r="E84" i="8"/>
  <c r="B84" i="8"/>
  <c r="E83" i="8"/>
  <c r="B83" i="8"/>
  <c r="E82" i="8"/>
  <c r="B82" i="8"/>
  <c r="E81" i="8"/>
  <c r="B81" i="8"/>
  <c r="E80" i="8"/>
  <c r="B80" i="8"/>
  <c r="E79" i="8"/>
  <c r="B79" i="8"/>
  <c r="E78" i="8"/>
  <c r="B78" i="8"/>
  <c r="E77" i="8"/>
  <c r="B77" i="8"/>
  <c r="E76" i="8"/>
  <c r="B76" i="8"/>
  <c r="E75" i="8"/>
  <c r="B75" i="8"/>
  <c r="E74" i="8"/>
  <c r="B74" i="8"/>
  <c r="E73" i="8"/>
  <c r="B73" i="8"/>
  <c r="E72" i="8"/>
  <c r="B72" i="8"/>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E54" i="8"/>
  <c r="B54" i="8"/>
  <c r="E53" i="8"/>
  <c r="B53" i="8"/>
  <c r="E52" i="8"/>
  <c r="B52" i="8"/>
  <c r="E51" i="8"/>
  <c r="B51" i="8"/>
  <c r="E50" i="8"/>
  <c r="B50" i="8"/>
  <c r="E49" i="8"/>
  <c r="B49" i="8"/>
  <c r="E48" i="8"/>
  <c r="B48" i="8"/>
  <c r="E47" i="8"/>
  <c r="B47" i="8"/>
  <c r="E46" i="8"/>
  <c r="B46" i="8"/>
  <c r="E45" i="8"/>
  <c r="B45" i="8"/>
  <c r="E44" i="8"/>
  <c r="B44" i="8"/>
  <c r="E43" i="8"/>
  <c r="B43" i="8"/>
  <c r="E42" i="8"/>
  <c r="B42" i="8"/>
  <c r="E41" i="8"/>
  <c r="B41" i="8"/>
  <c r="E40" i="8"/>
  <c r="B40" i="8"/>
  <c r="E39" i="8"/>
  <c r="B39" i="8"/>
  <c r="E38" i="8"/>
  <c r="B38" i="8"/>
  <c r="E37" i="8"/>
  <c r="B37" i="8"/>
  <c r="E36" i="8"/>
  <c r="B36" i="8"/>
  <c r="E35" i="8"/>
  <c r="B35" i="8"/>
  <c r="E34" i="8"/>
  <c r="B34" i="8"/>
  <c r="E33" i="8"/>
  <c r="B33" i="8"/>
  <c r="E32" i="8"/>
  <c r="B32" i="8"/>
  <c r="E31" i="8"/>
  <c r="B31" i="8"/>
  <c r="E30" i="8"/>
  <c r="B30" i="8"/>
  <c r="E29" i="8"/>
  <c r="B29" i="8"/>
  <c r="E28" i="8"/>
  <c r="B28" i="8"/>
  <c r="E27" i="8"/>
  <c r="B27" i="8"/>
  <c r="E26" i="8"/>
  <c r="B26" i="8"/>
  <c r="E25" i="8"/>
  <c r="B25" i="8"/>
  <c r="E24" i="8"/>
  <c r="B24" i="8"/>
  <c r="E23" i="8"/>
  <c r="B23" i="8"/>
  <c r="E22" i="8"/>
  <c r="B22" i="8"/>
  <c r="E21" i="8"/>
  <c r="B21" i="8"/>
  <c r="E20" i="8"/>
  <c r="B20" i="8"/>
  <c r="E19" i="8"/>
  <c r="B19" i="8"/>
  <c r="E18" i="8"/>
  <c r="B18" i="8"/>
  <c r="E17" i="8"/>
  <c r="B17" i="8"/>
  <c r="E16" i="8"/>
  <c r="B16" i="8"/>
  <c r="E15" i="8"/>
  <c r="B15" i="8"/>
  <c r="E14" i="8"/>
  <c r="B14" i="8"/>
  <c r="E13" i="8"/>
  <c r="B13" i="8"/>
  <c r="E12" i="8"/>
  <c r="B12" i="8"/>
  <c r="E11" i="8"/>
  <c r="B11" i="8"/>
  <c r="E10" i="8"/>
  <c r="B10" i="8"/>
  <c r="E9" i="8"/>
  <c r="B9" i="8"/>
  <c r="E8" i="8"/>
  <c r="B8" i="8"/>
  <c r="E7" i="8"/>
  <c r="B7" i="8"/>
  <c r="E6" i="8"/>
  <c r="B6" i="8"/>
  <c r="E5" i="8"/>
  <c r="B5" i="8"/>
  <c r="E4" i="8"/>
  <c r="B4" i="8"/>
  <c r="E3" i="8"/>
  <c r="B3" i="8"/>
  <c r="D2" i="1"/>
  <c r="D3" i="1"/>
  <c r="D10" i="1"/>
  <c r="D14" i="1"/>
  <c r="D20" i="1"/>
  <c r="D21" i="1"/>
  <c r="D22" i="1"/>
  <c r="D7" i="1"/>
  <c r="D11" i="1"/>
  <c r="D12" i="1"/>
  <c r="D16" i="1"/>
  <c r="D9" i="1"/>
  <c r="D17" i="1"/>
  <c r="D19" i="1"/>
  <c r="D15" i="1"/>
  <c r="D18" i="1"/>
  <c r="D8" i="1"/>
  <c r="D5" i="1"/>
  <c r="D6" i="1"/>
  <c r="D13"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B136" i="7"/>
  <c r="B135" i="7"/>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E107" i="7"/>
  <c r="B107" i="7"/>
  <c r="E106" i="7"/>
  <c r="B106" i="7"/>
  <c r="E105" i="7"/>
  <c r="B105" i="7"/>
  <c r="E104" i="7"/>
  <c r="B104" i="7"/>
  <c r="E103" i="7"/>
  <c r="B103" i="7"/>
  <c r="E102" i="7"/>
  <c r="B102" i="7"/>
  <c r="E101" i="7"/>
  <c r="B101" i="7"/>
  <c r="E100" i="7"/>
  <c r="B100" i="7"/>
  <c r="E99" i="7"/>
  <c r="B99" i="7"/>
  <c r="E98" i="7"/>
  <c r="B98" i="7"/>
  <c r="E97" i="7"/>
  <c r="B97" i="7"/>
  <c r="E96" i="7"/>
  <c r="B96" i="7"/>
  <c r="E95" i="7"/>
  <c r="B95" i="7"/>
  <c r="E94" i="7"/>
  <c r="B94" i="7"/>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B20" i="3" l="1"/>
  <c r="C4" i="1" l="1"/>
  <c r="C16" i="1" l="1"/>
  <c r="C10" i="1" l="1"/>
  <c r="C9" i="1"/>
  <c r="C7" i="1"/>
  <c r="F39" i="1" l="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B21" i="3" l="1"/>
  <c r="C21" i="1" l="1"/>
  <c r="C12" i="1"/>
  <c r="C3" i="1"/>
  <c r="C11" i="1"/>
  <c r="C22" i="1"/>
  <c r="C20" i="1"/>
  <c r="C14" i="1"/>
  <c r="C19" i="1"/>
  <c r="C15" i="1"/>
  <c r="C18" i="1"/>
  <c r="C8" i="1"/>
  <c r="C5" i="1"/>
  <c r="C6" i="1"/>
  <c r="C13"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E2" i="2" s="1"/>
  <c r="C3" i="2"/>
  <c r="C4" i="2"/>
  <c r="C5" i="2"/>
  <c r="C6" i="2"/>
  <c r="C7" i="2"/>
  <c r="E7" i="2" s="1"/>
  <c r="C8" i="2"/>
  <c r="D8" i="2" s="1"/>
  <c r="C9" i="2"/>
  <c r="D9" i="2" s="1"/>
  <c r="C10" i="2"/>
  <c r="E10" i="2" s="1"/>
  <c r="C11" i="2"/>
  <c r="C12" i="2"/>
  <c r="C13" i="2"/>
  <c r="D13" i="2" s="1"/>
  <c r="C14" i="2"/>
  <c r="C15" i="2"/>
  <c r="D15" i="2" s="1"/>
  <c r="C16" i="2"/>
  <c r="E16" i="2" s="1"/>
  <c r="C17" i="2"/>
  <c r="E17" i="2" s="1"/>
  <c r="C18" i="2"/>
  <c r="D18" i="2" s="1"/>
  <c r="C19" i="2"/>
  <c r="C20" i="2"/>
  <c r="C21" i="2"/>
  <c r="C22" i="2"/>
  <c r="C23" i="2"/>
  <c r="D23" i="2" s="1"/>
  <c r="C24" i="2"/>
  <c r="D24" i="2" s="1"/>
  <c r="C25" i="2"/>
  <c r="C26" i="2"/>
  <c r="D26" i="2" s="1"/>
  <c r="C27" i="2"/>
  <c r="C28" i="2"/>
  <c r="C29" i="2"/>
  <c r="D29" i="2" s="1"/>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D22" i="2"/>
  <c r="D21" i="2"/>
  <c r="E35" i="2"/>
  <c r="E22" i="2"/>
  <c r="E28" i="2"/>
  <c r="E33" i="2"/>
  <c r="D31" i="2"/>
  <c r="D30" i="2"/>
  <c r="D6" i="2"/>
  <c r="E3" i="2"/>
  <c r="E12" i="2"/>
  <c r="D4" i="2"/>
  <c r="D27" i="2"/>
  <c r="E9" i="2"/>
  <c r="E25" i="2"/>
  <c r="E11" i="2"/>
  <c r="E5" i="2"/>
  <c r="E27" i="2"/>
  <c r="E14" i="2"/>
  <c r="D2" i="2"/>
  <c r="D28" i="2"/>
  <c r="D25" i="2"/>
  <c r="D3" i="2"/>
  <c r="E6" i="2"/>
  <c r="E21" i="2"/>
  <c r="E19" i="2"/>
  <c r="E32" i="2"/>
  <c r="E20" i="2"/>
  <c r="E31" i="2"/>
  <c r="E34" i="2"/>
  <c r="E23" i="2"/>
  <c r="E15" i="2"/>
  <c r="E30" i="2"/>
  <c r="D14" i="2"/>
  <c r="D12" i="2"/>
  <c r="D20" i="2"/>
  <c r="D19" i="2"/>
  <c r="D5" i="2"/>
  <c r="E4" i="2"/>
  <c r="D11" i="2"/>
  <c r="D7" i="2"/>
  <c r="E26" i="2" l="1"/>
  <c r="E18" i="2"/>
  <c r="D17" i="2"/>
  <c r="D10" i="2"/>
  <c r="E24" i="2"/>
  <c r="D16" i="2"/>
  <c r="E8" i="2"/>
  <c r="E13" i="2"/>
  <c r="E29" i="2"/>
</calcChain>
</file>

<file path=xl/sharedStrings.xml><?xml version="1.0" encoding="utf-8"?>
<sst xmlns="http://schemas.openxmlformats.org/spreadsheetml/2006/main" count="278" uniqueCount="148">
  <si>
    <t>Column10</t>
  </si>
  <si>
    <t>Column11</t>
  </si>
  <si>
    <t>Column12</t>
  </si>
  <si>
    <t>Column13</t>
  </si>
  <si>
    <t>Column14</t>
  </si>
  <si>
    <t>Column15</t>
  </si>
  <si>
    <t>Column16</t>
  </si>
  <si>
    <t>Column17</t>
  </si>
  <si>
    <t>Column18</t>
  </si>
  <si>
    <t>Column19</t>
  </si>
  <si>
    <t>Column20</t>
  </si>
  <si>
    <t>PSA Task Name</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</si>
  <si>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</si>
  <si>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</si>
  <si>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</si>
  <si>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</si>
  <si>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</si>
  <si>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</si>
  <si>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</si>
  <si>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</si>
  <si>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</si>
  <si>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</si>
  <si>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</si>
  <si>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</si>
  <si>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</si>
  <si>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</si>
  <si>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</si>
  <si>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</si>
  <si>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</si>
  <si>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</si>
  <si>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</si>
  <si>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</si>
  <si>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</si>
  <si>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</si>
  <si>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</si>
  <si>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</si>
  <si>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</si>
  <si>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</si>
  <si>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</si>
  <si>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</si>
  <si>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</si>
  <si>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</si>
  <si>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</si>
  <si>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</si>
  <si>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</si>
  <si>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</si>
  <si>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</si>
  <si>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</si>
  <si>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</si>
  <si>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</si>
  <si>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</si>
  <si>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</si>
  <si>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</si>
  <si>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</si>
  <si>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</si>
  <si>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</si>
  <si>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</si>
  <si>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</si>
  <si>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</si>
  <si>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</si>
  <si>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</si>
  <si>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</si>
  <si>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</si>
  <si>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</si>
  <si>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</si>
  <si>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</si>
  <si>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</si>
  <si>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</si>
  <si>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</si>
  <si>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</si>
  <si>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</si>
  <si>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</si>
  <si>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</si>
  <si>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</si>
  <si>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</si>
  <si>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</si>
  <si>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</si>
  <si>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</si>
  <si>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</si>
  <si>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</si>
  <si>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</si>
  <si>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</si>
  <si>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</si>
  <si>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</si>
  <si>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</si>
  <si>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</si>
  <si>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</si>
  <si>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</si>
  <si>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</si>
  <si>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</si>
  <si>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</si>
  <si>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</si>
  <si>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</si>
  <si>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</si>
  <si>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</si>
  <si>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</si>
  <si>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</si>
  <si>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</si>
  <si>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</si>
  <si>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</si>
  <si>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</si>
  <si>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</si>
  <si>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</si>
  <si>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</si>
  <si>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</si>
  <si>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</si>
  <si>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</si>
  <si>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</si>
  <si>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</si>
  <si>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</si>
  <si>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</si>
  <si>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</si>
  <si>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</si>
  <si>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</si>
  <si>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</si>
  <si>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</si>
  <si>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</si>
  <si>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</si>
  <si>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</si>
  <si>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</si>
  <si>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</si>
  <si>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</si>
  <si>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</si>
  <si>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</si>
  <si>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ID</t>
  </si>
  <si>
    <t>11.18.21 Waiting for the sample data for mapping
11.11.21 Waiting for the sample data for mapping
11.4.21 Waiting for the updates for connection methods 
10.25.21 Waiting for reply for TP
10.18.21 Reach out to trading partner: 2
10.9.21 Reach out to trading partner: 1</t>
  </si>
  <si>
    <t>Implementation Specialist</t>
  </si>
  <si>
    <t>Testing : Prime Automotive Parts : New Trading Partner Setup</t>
  </si>
  <si>
    <t>Testing : Ste Michelle Wine Estates : New Trading Partner Setup</t>
  </si>
  <si>
    <t>Testing : Rural King York : New Trading Partner Setup</t>
  </si>
  <si>
    <t>Testing : Grassmid Transport Inc. : New Trading Partner Setup</t>
  </si>
  <si>
    <t>Testing : Davidson's : New Trading Partner Setup</t>
  </si>
  <si>
    <t>Testing : Deutsch Family Wine &amp; Spirits : New Trading Partner Setup</t>
  </si>
  <si>
    <t>Testing : Paragon Sports : New Trading Partner Setup</t>
  </si>
  <si>
    <t>11.22.21 Reach out to trading partner for updates
11.12.21  Reach out to new contact for updates
11.4.21 Reach out to Charlie for a new contact
10.27.21 No Contacts</t>
  </si>
  <si>
    <t>11.22.21 Reach out to Brandon for updates
11.12.21 Reach out to Brandon  for updates
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</si>
  <si>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11.22.21 Reach out to trading partner: 3
11.12.21 Reach out to trading partner:2
11.4.21 Reach out to trading partner</t>
  </si>
  <si>
    <t>11.22.21 Reach out to trading partner:3
11.15.21 Reach out to trading partner:2
11.5.21 Reach out to trading partner</t>
  </si>
  <si>
    <t>11.22.21 Reach out to trading partner:3
11.15.21  Reach out to new contact again
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</si>
  <si>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11.22.21 Reach out to new contact:2
11.16.21 Reach out to customer for contact
11.5.21 Reach out to Aaron for help
10.28.21 Reach out to customer:1
10.20.21 waiting for contact from jodi
10.11.21 Reach out to trading partner: 1</t>
  </si>
  <si>
    <t>11.23.21 Reach out again looking for solution
11.16.21 Communicating with trading partner looking for new connection method
11.8.21 Reach out to Aaron for help
10.29.21 Reach out to new contact
10.21.21 Wait for new contact from Jodi
10.11.21 Reach out to trading partner: 1</t>
  </si>
  <si>
    <t>11.23.21 Reach out to the new contact:2
11.16.21 Reach out to the new contact
11.5.21 Reach out to  Lee for a new contact
10.27.21 No Contacts</t>
  </si>
  <si>
    <t>11.23.21 Schedule a meeting with trading partner
11.16.21 Reach out to EDI support from Pure Country West
11.5.21 Reach out to Miguel for updates
10.29.21 Reach out to Bill again
10.22.21 Reach out to Bill agian
10.15.21 Reach out to Bill agian
10.8.21 Reach out to Bill again
9.28.21 Waiting for reply from Bill
9.22.21 Reach out to trading partenr:2
9.13.21 Reach out to trading partner</t>
  </si>
  <si>
    <t>In progress task number:</t>
  </si>
  <si>
    <t>11.19.21 Reach out to trading partner:1</t>
  </si>
  <si>
    <t>11.24.21 Waiting for contacts from Brad
11.17.21 Waiting for contacts from Brad
11.8.21 Waiting for contacts from Brad
10.30.21 Wait for updates from Brad
10.21.21 Reach out to Brad for a contact and updates
10.11.21 Reach out to trading partner: 1</t>
  </si>
  <si>
    <t>11.25.21 Reach out to Chelsea\ for new contact
11.18.21 Reach out to trading partner:3
11.11.21 Reach out to trading partner:2
11.4.21 Reach out to trading partner</t>
  </si>
  <si>
    <t>11.25.21 Reach out to Lori for a new contact
11.18.21 Reach out to trading partner: 3
11.11.21 Reach out to trading partner:2
11.4.21 Reach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</si>
</sst>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quot;Yes&quot;;&quot;Yes&quot;;&quot;No&quot;"/>
  </numFmts>
  <fonts count="11"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
      <sz val="9"/>
      <color rgb="FF333333"/>
      <name val="Open Sans"/>
      <family val="2"/>
    </font>
    <font>
      <sz val="8"/>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2">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wrapText="1"/>
    </xf>
    <xf numFmtId="14" fontId="0" fillId="0" borderId="0" xfId="0" applyNumberFormat="1" applyAlignment="1">
      <alignment vertical="top" wrapText="1"/>
    </xf>
    <xf numFmtId="14" fontId="0" fillId="0" borderId="0" xfId="0" applyNumberFormat="1"/>
    <xf numFmtId="0" fontId="9" fillId="0" borderId="0" xfId="0" applyFont="1"/>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7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numFmt numFmtId="19" formatCode="m/d/yyyy"/>
    </dxf>
    <dxf>
      <alignment horizontal="general" textRotation="0" wrapText="1" indent="0" justifyLastLine="0" shrinkToFit="0" readingOrder="0"/>
    </dxf>
    <dxf>
      <numFmt numFmtId="0" formatCode="General"/>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A173" totalsRowShown="0" headerRowDxfId="70" headerRowCellStyle="Check Cell" dataCellStyle="Normal">
  <autoFilter ref="A1:AA173" xr:uid="{00000000-0009-0000-0100-000002000000}"/>
  <sortState xmlns:xlrd2="http://schemas.microsoft.com/office/spreadsheetml/2017/richdata2" ref="A2:AA173">
    <sortCondition ref="D1:D173"/>
  </sortState>
  <tableColumns count="27">
    <tableColumn id="1" xr3:uid="{00000000-0010-0000-0000-000001000000}" name="PSA Task Name" dataCellStyle="Normal"/>
    <tableColumn id="30" xr3:uid="{00000000-0010-0000-0000-00001E000000}" name="ID" dataDxfId="69" dataCellStyle="Normal">
      <calculatedColumnFormula>COUNTA('in progress'!A:A)</calculatedColumnFormula>
    </tableColumn>
    <tableColumn id="2" xr3:uid="{00000000-0010-0000-0000-000002000000}" name="Partner Name" dataCellStyle="Normal">
      <calculatedColumnFormula xml:space="preserve"> MID(A2,SEARCH(":",A2)+2,SEARCH(":",A2,SEARCH(":",A2)+1)-SEARCH(":",A2)-3)</calculatedColumnFormula>
    </tableColumn>
    <tableColumn id="3" xr3:uid="{00000000-0010-0000-0000-000003000000}" name="Customer  Name" dataCellStyle="Normal">
      <calculatedColumnFormula>"partner:"&amp;MID(A2,SEARCH(":",A2)+1,SEARCH(":",A2,SEARCH(":",A2)+1)-SEARCH(":",A2)-1)</calculatedColumnFormula>
    </tableColumn>
    <tableColumn id="29" xr3:uid="{00000000-0010-0000-0000-00001D000000}" name="Notes" dataDxfId="68" dataCellStyle="Normal"/>
    <tableColumn id="6" xr3:uid="{00000000-0010-0000-0000-000006000000}" name="Date" dataDxfId="67" dataCellStyle="Normal">
      <calculatedColumnFormula>DATEVALUE(SUBSTITUTE(LEFT(#REF!,SEARCH(" ",#REF!)-1),".","/"))</calculatedColumnFormula>
    </tableColumn>
    <tableColumn id="7" xr3:uid="{00000000-0010-0000-0000-000007000000}" name="Contact1" dataCellStyle="Normal"/>
    <tableColumn id="8" xr3:uid="{00000000-0010-0000-0000-000008000000}" name="Contact2" dataCellStyle="Normal"/>
    <tableColumn id="9" xr3:uid="{00000000-0010-0000-0000-000009000000}" name="Implementation Specialist" dataCellStyle="Normal"/>
    <tableColumn id="10" xr3:uid="{00000000-0010-0000-0000-00000A000000}" name="directions" dataCellStyle="Normal"/>
    <tableColumn id="11" xr3:uid="{00000000-0010-0000-0000-00000B000000}" name="Specs" dataCellStyle="Normal"/>
    <tableColumn id="12" xr3:uid="{00000000-0010-0000-0000-00000C000000}" name="EDI ID" dataCellStyle="Normal"/>
    <tableColumn id="13" xr3:uid="{00000000-0010-0000-0000-00000D000000}" name="Van/AS2/FTP" dataCellStyle="Normal"/>
    <tableColumn id="14" xr3:uid="{00000000-0010-0000-0000-00000E000000}" name="Column10" dataCellStyle="Normal"/>
    <tableColumn id="15" xr3:uid="{00000000-0010-0000-0000-00000F000000}" name="Column11" dataCellStyle="Normal"/>
    <tableColumn id="16" xr3:uid="{00000000-0010-0000-0000-000010000000}" name="Column12" dataCellStyle="Normal"/>
    <tableColumn id="17" xr3:uid="{00000000-0010-0000-0000-000011000000}" name="Column13" dataCellStyle="Normal"/>
    <tableColumn id="18" xr3:uid="{00000000-0010-0000-0000-000012000000}" name="Column14" dataCellStyle="Normal"/>
    <tableColumn id="19" xr3:uid="{00000000-0010-0000-0000-000013000000}" name="Column15" dataCellStyle="Normal"/>
    <tableColumn id="20" xr3:uid="{00000000-0010-0000-0000-000014000000}" name="Column16" dataCellStyle="Normal"/>
    <tableColumn id="21" xr3:uid="{00000000-0010-0000-0000-000015000000}" name="Column17" dataCellStyle="Normal"/>
    <tableColumn id="22" xr3:uid="{00000000-0010-0000-0000-000016000000}" name="Column18" dataCellStyle="Normal"/>
    <tableColumn id="23" xr3:uid="{00000000-0010-0000-0000-000017000000}" name="Column19" dataCellStyle="Normal"/>
    <tableColumn id="24" xr3:uid="{00000000-0010-0000-0000-000018000000}" name="Column20" dataCellStyle="Normal"/>
    <tableColumn id="25" xr3:uid="{00000000-0010-0000-0000-000019000000}" name="Column21" dataCellStyle="Normal"/>
    <tableColumn id="26" xr3:uid="{00000000-0010-0000-0000-00001A000000}" name="Column22" dataCellStyle="Normal"/>
    <tableColumn id="27" xr3:uid="{00000000-0010-0000-0000-00001B000000}" name="Column23" dataCellStyle="Normal"/>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22" displayName="Table22" ref="A1:Z136" totalsRowShown="0" headerRowDxfId="62" dataDxfId="61" headerRowCellStyle="Check Cell" dataCellStyle="Normal">
  <autoFilter ref="A1:Z136" xr:uid="{00000000-0009-0000-0100-000001000000}"/>
  <sortState xmlns:xlrd2="http://schemas.microsoft.com/office/spreadsheetml/2017/richdata2" ref="A2:Z136">
    <sortCondition ref="E1:E136"/>
  </sortState>
  <tableColumns count="26">
    <tableColumn id="1" xr3:uid="{00000000-0010-0000-0100-000001000000}" name="PSA Task Name" dataDxfId="60" dataCellStyle="Normal"/>
    <tableColumn id="2" xr3:uid="{00000000-0010-0000-0100-000002000000}" name="Customer  Name" dataDxfId="59" dataCellStyle="Normal">
      <calculatedColumnFormula xml:space="preserve"> MID(A2,SEARCH(":",A2)+2,SEARCH(":",A2,SEARCH(":",A2)+1)-SEARCH(":",A2)-3)</calculatedColumnFormula>
    </tableColumn>
    <tableColumn id="3" xr3:uid="{00000000-0010-0000-0100-000003000000}" name="Partner Name" dataDxfId="58" dataCellStyle="Normal">
      <calculatedColumnFormula>"partner:"&amp;MID(A2,SEARCH(":",A2)+1,SEARCH(":",A2,SEARCH(":",A2)+1)-SEARCH(":",A2)-1)</calculatedColumnFormula>
    </tableColumn>
    <tableColumn id="29" xr3:uid="{00000000-0010-0000-0100-00001D000000}" name="Notes" dataDxfId="57"/>
    <tableColumn id="6" xr3:uid="{00000000-0010-0000-0100-000006000000}" name="Date" dataDxfId="56" dataCellStyle="Normal"/>
    <tableColumn id="7" xr3:uid="{00000000-0010-0000-0100-000007000000}" name="Contact" dataDxfId="55" dataCellStyle="Normal"/>
    <tableColumn id="8" xr3:uid="{00000000-0010-0000-0100-000008000000}" name="Email" dataDxfId="54" dataCellStyle="Normal"/>
    <tableColumn id="9" xr3:uid="{00000000-0010-0000-0100-000009000000}" name="Column1" dataDxfId="53" dataCellStyle="Normal"/>
    <tableColumn id="10" xr3:uid="{00000000-0010-0000-0100-00000A000000}" name="directions" dataDxfId="52" dataCellStyle="Normal"/>
    <tableColumn id="11" xr3:uid="{00000000-0010-0000-0100-00000B000000}" name="Specs" dataDxfId="51" dataCellStyle="Normal"/>
    <tableColumn id="12" xr3:uid="{00000000-0010-0000-0100-00000C000000}" name="EDI ID" dataDxfId="50" dataCellStyle="Normal"/>
    <tableColumn id="13" xr3:uid="{00000000-0010-0000-0100-00000D000000}" name="Van/AS2/FTP" dataDxfId="49" dataCellStyle="Normal"/>
    <tableColumn id="14" xr3:uid="{00000000-0010-0000-0100-00000E000000}" name="Column10" dataDxfId="48" dataCellStyle="Normal"/>
    <tableColumn id="15" xr3:uid="{00000000-0010-0000-0100-00000F000000}" name="Column11" dataDxfId="47" dataCellStyle="Normal"/>
    <tableColumn id="16" xr3:uid="{00000000-0010-0000-0100-000010000000}" name="Column12" dataDxfId="46" dataCellStyle="Normal"/>
    <tableColumn id="17" xr3:uid="{00000000-0010-0000-0100-000011000000}" name="Column13" dataDxfId="45" dataCellStyle="Normal"/>
    <tableColumn id="18" xr3:uid="{00000000-0010-0000-0100-000012000000}" name="Column14" dataDxfId="44" dataCellStyle="Normal"/>
    <tableColumn id="19" xr3:uid="{00000000-0010-0000-0100-000013000000}" name="Column15" dataDxfId="43" dataCellStyle="Normal"/>
    <tableColumn id="20" xr3:uid="{00000000-0010-0000-0100-000014000000}" name="Column16" dataDxfId="42" dataCellStyle="Normal"/>
    <tableColumn id="21" xr3:uid="{00000000-0010-0000-0100-000015000000}" name="Column17" dataDxfId="41" dataCellStyle="Normal"/>
    <tableColumn id="22" xr3:uid="{00000000-0010-0000-0100-000016000000}" name="Column18" dataDxfId="40" dataCellStyle="Normal"/>
    <tableColumn id="23" xr3:uid="{00000000-0010-0000-0100-000017000000}" name="Column19" dataDxfId="39" dataCellStyle="Normal"/>
    <tableColumn id="24" xr3:uid="{00000000-0010-0000-0100-000018000000}" name="Column20" dataDxfId="38" dataCellStyle="Normal"/>
    <tableColumn id="25" xr3:uid="{00000000-0010-0000-0100-000019000000}" name="Column21" dataDxfId="37" dataCellStyle="Normal"/>
    <tableColumn id="26" xr3:uid="{00000000-0010-0000-0100-00001A000000}" name="Column22" dataDxfId="36" dataCellStyle="Normal"/>
    <tableColumn id="27" xr3:uid="{00000000-0010-0000-0100-00001B000000}" name="Column23" dataDxfId="35" dataCellStyle="Norma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25" displayName="Table25" ref="A1:Z136" totalsRowShown="0" headerRowDxfId="27" dataDxfId="26" headerRowCellStyle="Check Cell" dataCellStyle="Normal">
  <autoFilter ref="A1:Z136" xr:uid="{00000000-0009-0000-0100-000004000000}"/>
  <sortState xmlns:xlrd2="http://schemas.microsoft.com/office/spreadsheetml/2017/richdata2" ref="A2:Z136">
    <sortCondition ref="E1:E136"/>
  </sortState>
  <tableColumns count="26">
    <tableColumn id="1" xr3:uid="{00000000-0010-0000-0200-000001000000}" name="PSA Task Name" dataDxfId="25" dataCellStyle="Normal"/>
    <tableColumn id="2" xr3:uid="{00000000-0010-0000-0200-000002000000}" name="Customer  Name" dataDxfId="24" dataCellStyle="Normal">
      <calculatedColumnFormula xml:space="preserve"> MID(A2,SEARCH(":",A2)+2,SEARCH(":",A2,SEARCH(":",A2)+1)-SEARCH(":",A2)-3)</calculatedColumnFormula>
    </tableColumn>
    <tableColumn id="3" xr3:uid="{00000000-0010-0000-0200-000003000000}" name="Partner Name" dataDxfId="23" dataCellStyle="Normal">
      <calculatedColumnFormula xml:space="preserve"> MID(A2,SEARCH(":",A2)+2,SEARCH(":",A2,SEARCH(":",A2)+1)-SEARCH(":",A2)-3)</calculatedColumnFormula>
    </tableColumn>
    <tableColumn id="29" xr3:uid="{00000000-0010-0000-0200-00001D000000}" name="Notes" dataDxfId="22"/>
    <tableColumn id="6" xr3:uid="{00000000-0010-0000-0200-000006000000}" name="Date" dataDxfId="21" dataCellStyle="Normal"/>
    <tableColumn id="7" xr3:uid="{00000000-0010-0000-0200-000007000000}" name="Contact" dataDxfId="20" dataCellStyle="Normal"/>
    <tableColumn id="8" xr3:uid="{00000000-0010-0000-0200-000008000000}" name="Email" dataDxfId="19" dataCellStyle="Normal"/>
    <tableColumn id="9" xr3:uid="{00000000-0010-0000-0200-000009000000}" name="Column1" dataDxfId="18" dataCellStyle="Normal"/>
    <tableColumn id="10" xr3:uid="{00000000-0010-0000-0200-00000A000000}" name="directions" dataDxfId="17" dataCellStyle="Normal"/>
    <tableColumn id="11" xr3:uid="{00000000-0010-0000-0200-00000B000000}" name="Specs" dataDxfId="16" dataCellStyle="Normal"/>
    <tableColumn id="12" xr3:uid="{00000000-0010-0000-0200-00000C000000}" name="EDI ID" dataDxfId="15" dataCellStyle="Normal"/>
    <tableColumn id="13" xr3:uid="{00000000-0010-0000-0200-00000D000000}" name="Van/AS2/FTP" dataDxfId="14" dataCellStyle="Normal"/>
    <tableColumn id="14" xr3:uid="{00000000-0010-0000-0200-00000E000000}" name="Column10" dataDxfId="13" dataCellStyle="Normal"/>
    <tableColumn id="15" xr3:uid="{00000000-0010-0000-0200-00000F000000}" name="Column11" dataDxfId="12" dataCellStyle="Normal"/>
    <tableColumn id="16" xr3:uid="{00000000-0010-0000-0200-000010000000}" name="Column12" dataDxfId="11" dataCellStyle="Normal"/>
    <tableColumn id="17" xr3:uid="{00000000-0010-0000-0200-000011000000}" name="Column13" dataDxfId="10" dataCellStyle="Normal"/>
    <tableColumn id="18" xr3:uid="{00000000-0010-0000-0200-000012000000}" name="Column14" dataDxfId="9" dataCellStyle="Normal"/>
    <tableColumn id="19" xr3:uid="{00000000-0010-0000-0200-000013000000}" name="Column15" dataDxfId="8" dataCellStyle="Normal"/>
    <tableColumn id="20" xr3:uid="{00000000-0010-0000-0200-000014000000}" name="Column16" dataDxfId="7" dataCellStyle="Normal"/>
    <tableColumn id="21" xr3:uid="{00000000-0010-0000-0200-000015000000}" name="Column17" dataDxfId="6" dataCellStyle="Normal"/>
    <tableColumn id="22" xr3:uid="{00000000-0010-0000-0200-000016000000}" name="Column18" dataDxfId="5" dataCellStyle="Normal"/>
    <tableColumn id="23" xr3:uid="{00000000-0010-0000-0200-000017000000}" name="Column19" dataDxfId="4" dataCellStyle="Normal"/>
    <tableColumn id="24" xr3:uid="{00000000-0010-0000-0200-000018000000}" name="Column20" dataDxfId="3" dataCellStyle="Normal"/>
    <tableColumn id="25" xr3:uid="{00000000-0010-0000-0200-000019000000}" name="Column21" dataDxfId="2" dataCellStyle="Normal"/>
    <tableColumn id="26" xr3:uid="{00000000-0010-0000-0200-00001A000000}" name="Column22" dataDxfId="1" dataCellStyle="Normal"/>
    <tableColumn id="27" xr3:uid="{00000000-0010-0000-0200-00001B000000}" name="Column23" dataDxfId="0" dataCellStyle="Normal"/>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F218" totalsRowShown="0">
  <autoFilter ref="A1:F218" xr:uid="{00000000-0009-0000-0100-000003000000}"/>
  <tableColumns count="6">
    <tableColumn id="1" xr3:uid="{00000000-0010-0000-0300-000001000000}" name="NS text"/>
    <tableColumn id="2" xr3:uid="{00000000-0010-0000-0300-000002000000}" name="Log ID"/>
    <tableColumn id="3" xr3:uid="{00000000-0010-0000-0300-000003000000}" name="Burlington Coat Factory Unknown"/>
    <tableColumn id="4" xr3:uid="{00000000-0010-0000-0300-000004000000}" name="Sender name"/>
    <tableColumn id="5" xr3:uid="{00000000-0010-0000-0300-000005000000}" name="Transaction type"/>
    <tableColumn id="6" xr3:uid="{00000000-0010-0000-0300-000006000000}"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9B146-FAD1-4CE3-AE00-B718967E958E}">
  <sheetPr codeName="Sheet5"/>
  <dimension ref="A1:B1"/>
  <sheetViews>
    <sheetView workbookViewId="0">
      <selection activeCell="D10" sqref="D10"/>
    </sheetView>
  </sheetViews>
  <sheetFormatPr defaultRowHeight="15" x14ac:dyDescent="0.25"/>
  <cols>
    <col min="1" max="5" width="38" customWidth="1"/>
  </cols>
  <sheetData>
    <row r="1" spans="1:2" x14ac:dyDescent="0.25">
      <c r="A1" t="s">
        <v>143</v>
      </c>
      <c r="B1">
        <f>COUNTA('in progress'!A:A)</f>
        <v>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73"/>
  <sheetViews>
    <sheetView tabSelected="1" zoomScale="70" zoomScaleNormal="70" workbookViewId="0">
      <selection activeCell="C2" sqref="C2"/>
    </sheetView>
  </sheetViews>
  <sheetFormatPr defaultRowHeight="15" x14ac:dyDescent="0.25"/>
  <cols>
    <col min="1" max="1" width="62.85546875" style="15" customWidth="1"/>
    <col min="2" max="2" width="20.85546875" style="15" customWidth="1"/>
    <col min="3" max="3" width="38.140625" customWidth="1"/>
    <col min="4" max="4" width="82.42578125" style="3" customWidth="1"/>
    <col min="5" max="5" width="84.7109375" style="36" customWidth="1"/>
    <col min="6" max="6" width="67.7109375" customWidth="1"/>
    <col min="7" max="7" width="14.85546875" style="38"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7" s="9" customFormat="1" ht="29.25" customHeight="1" thickTop="1" thickBot="1" x14ac:dyDescent="0.3">
      <c r="A1" s="1" t="s">
        <v>11</v>
      </c>
      <c r="B1" s="1" t="s">
        <v>124</v>
      </c>
      <c r="C1" s="1" t="s">
        <v>121</v>
      </c>
      <c r="D1" s="1" t="s">
        <v>47</v>
      </c>
      <c r="E1" s="1" t="s">
        <v>43</v>
      </c>
      <c r="F1" s="37" t="s">
        <v>12</v>
      </c>
      <c r="G1" s="1" t="s">
        <v>122</v>
      </c>
      <c r="H1" s="1" t="s">
        <v>123</v>
      </c>
      <c r="I1" s="10" t="s">
        <v>126</v>
      </c>
      <c r="J1" s="1" t="s">
        <v>36</v>
      </c>
      <c r="K1" s="1" t="s">
        <v>37</v>
      </c>
      <c r="L1" s="1" t="s">
        <v>38</v>
      </c>
      <c r="M1" s="1" t="s">
        <v>39</v>
      </c>
      <c r="N1" s="1" t="s">
        <v>0</v>
      </c>
      <c r="O1" s="8" t="s">
        <v>1</v>
      </c>
      <c r="P1" s="8" t="s">
        <v>2</v>
      </c>
      <c r="Q1" s="8" t="s">
        <v>3</v>
      </c>
      <c r="R1" s="9" t="s">
        <v>4</v>
      </c>
      <c r="S1" s="9" t="s">
        <v>5</v>
      </c>
      <c r="T1" s="9" t="s">
        <v>6</v>
      </c>
      <c r="U1" s="9" t="s">
        <v>7</v>
      </c>
      <c r="V1" s="9" t="s">
        <v>8</v>
      </c>
      <c r="W1" s="9" t="s">
        <v>9</v>
      </c>
      <c r="X1" s="9" t="s">
        <v>10</v>
      </c>
      <c r="Y1" s="9" t="s">
        <v>15</v>
      </c>
      <c r="Z1" s="9" t="s">
        <v>16</v>
      </c>
      <c r="AA1" s="9" t="s">
        <v>17</v>
      </c>
    </row>
    <row r="2" spans="1:27" ht="60.75" thickTop="1" x14ac:dyDescent="0.25">
      <c r="A2" t="s">
        <v>84</v>
      </c>
      <c r="B2">
        <f>COUNTA('in progress'!A:A)</f>
        <v>22</v>
      </c>
      <c r="C2" t="str">
        <f xml:space="preserve"> MID(A2,SEARCH(":",A2)+2,SEARCH(":",A2,SEARCH(":",A2)+1)-SEARCH(":",A2)-3)</f>
        <v>CJ Pony Parts - File Partner</v>
      </c>
      <c r="D2" t="str">
        <f>"partner:"&amp;MID(A2,SEARCH(":",A2)+1,SEARCH(":",A2,SEARCH(":",A2)+1)-SEARCH(":",A2)-1)</f>
        <v xml:space="preserve">partner: CJ Pony Parts - File Partner </v>
      </c>
      <c r="E2" s="36" t="s">
        <v>146</v>
      </c>
      <c r="F2" s="38">
        <f>DATEVALUE(SUBSTITUTE(LEFT(Table2[[#This Row],[Notes]],SEARCH(" ",Table2[[#This Row],[Notes]])-1),".","/"))</f>
        <v>44525</v>
      </c>
      <c r="G2" t="s">
        <v>94</v>
      </c>
      <c r="I2"/>
      <c r="J2"/>
      <c r="K2"/>
    </row>
    <row r="3" spans="1:27" ht="60" x14ac:dyDescent="0.25">
      <c r="A3" t="s">
        <v>77</v>
      </c>
      <c r="B3">
        <f>COUNTA('in progress'!A:A)</f>
        <v>22</v>
      </c>
      <c r="C3" t="str">
        <f xml:space="preserve"> MID(A3,SEARCH(":",A3)+2,SEARCH(":",A3,SEARCH(":",A3)+1)-SEARCH(":",A3)-3)</f>
        <v>Coborn's Central Support Pharmacy</v>
      </c>
      <c r="D3" t="str">
        <f>"partner:"&amp;MID(A3,SEARCH(":",A3)+1,SEARCH(":",A3,SEARCH(":",A3)+1)-SEARCH(":",A3)-1)</f>
        <v xml:space="preserve">partner: Coborn's Central Support Pharmacy </v>
      </c>
      <c r="E3" s="36" t="s">
        <v>134</v>
      </c>
      <c r="F3" s="38">
        <f>DATEVALUE(SUBSTITUTE(LEFT(Table2[[#This Row],[Notes]],SEARCH(" ",Table2[[#This Row],[Notes]])-1),".","/"))</f>
        <v>44522</v>
      </c>
      <c r="G3" t="s">
        <v>51</v>
      </c>
      <c r="I3"/>
      <c r="J3"/>
      <c r="K3"/>
    </row>
    <row r="4" spans="1:27" ht="180" x14ac:dyDescent="0.25">
      <c r="A4" t="s">
        <v>49</v>
      </c>
      <c r="B4">
        <f>COUNTA('in progress'!A:A)</f>
        <v>22</v>
      </c>
      <c r="C4" t="str">
        <f xml:space="preserve"> MID(A4,SEARCH(":",A4)+2,SEARCH(":",A4,SEARCH(":",A4)+1)-SEARCH(":",A4)-3)</f>
        <v>Cosma - Bowling Green Metalforming</v>
      </c>
      <c r="D4" t="str">
        <f>"partner:"&amp;MID(A4,SEARCH(":",A4)+1,SEARCH(":",A4,SEARCH(":",A4)+1)-SEARCH(":",A4)-1)</f>
        <v xml:space="preserve">partner: Cosma - Bowling Green Metalforming </v>
      </c>
      <c r="E4" s="36" t="s">
        <v>135</v>
      </c>
      <c r="F4" s="38">
        <f>DATEVALUE(SUBSTITUTE(LEFT(Table2[[#This Row],[Notes]],SEARCH(" ",Table2[[#This Row],[Notes]])-1),".","/"))</f>
        <v>44522</v>
      </c>
      <c r="G4" t="s">
        <v>50</v>
      </c>
      <c r="I4"/>
      <c r="J4"/>
      <c r="K4"/>
    </row>
    <row r="5" spans="1:27" s="1" customFormat="1" ht="15.75" x14ac:dyDescent="0.3">
      <c r="A5" s="39" t="s">
        <v>131</v>
      </c>
      <c r="B5">
        <f>COUNTA('in progress'!A:A)</f>
        <v>22</v>
      </c>
      <c r="C5" t="str">
        <f xml:space="preserve"> MID(A5,SEARCH(":",A5)+2,SEARCH(":",A5,SEARCH(":",A5)+1)-SEARCH(":",A5)-3)</f>
        <v>Davidson's</v>
      </c>
      <c r="D5" t="str">
        <f>"partner:"&amp;MID(A5,SEARCH(":",A5)+1,SEARCH(":",A5,SEARCH(":",A5)+1)-SEARCH(":",A5)-1)</f>
        <v xml:space="preserve">partner: Davidson's </v>
      </c>
      <c r="E5" s="36" t="s">
        <v>144</v>
      </c>
      <c r="F5" s="38">
        <f>DATEVALUE(SUBSTITUTE(LEFT(Table2[[#This Row],[Notes]],SEARCH(" ",Table2[[#This Row],[Notes]])-1),".","/"))</f>
        <v>44519</v>
      </c>
      <c r="G5"/>
      <c r="H5"/>
      <c r="I5"/>
      <c r="J5"/>
      <c r="K5"/>
      <c r="L5"/>
      <c r="M5"/>
      <c r="N5"/>
      <c r="O5"/>
      <c r="P5"/>
      <c r="Q5"/>
      <c r="R5"/>
      <c r="S5"/>
      <c r="T5"/>
      <c r="U5"/>
      <c r="V5"/>
      <c r="W5"/>
      <c r="X5"/>
      <c r="Y5"/>
      <c r="Z5"/>
      <c r="AA5"/>
    </row>
    <row r="6" spans="1:27" ht="15.75" x14ac:dyDescent="0.3">
      <c r="A6" s="39" t="s">
        <v>132</v>
      </c>
      <c r="B6">
        <f>COUNTA('in progress'!A:A)</f>
        <v>22</v>
      </c>
      <c r="C6" t="str">
        <f xml:space="preserve"> MID(A6,SEARCH(":",A6)+2,SEARCH(":",A6,SEARCH(":",A6)+1)-SEARCH(":",A6)-3)</f>
        <v>Deutsch Family Wine &amp; Spirits</v>
      </c>
      <c r="D6" t="str">
        <f>"partner:"&amp;MID(A6,SEARCH(":",A6)+1,SEARCH(":",A6,SEARCH(":",A6)+1)-SEARCH(":",A6)-1)</f>
        <v xml:space="preserve">partner: Deutsch Family Wine &amp; Spirits </v>
      </c>
      <c r="E6" s="36" t="s">
        <v>144</v>
      </c>
      <c r="F6" s="38">
        <f>DATEVALUE(SUBSTITUTE(LEFT(Table2[[#This Row],[Notes]],SEARCH(" ",Table2[[#This Row],[Notes]])-1),".","/"))</f>
        <v>44519</v>
      </c>
      <c r="G6"/>
      <c r="I6"/>
      <c r="J6"/>
      <c r="K6"/>
    </row>
    <row r="7" spans="1:27" s="13" customFormat="1" ht="90" x14ac:dyDescent="0.25">
      <c r="A7" t="s">
        <v>63</v>
      </c>
      <c r="B7">
        <f>COUNTA('in progress'!A:A)</f>
        <v>22</v>
      </c>
      <c r="C7" t="str">
        <f xml:space="preserve"> MID(A7,SEARCH(":",A7)+2,SEARCH(":",A7,SEARCH(":",A7)+1)-SEARCH(":",A7)-3)</f>
        <v>Georges Music XML</v>
      </c>
      <c r="D7" t="str">
        <f>"partner:"&amp;MID(A7,SEARCH(":",A7)+1,SEARCH(":",A7,SEARCH(":",A7)+1)-SEARCH(":",A7)-1)</f>
        <v xml:space="preserve">partner: Georges Music XML </v>
      </c>
      <c r="E7" s="36" t="s">
        <v>139</v>
      </c>
      <c r="F7" s="38">
        <f>DATEVALUE(SUBSTITUTE(LEFT(Table2[[#This Row],[Notes]],SEARCH(" ",Table2[[#This Row],[Notes]])-1),".","/"))</f>
        <v>44522</v>
      </c>
      <c r="G7" t="s">
        <v>51</v>
      </c>
      <c r="H7"/>
      <c r="I7"/>
      <c r="J7"/>
      <c r="K7"/>
      <c r="L7"/>
      <c r="M7"/>
      <c r="N7"/>
      <c r="O7"/>
      <c r="P7"/>
      <c r="Q7"/>
      <c r="R7"/>
      <c r="S7"/>
      <c r="T7"/>
      <c r="U7"/>
      <c r="V7"/>
      <c r="W7"/>
      <c r="X7"/>
      <c r="Y7"/>
      <c r="Z7"/>
      <c r="AA7"/>
    </row>
    <row r="8" spans="1:27" s="5" customFormat="1" ht="15.75" x14ac:dyDescent="0.3">
      <c r="A8" s="39" t="s">
        <v>130</v>
      </c>
      <c r="B8">
        <f>COUNTA('in progress'!A:A)</f>
        <v>22</v>
      </c>
      <c r="C8" t="str">
        <f xml:space="preserve"> MID(A8,SEARCH(":",A8)+2,SEARCH(":",A8,SEARCH(":",A8)+1)-SEARCH(":",A8)-3)</f>
        <v>Grassmid Transport Inc.</v>
      </c>
      <c r="D8" t="str">
        <f>"partner:"&amp;MID(A8,SEARCH(":",A8)+1,SEARCH(":",A8,SEARCH(":",A8)+1)-SEARCH(":",A8)-1)</f>
        <v xml:space="preserve">partner: Grassmid Transport Inc. </v>
      </c>
      <c r="E8" s="36" t="s">
        <v>144</v>
      </c>
      <c r="F8" s="38">
        <f>DATEVALUE(SUBSTITUTE(LEFT(Table2[[#This Row],[Notes]],SEARCH(" ",Table2[[#This Row],[Notes]])-1),".","/"))</f>
        <v>44519</v>
      </c>
      <c r="G8"/>
      <c r="H8"/>
      <c r="I8"/>
      <c r="J8"/>
      <c r="K8"/>
      <c r="L8"/>
      <c r="M8"/>
      <c r="N8"/>
      <c r="O8"/>
      <c r="P8"/>
      <c r="Q8"/>
      <c r="R8"/>
      <c r="S8"/>
      <c r="T8"/>
      <c r="U8"/>
      <c r="V8"/>
      <c r="W8"/>
      <c r="X8"/>
      <c r="Y8"/>
      <c r="Z8"/>
      <c r="AA8"/>
    </row>
    <row r="9" spans="1:27" ht="90" x14ac:dyDescent="0.25">
      <c r="A9" t="s">
        <v>62</v>
      </c>
      <c r="B9">
        <f>COUNTA('in progress'!A:A)</f>
        <v>22</v>
      </c>
      <c r="C9" t="str">
        <f xml:space="preserve"> MID(A9,SEARCH(":",A9)+2,SEARCH(":",A9,SEARCH(":",A9)+1)-SEARCH(":",A9)-3)</f>
        <v>Guitar Center - XML Trading Partner</v>
      </c>
      <c r="D9" t="str">
        <f>"partner:"&amp;MID(A9,SEARCH(":",A9)+1,SEARCH(":",A9,SEARCH(":",A9)+1)-SEARCH(":",A9)-1)</f>
        <v xml:space="preserve">partner: Guitar Center - XML Trading Partner </v>
      </c>
      <c r="E9" s="36" t="s">
        <v>140</v>
      </c>
      <c r="F9" s="38">
        <f>DATEVALUE(SUBSTITUTE(LEFT(Table2[[#This Row],[Notes]],SEARCH(" ",Table2[[#This Row],[Notes]])-1),".","/"))</f>
        <v>44523</v>
      </c>
      <c r="G9" t="s">
        <v>71</v>
      </c>
      <c r="I9"/>
      <c r="J9"/>
      <c r="K9"/>
    </row>
    <row r="10" spans="1:27" s="18" customFormat="1" ht="90" x14ac:dyDescent="0.25">
      <c r="A10" t="s">
        <v>58</v>
      </c>
      <c r="B10">
        <f>COUNTA('in progress'!A:A)</f>
        <v>22</v>
      </c>
      <c r="C10" t="str">
        <f xml:space="preserve"> MID(A10,SEARCH(":",A10)+2,SEARCH(":",A10,SEARCH(":",A10)+1)-SEARCH(":",A10)-3)</f>
        <v>Herregan Distributors Inc.</v>
      </c>
      <c r="D10" t="str">
        <f>"partner:"&amp;MID(A10,SEARCH(":",A10)+1,SEARCH(":",A10,SEARCH(":",A10)+1)-SEARCH(":",A10)-1)</f>
        <v xml:space="preserve">partner: Herregan Distributors Inc. </v>
      </c>
      <c r="E10" s="36" t="s">
        <v>125</v>
      </c>
      <c r="F10" s="38">
        <f>DATEVALUE(SUBSTITUTE(LEFT(Table2[[#This Row],[Notes]],SEARCH(" ",Table2[[#This Row],[Notes]])-1),".","/"))</f>
        <v>44518</v>
      </c>
      <c r="G10" t="s">
        <v>67</v>
      </c>
      <c r="H10"/>
      <c r="I10"/>
      <c r="J10"/>
      <c r="K10"/>
      <c r="L10"/>
      <c r="M10"/>
      <c r="N10"/>
      <c r="O10"/>
      <c r="P10"/>
      <c r="Q10"/>
      <c r="R10"/>
      <c r="S10"/>
      <c r="T10"/>
      <c r="U10"/>
      <c r="V10"/>
      <c r="W10"/>
      <c r="X10"/>
      <c r="Y10"/>
      <c r="Z10"/>
      <c r="AA10"/>
    </row>
    <row r="11" spans="1:27" ht="45" x14ac:dyDescent="0.25">
      <c r="A11" t="s">
        <v>80</v>
      </c>
      <c r="B11">
        <f>COUNTA('in progress'!A:A)</f>
        <v>22</v>
      </c>
      <c r="C11" t="str">
        <f xml:space="preserve"> MID(A11,SEARCH(":",A11)+2,SEARCH(":",A11,SEARCH(":",A11)+1)-SEARCH(":",A11)-3)</f>
        <v>Magna Seating Vendor</v>
      </c>
      <c r="D11" t="str">
        <f>"partner:"&amp;MID(A11,SEARCH(":",A11)+1,SEARCH(":",A11,SEARCH(":",A11)+1)-SEARCH(":",A11)-1)</f>
        <v xml:space="preserve">partner: Magna Seating Vendor </v>
      </c>
      <c r="E11" s="36" t="s">
        <v>137</v>
      </c>
      <c r="F11" s="38">
        <f>DATEVALUE(SUBSTITUTE(LEFT(Table2[[#This Row],[Notes]],SEARCH(" ",Table2[[#This Row],[Notes]])-1),".","/"))</f>
        <v>44522</v>
      </c>
      <c r="G11" t="s">
        <v>90</v>
      </c>
      <c r="I11"/>
      <c r="J11"/>
      <c r="K11"/>
    </row>
    <row r="12" spans="1:27" s="1" customFormat="1" ht="60" x14ac:dyDescent="0.25">
      <c r="A12" t="s">
        <v>76</v>
      </c>
      <c r="B12">
        <f>COUNTA('in progress'!A:A)</f>
        <v>22</v>
      </c>
      <c r="C12" t="str">
        <f xml:space="preserve"> MID(A12,SEARCH(":",A12)+2,SEARCH(":",A12,SEARCH(":",A12)+1)-SEARCH(":",A12)-3)</f>
        <v>Malouf</v>
      </c>
      <c r="D12" t="str">
        <f>"partner:"&amp;MID(A12,SEARCH(":",A12)+1,SEARCH(":",A12,SEARCH(":",A12)+1)-SEARCH(":",A12)-1)</f>
        <v xml:space="preserve">partner: Malouf </v>
      </c>
      <c r="E12" s="36" t="s">
        <v>141</v>
      </c>
      <c r="F12" s="38">
        <f>DATEVALUE(SUBSTITUTE(LEFT(Table2[[#This Row],[Notes]],SEARCH(" ",Table2[[#This Row],[Notes]])-1),".","/"))</f>
        <v>44523</v>
      </c>
      <c r="G12" t="s">
        <v>51</v>
      </c>
      <c r="H12"/>
      <c r="I12"/>
      <c r="J12"/>
      <c r="K12"/>
      <c r="L12"/>
      <c r="M12"/>
      <c r="N12"/>
      <c r="O12"/>
      <c r="P12"/>
      <c r="Q12"/>
      <c r="R12"/>
      <c r="S12"/>
      <c r="T12"/>
      <c r="U12"/>
      <c r="V12"/>
      <c r="W12"/>
      <c r="X12"/>
      <c r="Y12"/>
      <c r="Z12"/>
      <c r="AA12"/>
    </row>
    <row r="13" spans="1:27" ht="15.75" x14ac:dyDescent="0.3">
      <c r="A13" s="39" t="s">
        <v>133</v>
      </c>
      <c r="B13">
        <f>COUNTA('in progress'!A:A)</f>
        <v>22</v>
      </c>
      <c r="C13" t="str">
        <f xml:space="preserve"> MID(A13,SEARCH(":",A13)+2,SEARCH(":",A13,SEARCH(":",A13)+1)-SEARCH(":",A13)-3)</f>
        <v>Paragon Sports</v>
      </c>
      <c r="D13" t="str">
        <f>"partner:"&amp;MID(A13,SEARCH(":",A13)+1,SEARCH(":",A13,SEARCH(":",A13)+1)-SEARCH(":",A13)-1)</f>
        <v xml:space="preserve">partner: Paragon Sports </v>
      </c>
      <c r="E13" s="36" t="s">
        <v>144</v>
      </c>
      <c r="F13" s="38">
        <f>DATEVALUE(SUBSTITUTE(LEFT(Table2[[#This Row],[Notes]],SEARCH(" ",Table2[[#This Row],[Notes]])-1),".","/"))</f>
        <v>44519</v>
      </c>
      <c r="G13"/>
      <c r="I13"/>
      <c r="J13"/>
      <c r="K13"/>
    </row>
    <row r="14" spans="1:27" ht="45" x14ac:dyDescent="0.25">
      <c r="A14" t="s">
        <v>89</v>
      </c>
      <c r="B14">
        <f>COUNTA('in progress'!A:A)</f>
        <v>22</v>
      </c>
      <c r="C14" t="str">
        <f xml:space="preserve"> MID(A14,SEARCH(":",A14)+2,SEARCH(":",A14,SEARCH(":",A14)+1)-SEARCH(":",A14)-3)</f>
        <v>Peg Perego</v>
      </c>
      <c r="D14" t="str">
        <f>"partner:"&amp;MID(A14,SEARCH(":",A14)+1,SEARCH(":",A14,SEARCH(":",A14)+1)-SEARCH(":",A14)-1)</f>
        <v xml:space="preserve">partner: Peg Perego </v>
      </c>
      <c r="E14" s="36" t="s">
        <v>136</v>
      </c>
      <c r="F14" s="38">
        <f>DATEVALUE(SUBSTITUTE(LEFT(Table2[[#This Row],[Notes]],SEARCH(" ",Table2[[#This Row],[Notes]])-1),".","/"))</f>
        <v>44522</v>
      </c>
      <c r="G14" t="s">
        <v>98</v>
      </c>
      <c r="I14"/>
      <c r="J14"/>
      <c r="K14"/>
    </row>
    <row r="15" spans="1:27" ht="15.75" x14ac:dyDescent="0.3">
      <c r="A15" s="39" t="s">
        <v>127</v>
      </c>
      <c r="B15">
        <f>COUNTA('in progress'!A:A)</f>
        <v>22</v>
      </c>
      <c r="C15" t="str">
        <f xml:space="preserve"> MID(A15,SEARCH(":",A15)+2,SEARCH(":",A15,SEARCH(":",A15)+1)-SEARCH(":",A15)-3)</f>
        <v>Prime Automotive Parts</v>
      </c>
      <c r="D15" t="str">
        <f>"partner:"&amp;MID(A15,SEARCH(":",A15)+1,SEARCH(":",A15,SEARCH(":",A15)+1)-SEARCH(":",A15)-1)</f>
        <v xml:space="preserve">partner: Prime Automotive Parts </v>
      </c>
      <c r="E15" s="36" t="s">
        <v>144</v>
      </c>
      <c r="F15" s="38">
        <f>DATEVALUE(SUBSTITUTE(LEFT(Table2[[#This Row],[Notes]],SEARCH(" ",Table2[[#This Row],[Notes]])-1),".","/"))</f>
        <v>44519</v>
      </c>
      <c r="G15"/>
      <c r="I15"/>
      <c r="J15"/>
      <c r="K15"/>
    </row>
    <row r="16" spans="1:27" s="19" customFormat="1" ht="150" x14ac:dyDescent="0.25">
      <c r="A16" t="s">
        <v>52</v>
      </c>
      <c r="B16">
        <f>COUNTA('in progress'!A:A)</f>
        <v>22</v>
      </c>
      <c r="C16" t="str">
        <f xml:space="preserve"> MID(A16,SEARCH(":",A16)+2,SEARCH(":",A16,SEARCH(":",A16)+1)-SEARCH(":",A16)-3)</f>
        <v>Pure Country West</v>
      </c>
      <c r="D16" t="str">
        <f>"partner:"&amp;MID(A16,SEARCH(":",A16)+1,SEARCH(":",A16,SEARCH(":",A16)+1)-SEARCH(":",A16)-1)</f>
        <v xml:space="preserve">partner: Pure Country West </v>
      </c>
      <c r="E16" s="36" t="s">
        <v>142</v>
      </c>
      <c r="F16" s="38">
        <f>DATEVALUE(SUBSTITUTE(LEFT(Table2[[#This Row],[Notes]],SEARCH(" ",Table2[[#This Row],[Notes]])-1),".","/"))</f>
        <v>44523</v>
      </c>
      <c r="G16" t="s">
        <v>53</v>
      </c>
      <c r="H16"/>
      <c r="I16"/>
      <c r="J16"/>
      <c r="K16"/>
      <c r="L16"/>
      <c r="M16"/>
      <c r="N16"/>
      <c r="O16"/>
      <c r="P16"/>
      <c r="Q16"/>
      <c r="R16"/>
      <c r="S16"/>
      <c r="T16"/>
      <c r="U16"/>
      <c r="V16"/>
      <c r="W16"/>
      <c r="X16"/>
      <c r="Y16"/>
      <c r="Z16"/>
      <c r="AA16"/>
    </row>
    <row r="17" spans="1:27" ht="90" x14ac:dyDescent="0.25">
      <c r="A17" t="s">
        <v>61</v>
      </c>
      <c r="B17">
        <f>COUNTA('in progress'!A:A)</f>
        <v>22</v>
      </c>
      <c r="C17" t="str">
        <f xml:space="preserve"> MID(A17,SEARCH(":",A17)+2,SEARCH(":",A17,SEARCH(":",A17)+1)-SEARCH(":",A17)-3)</f>
        <v>Rhenus Contract Logistics - VSC</v>
      </c>
      <c r="D17" t="str">
        <f>"partner:"&amp;MID(A17,SEARCH(":",A17)+1,SEARCH(":",A17,SEARCH(":",A17)+1)-SEARCH(":",A17)-1)</f>
        <v xml:space="preserve">partner: Rhenus Contract Logistics - VSC </v>
      </c>
      <c r="E17" s="36" t="s">
        <v>145</v>
      </c>
      <c r="F17" s="38">
        <f>DATEVALUE(SUBSTITUTE(LEFT(Table2[[#This Row],[Notes]],SEARCH(" ",Table2[[#This Row],[Notes]])-1),".","/"))</f>
        <v>44524</v>
      </c>
      <c r="G17" t="s">
        <v>51</v>
      </c>
      <c r="I17"/>
      <c r="J17"/>
      <c r="K17"/>
    </row>
    <row r="18" spans="1:27" s="4" customFormat="1" ht="15.75" x14ac:dyDescent="0.3">
      <c r="A18" s="39" t="s">
        <v>129</v>
      </c>
      <c r="B18">
        <f>COUNTA('in progress'!A:A)</f>
        <v>22</v>
      </c>
      <c r="C18" t="str">
        <f xml:space="preserve"> MID(A18,SEARCH(":",A18)+2,SEARCH(":",A18,SEARCH(":",A18)+1)-SEARCH(":",A18)-3)</f>
        <v>Rural King York</v>
      </c>
      <c r="D18" t="str">
        <f>"partner:"&amp;MID(A18,SEARCH(":",A18)+1,SEARCH(":",A18,SEARCH(":",A18)+1)-SEARCH(":",A18)-1)</f>
        <v xml:space="preserve">partner: Rural King York </v>
      </c>
      <c r="E18" s="36" t="s">
        <v>144</v>
      </c>
      <c r="F18" s="38">
        <f>DATEVALUE(SUBSTITUTE(LEFT(Table2[[#This Row],[Notes]],SEARCH(" ",Table2[[#This Row],[Notes]])-1),".","/"))</f>
        <v>44519</v>
      </c>
      <c r="G18"/>
      <c r="H18"/>
      <c r="I18"/>
      <c r="J18"/>
      <c r="K18"/>
      <c r="L18"/>
      <c r="M18"/>
      <c r="N18"/>
      <c r="O18"/>
      <c r="P18"/>
      <c r="Q18"/>
      <c r="R18"/>
      <c r="S18"/>
      <c r="T18"/>
      <c r="U18"/>
      <c r="V18"/>
      <c r="W18"/>
      <c r="X18"/>
      <c r="Y18"/>
      <c r="Z18"/>
      <c r="AA18"/>
    </row>
    <row r="19" spans="1:27" s="4" customFormat="1" ht="15.75" x14ac:dyDescent="0.3">
      <c r="A19" s="39" t="s">
        <v>128</v>
      </c>
      <c r="B19">
        <f>COUNTA('in progress'!A:A)</f>
        <v>22</v>
      </c>
      <c r="C19" t="str">
        <f xml:space="preserve"> MID(A19,SEARCH(":",A19)+2,SEARCH(":",A19,SEARCH(":",A19)+1)-SEARCH(":",A19)-3)</f>
        <v>Ste Michelle Wine Estates</v>
      </c>
      <c r="D19" t="str">
        <f>"partner:"&amp;MID(A19,SEARCH(":",A19)+1,SEARCH(":",A19,SEARCH(":",A19)+1)-SEARCH(":",A19)-1)</f>
        <v xml:space="preserve">partner: Ste Michelle Wine Estates </v>
      </c>
      <c r="E19" s="36" t="s">
        <v>144</v>
      </c>
      <c r="F19" s="38">
        <f>DATEVALUE(SUBSTITUTE(LEFT(Table2[[#This Row],[Notes]],SEARCH(" ",Table2[[#This Row],[Notes]])-1),".","/"))</f>
        <v>44519</v>
      </c>
      <c r="G19"/>
      <c r="H19"/>
      <c r="I19"/>
      <c r="J19"/>
      <c r="K19"/>
      <c r="L19"/>
      <c r="M19"/>
      <c r="N19"/>
      <c r="O19"/>
      <c r="P19"/>
      <c r="Q19"/>
      <c r="R19"/>
      <c r="S19"/>
      <c r="T19"/>
      <c r="U19"/>
      <c r="V19"/>
      <c r="W19"/>
      <c r="X19"/>
      <c r="Y19"/>
      <c r="Z19"/>
      <c r="AA19"/>
    </row>
    <row r="20" spans="1:27" s="4" customFormat="1" ht="60" x14ac:dyDescent="0.25">
      <c r="A20" t="s">
        <v>83</v>
      </c>
      <c r="B20">
        <f>COUNTA('in progress'!A:A)</f>
        <v>22</v>
      </c>
      <c r="C20" t="str">
        <f xml:space="preserve"> MID(A20,SEARCH(":",A20)+2,SEARCH(":",A20,SEARCH(":",A20)+1)-SEARCH(":",A20)-3)</f>
        <v>Thoroughbred Diesel</v>
      </c>
      <c r="D20" t="str">
        <f>"partner:"&amp;MID(A20,SEARCH(":",A20)+1,SEARCH(":",A20,SEARCH(":",A20)+1)-SEARCH(":",A20)-1)</f>
        <v xml:space="preserve">partner: Thoroughbred Diesel </v>
      </c>
      <c r="E20" s="36" t="s">
        <v>146</v>
      </c>
      <c r="F20" s="38">
        <f>DATEVALUE(SUBSTITUTE(LEFT(Table2[[#This Row],[Notes]],SEARCH(" ",Table2[[#This Row],[Notes]])-1),".","/"))</f>
        <v>44525</v>
      </c>
      <c r="G20" t="s">
        <v>93</v>
      </c>
      <c r="H20"/>
      <c r="I20"/>
      <c r="J20"/>
      <c r="K20"/>
      <c r="L20"/>
      <c r="M20"/>
      <c r="N20"/>
      <c r="O20"/>
      <c r="P20"/>
      <c r="Q20"/>
      <c r="R20"/>
      <c r="S20"/>
      <c r="T20"/>
      <c r="U20"/>
      <c r="V20"/>
      <c r="W20"/>
      <c r="X20"/>
      <c r="Y20"/>
      <c r="Z20"/>
      <c r="AA20"/>
    </row>
    <row r="21" spans="1:27" s="24" customFormat="1" ht="180" x14ac:dyDescent="0.25">
      <c r="A21" t="s">
        <v>46</v>
      </c>
      <c r="B21">
        <f>COUNTA('in progress'!A:A)</f>
        <v>22</v>
      </c>
      <c r="C21" t="str">
        <f xml:space="preserve"> MID(A21,SEARCH(":",A21)+2,SEARCH(":",A21,SEARCH(":",A21)+1)-SEARCH(":",A21)-3)</f>
        <v>Trenton Cold Storage</v>
      </c>
      <c r="D21" t="str">
        <f>"partner:"&amp;MID(A21,SEARCH(":",A21)+1,SEARCH(":",A21,SEARCH(":",A21)+1)-SEARCH(":",A21)-1)</f>
        <v xml:space="preserve">partner: Trenton Cold Storage </v>
      </c>
      <c r="E21" s="36" t="s">
        <v>138</v>
      </c>
      <c r="F21" s="38">
        <f>DATEVALUE(SUBSTITUTE(LEFT(Table2[[#This Row],[Notes]],SEARCH(" ",Table2[[#This Row],[Notes]])-1),".","/"))</f>
        <v>44522</v>
      </c>
      <c r="G21"/>
      <c r="H21"/>
      <c r="I21"/>
      <c r="J21"/>
      <c r="K21"/>
      <c r="L21"/>
      <c r="M21"/>
      <c r="N21"/>
      <c r="O21"/>
      <c r="P21"/>
      <c r="Q21"/>
      <c r="R21"/>
      <c r="S21"/>
      <c r="T21"/>
      <c r="U21"/>
      <c r="V21"/>
      <c r="W21"/>
      <c r="X21"/>
      <c r="Y21"/>
      <c r="Z21"/>
      <c r="AA21"/>
    </row>
    <row r="22" spans="1:27" s="23" customFormat="1" ht="60" x14ac:dyDescent="0.25">
      <c r="A22" t="s">
        <v>78</v>
      </c>
      <c r="B22">
        <f>COUNTA('in progress'!A:A)</f>
        <v>22</v>
      </c>
      <c r="C22" t="str">
        <f xml:space="preserve"> MID(A22,SEARCH(":",A22)+2,SEARCH(":",A22,SEARCH(":",A22)+1)-SEARCH(":",A22)-3)</f>
        <v>Windsor Modules</v>
      </c>
      <c r="D22" t="str">
        <f>"partner:"&amp;MID(A22,SEARCH(":",A22)+1,SEARCH(":",A22,SEARCH(":",A22)+1)-SEARCH(":",A22)-1)</f>
        <v xml:space="preserve">partner: Windsor Modules </v>
      </c>
      <c r="E22" s="36" t="s">
        <v>147</v>
      </c>
      <c r="F22" s="38">
        <f>DATEVALUE(SUBSTITUTE(LEFT(Table2[[#This Row],[Notes]],SEARCH(" ",Table2[[#This Row],[Notes]])-1),".","/"))</f>
        <v>44525</v>
      </c>
      <c r="G22" t="s">
        <v>91</v>
      </c>
      <c r="H22"/>
      <c r="I22"/>
      <c r="J22"/>
      <c r="K22"/>
      <c r="L22"/>
      <c r="M22"/>
      <c r="N22"/>
      <c r="O22"/>
      <c r="P22"/>
      <c r="Q22"/>
      <c r="R22"/>
      <c r="S22"/>
      <c r="T22"/>
      <c r="U22"/>
      <c r="V22"/>
      <c r="W22"/>
      <c r="X22"/>
      <c r="Y22"/>
      <c r="Z22"/>
      <c r="AA22"/>
    </row>
    <row r="23" spans="1:27" x14ac:dyDescent="0.25">
      <c r="A23"/>
      <c r="B23">
        <f>COUNTA('in progress'!A:A)</f>
        <v>22</v>
      </c>
      <c r="C23" t="e">
        <f xml:space="preserve"> MID(A23,SEARCH(":",A23)+2,SEARCH(":",A23,SEARCH(":",A23)+1)-SEARCH(":",A23)-3)</f>
        <v>#VALUE!</v>
      </c>
      <c r="D23" t="e">
        <f>"partner:"&amp;MID(A23,SEARCH(":",A23)+1,SEARCH(":",A23,SEARCH(":",A23)+1)-SEARCH(":",A23)-1)</f>
        <v>#VALUE!</v>
      </c>
      <c r="F23" s="38" t="e">
        <f>DATEVALUE(SUBSTITUTE(LEFT(Table2[[#This Row],[Notes]],SEARCH(" ",Table2[[#This Row],[Notes]])-1),".","/"))</f>
        <v>#VALUE!</v>
      </c>
      <c r="G23"/>
      <c r="I23"/>
      <c r="J23"/>
      <c r="K23"/>
    </row>
    <row r="24" spans="1:27" s="14" customFormat="1" ht="15.75" customHeight="1" x14ac:dyDescent="0.25">
      <c r="A24"/>
      <c r="B24">
        <f>COUNTA('in progress'!A:A)</f>
        <v>22</v>
      </c>
      <c r="C24" t="e">
        <f xml:space="preserve"> MID(A24,SEARCH(":",A24)+2,SEARCH(":",A24,SEARCH(":",A24)+1)-SEARCH(":",A24)-3)</f>
        <v>#VALUE!</v>
      </c>
      <c r="D24" t="e">
        <f>"partner:"&amp;MID(A24,SEARCH(":",A24)+1,SEARCH(":",A24,SEARCH(":",A24)+1)-SEARCH(":",A24)-1)</f>
        <v>#VALUE!</v>
      </c>
      <c r="E24" s="36"/>
      <c r="F24" s="38" t="e">
        <f>DATEVALUE(SUBSTITUTE(LEFT(Table2[[#This Row],[Notes]],SEARCH(" ",Table2[[#This Row],[Notes]])-1),".","/"))</f>
        <v>#VALUE!</v>
      </c>
      <c r="G24"/>
      <c r="H24"/>
      <c r="I24"/>
      <c r="J24"/>
      <c r="K24"/>
      <c r="L24"/>
      <c r="M24"/>
      <c r="N24"/>
      <c r="O24"/>
      <c r="P24"/>
      <c r="Q24"/>
      <c r="R24"/>
      <c r="S24"/>
      <c r="T24"/>
      <c r="U24"/>
      <c r="V24"/>
      <c r="W24"/>
      <c r="X24"/>
      <c r="Y24"/>
      <c r="Z24"/>
      <c r="AA24"/>
    </row>
    <row r="25" spans="1:27" x14ac:dyDescent="0.25">
      <c r="A25"/>
      <c r="B25">
        <f>COUNTA('in progress'!A:A)</f>
        <v>22</v>
      </c>
      <c r="C25" t="e">
        <f xml:space="preserve"> MID(A25,SEARCH(":",A25)+2,SEARCH(":",A25,SEARCH(":",A25)+1)-SEARCH(":",A25)-3)</f>
        <v>#VALUE!</v>
      </c>
      <c r="D25" t="e">
        <f>"partner:"&amp;MID(A25,SEARCH(":",A25)+1,SEARCH(":",A25,SEARCH(":",A25)+1)-SEARCH(":",A25)-1)</f>
        <v>#VALUE!</v>
      </c>
      <c r="F25" s="38" t="e">
        <f>DATEVALUE(SUBSTITUTE(LEFT(Table2[[#This Row],[Notes]],SEARCH(" ",Table2[[#This Row],[Notes]])-1),".","/"))</f>
        <v>#VALUE!</v>
      </c>
      <c r="G25"/>
      <c r="I25"/>
      <c r="J25"/>
      <c r="K25"/>
    </row>
    <row r="26" spans="1:27" x14ac:dyDescent="0.25">
      <c r="A26"/>
      <c r="B26">
        <f>COUNTA('in progress'!A:A)</f>
        <v>22</v>
      </c>
      <c r="C26" t="e">
        <f xml:space="preserve"> MID(A26,SEARCH(":",A26)+2,SEARCH(":",A26,SEARCH(":",A26)+1)-SEARCH(":",A26)-3)</f>
        <v>#VALUE!</v>
      </c>
      <c r="D26" t="e">
        <f>"partner:"&amp;MID(A26,SEARCH(":",A26)+1,SEARCH(":",A26,SEARCH(":",A26)+1)-SEARCH(":",A26)-1)</f>
        <v>#VALUE!</v>
      </c>
      <c r="F26" s="38" t="e">
        <f>DATEVALUE(SUBSTITUTE(LEFT(Table2[[#This Row],[Notes]],SEARCH(" ",Table2[[#This Row],[Notes]])-1),".","/"))</f>
        <v>#VALUE!</v>
      </c>
      <c r="G26"/>
      <c r="I26"/>
      <c r="J26"/>
      <c r="K26"/>
    </row>
    <row r="27" spans="1:27" x14ac:dyDescent="0.25">
      <c r="A27"/>
      <c r="B27">
        <f>COUNTA('in progress'!A:A)</f>
        <v>22</v>
      </c>
      <c r="C27" t="e">
        <f xml:space="preserve"> MID(A27,SEARCH(":",A27)+2,SEARCH(":",A27,SEARCH(":",A27)+1)-SEARCH(":",A27)-3)</f>
        <v>#VALUE!</v>
      </c>
      <c r="D27" t="e">
        <f>"partner:"&amp;MID(A27,SEARCH(":",A27)+1,SEARCH(":",A27,SEARCH(":",A27)+1)-SEARCH(":",A27)-1)</f>
        <v>#VALUE!</v>
      </c>
      <c r="F27" s="38" t="e">
        <f>DATEVALUE(SUBSTITUTE(LEFT(Table2[[#This Row],[Notes]],SEARCH(" ",Table2[[#This Row],[Notes]])-1),".","/"))</f>
        <v>#VALUE!</v>
      </c>
      <c r="G27"/>
      <c r="I27"/>
      <c r="J27"/>
      <c r="K27"/>
    </row>
    <row r="28" spans="1:27" x14ac:dyDescent="0.25">
      <c r="A28"/>
      <c r="B28">
        <f>COUNTA('in progress'!A:A)</f>
        <v>22</v>
      </c>
      <c r="C28" t="e">
        <f xml:space="preserve"> MID(A28,SEARCH(":",A28)+2,SEARCH(":",A28,SEARCH(":",A28)+1)-SEARCH(":",A28)-3)</f>
        <v>#VALUE!</v>
      </c>
      <c r="D28" t="e">
        <f>"partner:"&amp;MID(A28,SEARCH(":",A28)+1,SEARCH(":",A28,SEARCH(":",A28)+1)-SEARCH(":",A28)-1)</f>
        <v>#VALUE!</v>
      </c>
      <c r="F28" s="38" t="e">
        <f>DATEVALUE(SUBSTITUTE(LEFT(Table2[[#This Row],[Notes]],SEARCH(" ",Table2[[#This Row],[Notes]])-1),".","/"))</f>
        <v>#VALUE!</v>
      </c>
      <c r="G28"/>
      <c r="I28"/>
      <c r="J28"/>
      <c r="K28"/>
    </row>
    <row r="29" spans="1:27" ht="15.75" thickBot="1" x14ac:dyDescent="0.3">
      <c r="A29"/>
      <c r="B29">
        <f>COUNTA('in progress'!A:A)</f>
        <v>22</v>
      </c>
      <c r="C29" t="e">
        <f xml:space="preserve"> MID(A29,SEARCH(":",A29)+2,SEARCH(":",A29,SEARCH(":",A29)+1)-SEARCH(":",A29)-3)</f>
        <v>#VALUE!</v>
      </c>
      <c r="D29" t="e">
        <f>"partner:"&amp;MID(A29,SEARCH(":",A29)+1,SEARCH(":",A29,SEARCH(":",A29)+1)-SEARCH(":",A29)-1)</f>
        <v>#VALUE!</v>
      </c>
      <c r="F29" s="38" t="e">
        <f>DATEVALUE(SUBSTITUTE(LEFT(Table2[[#This Row],[Notes]],SEARCH(" ",Table2[[#This Row],[Notes]])-1),".","/"))</f>
        <v>#VALUE!</v>
      </c>
      <c r="G29"/>
      <c r="I29"/>
      <c r="J29"/>
      <c r="K29"/>
    </row>
    <row r="30" spans="1:27" s="7" customFormat="1" x14ac:dyDescent="0.25">
      <c r="A30"/>
      <c r="B30">
        <f>COUNTA('in progress'!A:A)</f>
        <v>22</v>
      </c>
      <c r="C30" t="e">
        <f xml:space="preserve"> MID(A30,SEARCH(":",A30)+2,SEARCH(":",A30,SEARCH(":",A30)+1)-SEARCH(":",A30)-3)</f>
        <v>#VALUE!</v>
      </c>
      <c r="D30" t="e">
        <f>"partner:"&amp;MID(A30,SEARCH(":",A30)+1,SEARCH(":",A30,SEARCH(":",A30)+1)-SEARCH(":",A30)-1)</f>
        <v>#VALUE!</v>
      </c>
      <c r="E30" s="36"/>
      <c r="F30" s="38" t="e">
        <f>DATEVALUE(SUBSTITUTE(LEFT(Table2[[#This Row],[Notes]],SEARCH(" ",Table2[[#This Row],[Notes]])-1),".","/"))</f>
        <v>#VALUE!</v>
      </c>
      <c r="G30"/>
      <c r="H30"/>
      <c r="I30"/>
      <c r="J30"/>
      <c r="K30"/>
      <c r="L30"/>
      <c r="M30"/>
      <c r="N30"/>
      <c r="O30"/>
      <c r="P30"/>
      <c r="Q30"/>
      <c r="R30"/>
      <c r="S30"/>
      <c r="T30"/>
      <c r="U30"/>
      <c r="V30"/>
      <c r="W30"/>
      <c r="X30"/>
      <c r="Y30"/>
      <c r="Z30"/>
      <c r="AA30"/>
    </row>
    <row r="31" spans="1:27" x14ac:dyDescent="0.25">
      <c r="A31"/>
      <c r="B31">
        <f>COUNTA('in progress'!A:A)</f>
        <v>22</v>
      </c>
      <c r="C31" t="e">
        <f xml:space="preserve"> MID(A31,SEARCH(":",A31)+2,SEARCH(":",A31,SEARCH(":",A31)+1)-SEARCH(":",A31)-3)</f>
        <v>#VALUE!</v>
      </c>
      <c r="D31" t="e">
        <f>"partner:"&amp;MID(A31,SEARCH(":",A31)+1,SEARCH(":",A31,SEARCH(":",A31)+1)-SEARCH(":",A31)-1)</f>
        <v>#VALUE!</v>
      </c>
      <c r="F31" s="38" t="e">
        <f>DATEVALUE(SUBSTITUTE(LEFT(Table2[[#This Row],[Notes]],SEARCH(" ",Table2[[#This Row],[Notes]])-1),".","/"))</f>
        <v>#VALUE!</v>
      </c>
      <c r="G31"/>
      <c r="I31"/>
      <c r="J31"/>
      <c r="K31"/>
    </row>
    <row r="32" spans="1:27" x14ac:dyDescent="0.25">
      <c r="A32"/>
      <c r="B32">
        <f>COUNTA('in progress'!A:A)</f>
        <v>22</v>
      </c>
      <c r="C32" t="e">
        <f xml:space="preserve"> MID(A32,SEARCH(":",A32)+2,SEARCH(":",A32,SEARCH(":",A32)+1)-SEARCH(":",A32)-3)</f>
        <v>#VALUE!</v>
      </c>
      <c r="D32" t="e">
        <f>"partner:"&amp;MID(A32,SEARCH(":",A32)+1,SEARCH(":",A32,SEARCH(":",A32)+1)-SEARCH(":",A32)-1)</f>
        <v>#VALUE!</v>
      </c>
      <c r="F32" s="38" t="e">
        <f>DATEVALUE(SUBSTITUTE(LEFT(Table2[[#This Row],[Notes]],SEARCH(" ",Table2[[#This Row],[Notes]])-1),".","/"))</f>
        <v>#VALUE!</v>
      </c>
      <c r="G32"/>
      <c r="I32"/>
      <c r="J32"/>
      <c r="K32"/>
    </row>
    <row r="33" spans="1:11" x14ac:dyDescent="0.25">
      <c r="A33"/>
      <c r="B33">
        <f>COUNTA('in progress'!A:A)</f>
        <v>22</v>
      </c>
      <c r="C33" t="e">
        <f xml:space="preserve"> MID(A33,SEARCH(":",A33)+2,SEARCH(":",A33,SEARCH(":",A33)+1)-SEARCH(":",A33)-3)</f>
        <v>#VALUE!</v>
      </c>
      <c r="D33" t="e">
        <f>"partner:"&amp;MID(A33,SEARCH(":",A33)+1,SEARCH(":",A33,SEARCH(":",A33)+1)-SEARCH(":",A33)-1)</f>
        <v>#VALUE!</v>
      </c>
      <c r="F33" s="38" t="e">
        <f>DATEVALUE(SUBSTITUTE(LEFT(Table2[[#This Row],[Notes]],SEARCH(" ",Table2[[#This Row],[Notes]])-1),".","/"))</f>
        <v>#VALUE!</v>
      </c>
      <c r="G33"/>
      <c r="I33"/>
      <c r="J33"/>
      <c r="K33"/>
    </row>
    <row r="34" spans="1:11" x14ac:dyDescent="0.25">
      <c r="A34"/>
      <c r="B34">
        <f>COUNTA('in progress'!A:A)</f>
        <v>22</v>
      </c>
      <c r="C34" t="e">
        <f xml:space="preserve"> MID(A34,SEARCH(":",A34)+2,SEARCH(":",A34,SEARCH(":",A34)+1)-SEARCH(":",A34)-3)</f>
        <v>#VALUE!</v>
      </c>
      <c r="D34" t="e">
        <f>"partner:"&amp;MID(A34,SEARCH(":",A34)+1,SEARCH(":",A34,SEARCH(":",A34)+1)-SEARCH(":",A34)-1)</f>
        <v>#VALUE!</v>
      </c>
      <c r="F34" s="38" t="e">
        <f>DATEVALUE(SUBSTITUTE(LEFT(Table2[[#This Row],[Notes]],SEARCH(" ",Table2[[#This Row],[Notes]])-1),".","/"))</f>
        <v>#VALUE!</v>
      </c>
      <c r="G34"/>
      <c r="I34"/>
      <c r="J34"/>
      <c r="K34"/>
    </row>
    <row r="35" spans="1:11" x14ac:dyDescent="0.25">
      <c r="A35"/>
      <c r="B35">
        <f>COUNTA('in progress'!A:A)</f>
        <v>22</v>
      </c>
      <c r="C35" t="e">
        <f xml:space="preserve"> MID(A35,SEARCH(":",A35)+2,SEARCH(":",A35,SEARCH(":",A35)+1)-SEARCH(":",A35)-3)</f>
        <v>#VALUE!</v>
      </c>
      <c r="D35" t="e">
        <f>"partner:"&amp;MID(A35,SEARCH(":",A35)+1,SEARCH(":",A35,SEARCH(":",A35)+1)-SEARCH(":",A35)-1)</f>
        <v>#VALUE!</v>
      </c>
      <c r="F35" s="38" t="e">
        <f>DATEVALUE(SUBSTITUTE(LEFT(Table2[[#This Row],[Notes]],SEARCH(" ",Table2[[#This Row],[Notes]])-1),".","/"))</f>
        <v>#VALUE!</v>
      </c>
      <c r="G35"/>
      <c r="I35"/>
      <c r="J35"/>
      <c r="K35"/>
    </row>
    <row r="36" spans="1:11" x14ac:dyDescent="0.25">
      <c r="A36"/>
      <c r="B36">
        <f>COUNTA('in progress'!A:A)</f>
        <v>22</v>
      </c>
      <c r="C36" t="e">
        <f xml:space="preserve"> MID(A36,SEARCH(":",A36)+2,SEARCH(":",A36,SEARCH(":",A36)+1)-SEARCH(":",A36)-3)</f>
        <v>#VALUE!</v>
      </c>
      <c r="D36" t="e">
        <f>"partner:"&amp;MID(A36,SEARCH(":",A36)+1,SEARCH(":",A36,SEARCH(":",A36)+1)-SEARCH(":",A36)-1)</f>
        <v>#VALUE!</v>
      </c>
      <c r="F36" s="38" t="e">
        <f>DATEVALUE(SUBSTITUTE(LEFT(Table2[[#This Row],[Notes]],SEARCH(" ",Table2[[#This Row],[Notes]])-1),".","/"))</f>
        <v>#VALUE!</v>
      </c>
      <c r="G36"/>
      <c r="I36"/>
      <c r="J36"/>
      <c r="K36"/>
    </row>
    <row r="37" spans="1:11" x14ac:dyDescent="0.25">
      <c r="A37"/>
      <c r="B37">
        <f>COUNTA('in progress'!A:A)</f>
        <v>22</v>
      </c>
      <c r="C37" t="e">
        <f xml:space="preserve"> MID(A37,SEARCH(":",A37)+2,SEARCH(":",A37,SEARCH(":",A37)+1)-SEARCH(":",A37)-3)</f>
        <v>#VALUE!</v>
      </c>
      <c r="D37" t="e">
        <f>"partner:"&amp;MID(A37,SEARCH(":",A37)+1,SEARCH(":",A37,SEARCH(":",A37)+1)-SEARCH(":",A37)-1)</f>
        <v>#VALUE!</v>
      </c>
      <c r="F37" s="38" t="e">
        <f>DATEVALUE(SUBSTITUTE(LEFT(Table2[[#This Row],[Notes]],SEARCH(" ",Table2[[#This Row],[Notes]])-1),".","/"))</f>
        <v>#VALUE!</v>
      </c>
      <c r="G37"/>
      <c r="I37"/>
      <c r="J37"/>
      <c r="K37"/>
    </row>
    <row r="38" spans="1:11" x14ac:dyDescent="0.25">
      <c r="A38"/>
      <c r="B38">
        <f>COUNTA('in progress'!A:A)</f>
        <v>22</v>
      </c>
      <c r="C38" t="e">
        <f xml:space="preserve"> MID(A38,SEARCH(":",A38)+2,SEARCH(":",A38,SEARCH(":",A38)+1)-SEARCH(":",A38)-3)</f>
        <v>#VALUE!</v>
      </c>
      <c r="D38" t="e">
        <f>"partner:"&amp;MID(A38,SEARCH(":",A38)+1,SEARCH(":",A38,SEARCH(":",A38)+1)-SEARCH(":",A38)-1)</f>
        <v>#VALUE!</v>
      </c>
      <c r="F38" s="38" t="e">
        <f>DATEVALUE(SUBSTITUTE(LEFT(Table2[[#This Row],[Notes]],SEARCH(" ",Table2[[#This Row],[Notes]])-1),".","/"))</f>
        <v>#VALUE!</v>
      </c>
      <c r="G38"/>
      <c r="I38"/>
      <c r="J38"/>
      <c r="K38"/>
    </row>
    <row r="39" spans="1:11" x14ac:dyDescent="0.25">
      <c r="A39"/>
      <c r="B39">
        <f>COUNTA('in progress'!A:A)</f>
        <v>22</v>
      </c>
      <c r="C39" t="e">
        <f xml:space="preserve"> MID(A39,SEARCH(":",A39)+2,SEARCH(":",A39,SEARCH(":",A39)+1)-SEARCH(":",A39)-3)</f>
        <v>#VALUE!</v>
      </c>
      <c r="D39" t="e">
        <f>"partner:"&amp;MID(A39,SEARCH(":",A39)+1,SEARCH(":",A39,SEARCH(":",A39)+1)-SEARCH(":",A39)-1)</f>
        <v>#VALUE!</v>
      </c>
      <c r="F39" s="38" t="e">
        <f>DATEVALUE(SUBSTITUTE(LEFT(#REF!,SEARCH(" ",#REF!)-1),".","/"))</f>
        <v>#REF!</v>
      </c>
      <c r="G39"/>
      <c r="I39"/>
      <c r="J39"/>
      <c r="K39"/>
    </row>
    <row r="40" spans="1:11" x14ac:dyDescent="0.25">
      <c r="A40"/>
      <c r="B40">
        <f>COUNTA('in progress'!A:A)</f>
        <v>22</v>
      </c>
      <c r="C40" t="e">
        <f xml:space="preserve"> MID(A40,SEARCH(":",A40)+2,SEARCH(":",A40,SEARCH(":",A40)+1)-SEARCH(":",A40)-3)</f>
        <v>#VALUE!</v>
      </c>
      <c r="D40" t="e">
        <f>"partner:"&amp;MID(A40,SEARCH(":",A40)+1,SEARCH(":",A40,SEARCH(":",A40)+1)-SEARCH(":",A40)-1)</f>
        <v>#VALUE!</v>
      </c>
      <c r="F40" s="38" t="e">
        <f>DATEVALUE(SUBSTITUTE(LEFT(#REF!,SEARCH(" ",#REF!)-1),".","/"))</f>
        <v>#REF!</v>
      </c>
      <c r="G40"/>
      <c r="I40"/>
      <c r="J40"/>
      <c r="K40"/>
    </row>
    <row r="41" spans="1:11" x14ac:dyDescent="0.25">
      <c r="A41"/>
      <c r="B41">
        <f>COUNTA('in progress'!A:A)</f>
        <v>22</v>
      </c>
      <c r="C41" t="e">
        <f xml:space="preserve"> MID(A41,SEARCH(":",A41)+2,SEARCH(":",A41,SEARCH(":",A41)+1)-SEARCH(":",A41)-3)</f>
        <v>#VALUE!</v>
      </c>
      <c r="D41" t="e">
        <f>"partner:"&amp;MID(A41,SEARCH(":",A41)+1,SEARCH(":",A41,SEARCH(":",A41)+1)-SEARCH(":",A41)-1)</f>
        <v>#VALUE!</v>
      </c>
      <c r="F41" s="38" t="e">
        <f>DATEVALUE(SUBSTITUTE(LEFT(#REF!,SEARCH(" ",#REF!)-1),".","/"))</f>
        <v>#REF!</v>
      </c>
      <c r="G41"/>
      <c r="I41"/>
      <c r="J41"/>
      <c r="K41"/>
    </row>
    <row r="42" spans="1:11" x14ac:dyDescent="0.25">
      <c r="A42"/>
      <c r="B42">
        <f>COUNTA('in progress'!A:A)</f>
        <v>22</v>
      </c>
      <c r="C42" t="e">
        <f xml:space="preserve"> MID(A42,SEARCH(":",A42)+2,SEARCH(":",A42,SEARCH(":",A42)+1)-SEARCH(":",A42)-3)</f>
        <v>#VALUE!</v>
      </c>
      <c r="D42" t="e">
        <f>"partner:"&amp;MID(A42,SEARCH(":",A42)+1,SEARCH(":",A42,SEARCH(":",A42)+1)-SEARCH(":",A42)-1)</f>
        <v>#VALUE!</v>
      </c>
      <c r="F42" s="38" t="e">
        <f>DATEVALUE(SUBSTITUTE(LEFT(#REF!,SEARCH(" ",#REF!)-1),".","/"))</f>
        <v>#REF!</v>
      </c>
      <c r="G42"/>
      <c r="I42"/>
      <c r="J42"/>
      <c r="K42"/>
    </row>
    <row r="43" spans="1:11" x14ac:dyDescent="0.25">
      <c r="A43"/>
      <c r="B43">
        <f>COUNTA('in progress'!A:A)</f>
        <v>22</v>
      </c>
      <c r="C43" t="e">
        <f xml:space="preserve"> MID(A43,SEARCH(":",A43)+2,SEARCH(":",A43,SEARCH(":",A43)+1)-SEARCH(":",A43)-3)</f>
        <v>#VALUE!</v>
      </c>
      <c r="D43" t="e">
        <f>"partner:"&amp;MID(A43,SEARCH(":",A43)+1,SEARCH(":",A43,SEARCH(":",A43)+1)-SEARCH(":",A43)-1)</f>
        <v>#VALUE!</v>
      </c>
      <c r="F43" s="38" t="e">
        <f>DATEVALUE(SUBSTITUTE(LEFT(#REF!,SEARCH(" ",#REF!)-1),".","/"))</f>
        <v>#REF!</v>
      </c>
      <c r="G43"/>
      <c r="I43"/>
      <c r="J43"/>
      <c r="K43"/>
    </row>
    <row r="44" spans="1:11" x14ac:dyDescent="0.25">
      <c r="A44"/>
      <c r="B44">
        <f>COUNTA('in progress'!A:A)</f>
        <v>22</v>
      </c>
      <c r="C44" t="e">
        <f xml:space="preserve"> MID(A44,SEARCH(":",A44)+2,SEARCH(":",A44,SEARCH(":",A44)+1)-SEARCH(":",A44)-3)</f>
        <v>#VALUE!</v>
      </c>
      <c r="D44" t="e">
        <f>"partner:"&amp;MID(A44,SEARCH(":",A44)+1,SEARCH(":",A44,SEARCH(":",A44)+1)-SEARCH(":",A44)-1)</f>
        <v>#VALUE!</v>
      </c>
      <c r="F44" s="38" t="e">
        <f>DATEVALUE(SUBSTITUTE(LEFT(#REF!,SEARCH(" ",#REF!)-1),".","/"))</f>
        <v>#REF!</v>
      </c>
      <c r="G44"/>
      <c r="I44"/>
      <c r="J44"/>
      <c r="K44"/>
    </row>
    <row r="45" spans="1:11" x14ac:dyDescent="0.25">
      <c r="A45"/>
      <c r="B45">
        <f>COUNTA('in progress'!A:A)</f>
        <v>22</v>
      </c>
      <c r="C45" t="e">
        <f xml:space="preserve"> MID(A45,SEARCH(":",A45)+2,SEARCH(":",A45,SEARCH(":",A45)+1)-SEARCH(":",A45)-3)</f>
        <v>#VALUE!</v>
      </c>
      <c r="D45" t="e">
        <f>"partner:"&amp;MID(A45,SEARCH(":",A45)+1,SEARCH(":",A45,SEARCH(":",A45)+1)-SEARCH(":",A45)-1)</f>
        <v>#VALUE!</v>
      </c>
      <c r="F45" s="38" t="e">
        <f>DATEVALUE(SUBSTITUTE(LEFT(#REF!,SEARCH(" ",#REF!)-1),".","/"))</f>
        <v>#REF!</v>
      </c>
      <c r="G45"/>
      <c r="I45"/>
      <c r="J45"/>
      <c r="K45"/>
    </row>
    <row r="46" spans="1:11" x14ac:dyDescent="0.25">
      <c r="A46"/>
      <c r="B46">
        <f>COUNTA('in progress'!A:A)</f>
        <v>22</v>
      </c>
      <c r="C46" t="e">
        <f xml:space="preserve"> MID(A46,SEARCH(":",A46)+2,SEARCH(":",A46,SEARCH(":",A46)+1)-SEARCH(":",A46)-3)</f>
        <v>#VALUE!</v>
      </c>
      <c r="D46" t="e">
        <f>"partner:"&amp;MID(A46,SEARCH(":",A46)+1,SEARCH(":",A46,SEARCH(":",A46)+1)-SEARCH(":",A46)-1)</f>
        <v>#VALUE!</v>
      </c>
      <c r="F46" s="38" t="e">
        <f>DATEVALUE(SUBSTITUTE(LEFT(#REF!,SEARCH(" ",#REF!)-1),".","/"))</f>
        <v>#REF!</v>
      </c>
      <c r="G46"/>
      <c r="I46"/>
      <c r="J46"/>
      <c r="K46"/>
    </row>
    <row r="47" spans="1:11" x14ac:dyDescent="0.25">
      <c r="A47"/>
      <c r="B47">
        <f>COUNTA('in progress'!A:A)</f>
        <v>22</v>
      </c>
      <c r="C47" t="e">
        <f xml:space="preserve"> MID(A47,SEARCH(":",A47)+2,SEARCH(":",A47,SEARCH(":",A47)+1)-SEARCH(":",A47)-3)</f>
        <v>#VALUE!</v>
      </c>
      <c r="D47" t="e">
        <f>"partner:"&amp;MID(A47,SEARCH(":",A47)+1,SEARCH(":",A47,SEARCH(":",A47)+1)-SEARCH(":",A47)-1)</f>
        <v>#VALUE!</v>
      </c>
      <c r="F47" s="38" t="e">
        <f>DATEVALUE(SUBSTITUTE(LEFT(#REF!,SEARCH(" ",#REF!)-1),".","/"))</f>
        <v>#REF!</v>
      </c>
      <c r="G47"/>
      <c r="I47"/>
      <c r="J47"/>
      <c r="K47"/>
    </row>
    <row r="48" spans="1:11" x14ac:dyDescent="0.25">
      <c r="A48"/>
      <c r="B48">
        <f>COUNTA('in progress'!A:A)</f>
        <v>22</v>
      </c>
      <c r="C48" t="e">
        <f xml:space="preserve"> MID(A48,SEARCH(":",A48)+2,SEARCH(":",A48,SEARCH(":",A48)+1)-SEARCH(":",A48)-3)</f>
        <v>#VALUE!</v>
      </c>
      <c r="D48" t="e">
        <f>"partner:"&amp;MID(A48,SEARCH(":",A48)+1,SEARCH(":",A48,SEARCH(":",A48)+1)-SEARCH(":",A48)-1)</f>
        <v>#VALUE!</v>
      </c>
      <c r="F48" s="38" t="e">
        <f>DATEVALUE(SUBSTITUTE(LEFT(#REF!,SEARCH(" ",#REF!)-1),".","/"))</f>
        <v>#REF!</v>
      </c>
      <c r="G48"/>
      <c r="I48"/>
      <c r="J48"/>
      <c r="K48"/>
    </row>
    <row r="49" spans="1:11" x14ac:dyDescent="0.25">
      <c r="A49"/>
      <c r="B49">
        <f>COUNTA('in progress'!A:A)</f>
        <v>22</v>
      </c>
      <c r="C49" t="e">
        <f xml:space="preserve"> MID(A49,SEARCH(":",A49)+2,SEARCH(":",A49,SEARCH(":",A49)+1)-SEARCH(":",A49)-3)</f>
        <v>#VALUE!</v>
      </c>
      <c r="D49" t="e">
        <f>"partner:"&amp;MID(A49,SEARCH(":",A49)+1,SEARCH(":",A49,SEARCH(":",A49)+1)-SEARCH(":",A49)-1)</f>
        <v>#VALUE!</v>
      </c>
      <c r="F49" s="38" t="e">
        <f>DATEVALUE(SUBSTITUTE(LEFT(#REF!,SEARCH(" ",#REF!)-1),".","/"))</f>
        <v>#REF!</v>
      </c>
      <c r="G49"/>
      <c r="I49"/>
      <c r="J49"/>
      <c r="K49"/>
    </row>
    <row r="50" spans="1:11" x14ac:dyDescent="0.25">
      <c r="A50"/>
      <c r="B50">
        <f>COUNTA('in progress'!A:A)</f>
        <v>22</v>
      </c>
      <c r="C50" t="e">
        <f xml:space="preserve"> MID(A50,SEARCH(":",A50)+2,SEARCH(":",A50,SEARCH(":",A50)+1)-SEARCH(":",A50)-3)</f>
        <v>#VALUE!</v>
      </c>
      <c r="D50" t="e">
        <f>"partner:"&amp;MID(A50,SEARCH(":",A50)+1,SEARCH(":",A50,SEARCH(":",A50)+1)-SEARCH(":",A50)-1)</f>
        <v>#VALUE!</v>
      </c>
      <c r="F50" s="38" t="e">
        <f>DATEVALUE(SUBSTITUTE(LEFT(#REF!,SEARCH(" ",#REF!)-1),".","/"))</f>
        <v>#REF!</v>
      </c>
      <c r="G50"/>
      <c r="I50"/>
      <c r="J50"/>
      <c r="K50"/>
    </row>
    <row r="51" spans="1:11" x14ac:dyDescent="0.25">
      <c r="A51"/>
      <c r="B51">
        <f>COUNTA('in progress'!A:A)</f>
        <v>22</v>
      </c>
      <c r="C51" t="e">
        <f xml:space="preserve"> MID(A51,SEARCH(":",A51)+2,SEARCH(":",A51,SEARCH(":",A51)+1)-SEARCH(":",A51)-3)</f>
        <v>#VALUE!</v>
      </c>
      <c r="D51" t="e">
        <f>"partner:"&amp;MID(A51,SEARCH(":",A51)+1,SEARCH(":",A51,SEARCH(":",A51)+1)-SEARCH(":",A51)-1)</f>
        <v>#VALUE!</v>
      </c>
      <c r="F51" s="38" t="e">
        <f>DATEVALUE(SUBSTITUTE(LEFT(#REF!,SEARCH(" ",#REF!)-1),".","/"))</f>
        <v>#REF!</v>
      </c>
      <c r="G51"/>
      <c r="I51"/>
      <c r="J51"/>
      <c r="K51"/>
    </row>
    <row r="52" spans="1:11" x14ac:dyDescent="0.25">
      <c r="A52"/>
      <c r="B52">
        <f>COUNTA('in progress'!A:A)</f>
        <v>22</v>
      </c>
      <c r="C52" t="e">
        <f xml:space="preserve"> MID(A52,SEARCH(":",A52)+2,SEARCH(":",A52,SEARCH(":",A52)+1)-SEARCH(":",A52)-3)</f>
        <v>#VALUE!</v>
      </c>
      <c r="D52" t="e">
        <f>"partner:"&amp;MID(A52,SEARCH(":",A52)+1,SEARCH(":",A52,SEARCH(":",A52)+1)-SEARCH(":",A52)-1)</f>
        <v>#VALUE!</v>
      </c>
      <c r="F52" s="38" t="e">
        <f>DATEVALUE(SUBSTITUTE(LEFT(#REF!,SEARCH(" ",#REF!)-1),".","/"))</f>
        <v>#REF!</v>
      </c>
      <c r="G52"/>
      <c r="I52"/>
      <c r="J52"/>
      <c r="K52"/>
    </row>
    <row r="53" spans="1:11" x14ac:dyDescent="0.25">
      <c r="A53"/>
      <c r="B53">
        <f>COUNTA('in progress'!A:A)</f>
        <v>22</v>
      </c>
      <c r="C53" t="e">
        <f xml:space="preserve"> MID(A53,SEARCH(":",A53)+2,SEARCH(":",A53,SEARCH(":",A53)+1)-SEARCH(":",A53)-3)</f>
        <v>#VALUE!</v>
      </c>
      <c r="D53" t="e">
        <f>"partner:"&amp;MID(A53,SEARCH(":",A53)+1,SEARCH(":",A53,SEARCH(":",A53)+1)-SEARCH(":",A53)-1)</f>
        <v>#VALUE!</v>
      </c>
      <c r="F53" s="38" t="e">
        <f>DATEVALUE(SUBSTITUTE(LEFT(#REF!,SEARCH(" ",#REF!)-1),".","/"))</f>
        <v>#REF!</v>
      </c>
      <c r="G53"/>
      <c r="I53"/>
      <c r="J53"/>
      <c r="K53"/>
    </row>
    <row r="54" spans="1:11" x14ac:dyDescent="0.25">
      <c r="A54"/>
      <c r="B54">
        <f>COUNTA('in progress'!A:A)</f>
        <v>22</v>
      </c>
      <c r="C54" t="e">
        <f xml:space="preserve"> MID(A54,SEARCH(":",A54)+2,SEARCH(":",A54,SEARCH(":",A54)+1)-SEARCH(":",A54)-3)</f>
        <v>#VALUE!</v>
      </c>
      <c r="D54" t="e">
        <f>"partner:"&amp;MID(A54,SEARCH(":",A54)+1,SEARCH(":",A54,SEARCH(":",A54)+1)-SEARCH(":",A54)-1)</f>
        <v>#VALUE!</v>
      </c>
      <c r="F54" s="38" t="e">
        <f>DATEVALUE(SUBSTITUTE(LEFT(#REF!,SEARCH(" ",#REF!)-1),".","/"))</f>
        <v>#REF!</v>
      </c>
      <c r="G54"/>
      <c r="I54"/>
      <c r="J54"/>
      <c r="K54"/>
    </row>
    <row r="55" spans="1:11" x14ac:dyDescent="0.25">
      <c r="A55"/>
      <c r="B55">
        <f>COUNTA('in progress'!A:A)</f>
        <v>22</v>
      </c>
      <c r="C55" t="e">
        <f xml:space="preserve"> MID(A55,SEARCH(":",A55)+2,SEARCH(":",A55,SEARCH(":",A55)+1)-SEARCH(":",A55)-3)</f>
        <v>#VALUE!</v>
      </c>
      <c r="D55" t="e">
        <f>"partner:"&amp;MID(A55,SEARCH(":",A55)+1,SEARCH(":",A55,SEARCH(":",A55)+1)-SEARCH(":",A55)-1)</f>
        <v>#VALUE!</v>
      </c>
      <c r="F55" s="38" t="e">
        <f>DATEVALUE(SUBSTITUTE(LEFT(#REF!,SEARCH(" ",#REF!)-1),".","/"))</f>
        <v>#REF!</v>
      </c>
      <c r="G55"/>
      <c r="I55"/>
      <c r="J55"/>
      <c r="K55"/>
    </row>
    <row r="56" spans="1:11" x14ac:dyDescent="0.25">
      <c r="A56"/>
      <c r="B56">
        <f>COUNTA('in progress'!A:A)</f>
        <v>22</v>
      </c>
      <c r="C56" t="e">
        <f xml:space="preserve"> MID(A56,SEARCH(":",A56)+2,SEARCH(":",A56,SEARCH(":",A56)+1)-SEARCH(":",A56)-3)</f>
        <v>#VALUE!</v>
      </c>
      <c r="D56" t="e">
        <f>"partner:"&amp;MID(A56,SEARCH(":",A56)+1,SEARCH(":",A56,SEARCH(":",A56)+1)-SEARCH(":",A56)-1)</f>
        <v>#VALUE!</v>
      </c>
      <c r="F56" s="38" t="e">
        <f>DATEVALUE(SUBSTITUTE(LEFT(#REF!,SEARCH(" ",#REF!)-1),".","/"))</f>
        <v>#REF!</v>
      </c>
      <c r="G56"/>
      <c r="I56"/>
      <c r="J56"/>
      <c r="K56"/>
    </row>
    <row r="57" spans="1:11" x14ac:dyDescent="0.25">
      <c r="A57"/>
      <c r="B57">
        <f>COUNTA('in progress'!A:A)</f>
        <v>22</v>
      </c>
      <c r="C57" t="e">
        <f xml:space="preserve"> MID(A57,SEARCH(":",A57)+2,SEARCH(":",A57,SEARCH(":",A57)+1)-SEARCH(":",A57)-3)</f>
        <v>#VALUE!</v>
      </c>
      <c r="D57" t="e">
        <f>"partner:"&amp;MID(A57,SEARCH(":",A57)+1,SEARCH(":",A57,SEARCH(":",A57)+1)-SEARCH(":",A57)-1)</f>
        <v>#VALUE!</v>
      </c>
      <c r="F57" s="38" t="e">
        <f>DATEVALUE(SUBSTITUTE(LEFT(#REF!,SEARCH(" ",#REF!)-1),".","/"))</f>
        <v>#REF!</v>
      </c>
      <c r="G57"/>
      <c r="I57"/>
      <c r="J57"/>
      <c r="K57"/>
    </row>
    <row r="58" spans="1:11" x14ac:dyDescent="0.25">
      <c r="A58"/>
      <c r="B58">
        <f>COUNTA('in progress'!A:A)</f>
        <v>22</v>
      </c>
      <c r="C58" t="e">
        <f xml:space="preserve"> MID(A58,SEARCH(":",A58)+2,SEARCH(":",A58,SEARCH(":",A58)+1)-SEARCH(":",A58)-3)</f>
        <v>#VALUE!</v>
      </c>
      <c r="D58" t="e">
        <f>"partner:"&amp;MID(A58,SEARCH(":",A58)+1,SEARCH(":",A58,SEARCH(":",A58)+1)-SEARCH(":",A58)-1)</f>
        <v>#VALUE!</v>
      </c>
      <c r="F58" s="38" t="e">
        <f>DATEVALUE(SUBSTITUTE(LEFT(#REF!,SEARCH(" ",#REF!)-1),".","/"))</f>
        <v>#REF!</v>
      </c>
      <c r="G58"/>
      <c r="I58"/>
      <c r="J58"/>
      <c r="K58"/>
    </row>
    <row r="59" spans="1:11" x14ac:dyDescent="0.25">
      <c r="A59"/>
      <c r="B59">
        <f>COUNTA('in progress'!A:A)</f>
        <v>22</v>
      </c>
      <c r="C59" t="e">
        <f xml:space="preserve"> MID(A59,SEARCH(":",A59)+2,SEARCH(":",A59,SEARCH(":",A59)+1)-SEARCH(":",A59)-3)</f>
        <v>#VALUE!</v>
      </c>
      <c r="D59" t="e">
        <f>"partner:"&amp;MID(A59,SEARCH(":",A59)+1,SEARCH(":",A59,SEARCH(":",A59)+1)-SEARCH(":",A59)-1)</f>
        <v>#VALUE!</v>
      </c>
      <c r="F59" s="38" t="e">
        <f>DATEVALUE(SUBSTITUTE(LEFT(#REF!,SEARCH(" ",#REF!)-1),".","/"))</f>
        <v>#REF!</v>
      </c>
      <c r="G59"/>
      <c r="I59"/>
      <c r="J59"/>
      <c r="K59"/>
    </row>
    <row r="60" spans="1:11" x14ac:dyDescent="0.25">
      <c r="A60"/>
      <c r="B60">
        <f>COUNTA('in progress'!A:A)</f>
        <v>22</v>
      </c>
      <c r="C60" t="e">
        <f xml:space="preserve"> MID(A60,SEARCH(":",A60)+2,SEARCH(":",A60,SEARCH(":",A60)+1)-SEARCH(":",A60)-3)</f>
        <v>#VALUE!</v>
      </c>
      <c r="D60" t="e">
        <f>"partner:"&amp;MID(A60,SEARCH(":",A60)+1,SEARCH(":",A60,SEARCH(":",A60)+1)-SEARCH(":",A60)-1)</f>
        <v>#VALUE!</v>
      </c>
      <c r="F60" s="38" t="e">
        <f>DATEVALUE(SUBSTITUTE(LEFT(#REF!,SEARCH(" ",#REF!)-1),".","/"))</f>
        <v>#REF!</v>
      </c>
      <c r="G60"/>
      <c r="I60"/>
      <c r="J60"/>
      <c r="K60"/>
    </row>
    <row r="61" spans="1:11" x14ac:dyDescent="0.25">
      <c r="A61"/>
      <c r="B61">
        <f>COUNTA('in progress'!A:A)</f>
        <v>22</v>
      </c>
      <c r="C61" t="e">
        <f xml:space="preserve"> MID(A61,SEARCH(":",A61)+2,SEARCH(":",A61,SEARCH(":",A61)+1)-SEARCH(":",A61)-3)</f>
        <v>#VALUE!</v>
      </c>
      <c r="D61" t="e">
        <f>"partner:"&amp;MID(A61,SEARCH(":",A61)+1,SEARCH(":",A61,SEARCH(":",A61)+1)-SEARCH(":",A61)-1)</f>
        <v>#VALUE!</v>
      </c>
      <c r="F61" s="38" t="e">
        <f>DATEVALUE(SUBSTITUTE(LEFT(#REF!,SEARCH(" ",#REF!)-1),".","/"))</f>
        <v>#REF!</v>
      </c>
      <c r="G61"/>
      <c r="I61"/>
      <c r="J61"/>
      <c r="K61"/>
    </row>
    <row r="62" spans="1:11" x14ac:dyDescent="0.25">
      <c r="A62"/>
      <c r="B62">
        <f>COUNTA('in progress'!A:A)</f>
        <v>22</v>
      </c>
      <c r="C62" t="e">
        <f xml:space="preserve"> MID(A62,SEARCH(":",A62)+2,SEARCH(":",A62,SEARCH(":",A62)+1)-SEARCH(":",A62)-3)</f>
        <v>#VALUE!</v>
      </c>
      <c r="D62" t="e">
        <f>"partner:"&amp;MID(A62,SEARCH(":",A62)+1,SEARCH(":",A62,SEARCH(":",A62)+1)-SEARCH(":",A62)-1)</f>
        <v>#VALUE!</v>
      </c>
      <c r="F62" s="38" t="e">
        <f>DATEVALUE(SUBSTITUTE(LEFT(#REF!,SEARCH(" ",#REF!)-1),".","/"))</f>
        <v>#REF!</v>
      </c>
      <c r="G62"/>
      <c r="I62"/>
      <c r="J62"/>
      <c r="K62"/>
    </row>
    <row r="63" spans="1:11" x14ac:dyDescent="0.25">
      <c r="A63"/>
      <c r="B63">
        <f>COUNTA('in progress'!A:A)</f>
        <v>22</v>
      </c>
      <c r="C63" t="e">
        <f xml:space="preserve"> MID(A63,SEARCH(":",A63)+2,SEARCH(":",A63,SEARCH(":",A63)+1)-SEARCH(":",A63)-3)</f>
        <v>#VALUE!</v>
      </c>
      <c r="D63" t="e">
        <f>"partner:"&amp;MID(A63,SEARCH(":",A63)+1,SEARCH(":",A63,SEARCH(":",A63)+1)-SEARCH(":",A63)-1)</f>
        <v>#VALUE!</v>
      </c>
      <c r="F63" s="38" t="e">
        <f>DATEVALUE(SUBSTITUTE(LEFT(#REF!,SEARCH(" ",#REF!)-1),".","/"))</f>
        <v>#REF!</v>
      </c>
      <c r="G63"/>
      <c r="I63"/>
      <c r="J63"/>
      <c r="K63"/>
    </row>
    <row r="64" spans="1:11" x14ac:dyDescent="0.25">
      <c r="A64"/>
      <c r="B64">
        <f>COUNTA('in progress'!A:A)</f>
        <v>22</v>
      </c>
      <c r="C64" t="e">
        <f xml:space="preserve"> MID(A64,SEARCH(":",A64)+2,SEARCH(":",A64,SEARCH(":",A64)+1)-SEARCH(":",A64)-3)</f>
        <v>#VALUE!</v>
      </c>
      <c r="D64" t="e">
        <f>"partner:"&amp;MID(A64,SEARCH(":",A64)+1,SEARCH(":",A64,SEARCH(":",A64)+1)-SEARCH(":",A64)-1)</f>
        <v>#VALUE!</v>
      </c>
      <c r="F64" s="38" t="e">
        <f>DATEVALUE(SUBSTITUTE(LEFT(#REF!,SEARCH(" ",#REF!)-1),".","/"))</f>
        <v>#REF!</v>
      </c>
      <c r="G64"/>
      <c r="I64"/>
      <c r="J64"/>
      <c r="K64"/>
    </row>
    <row r="65" spans="1:11" x14ac:dyDescent="0.25">
      <c r="A65"/>
      <c r="B65">
        <f>COUNTA('in progress'!A:A)</f>
        <v>22</v>
      </c>
      <c r="C65" t="e">
        <f xml:space="preserve"> MID(A65,SEARCH(":",A65)+2,SEARCH(":",A65,SEARCH(":",A65)+1)-SEARCH(":",A65)-3)</f>
        <v>#VALUE!</v>
      </c>
      <c r="D65" t="e">
        <f>"partner:"&amp;MID(A65,SEARCH(":",A65)+1,SEARCH(":",A65,SEARCH(":",A65)+1)-SEARCH(":",A65)-1)</f>
        <v>#VALUE!</v>
      </c>
      <c r="F65" s="38" t="e">
        <f>DATEVALUE(SUBSTITUTE(LEFT(#REF!,SEARCH(" ",#REF!)-1),".","/"))</f>
        <v>#REF!</v>
      </c>
      <c r="G65"/>
      <c r="I65"/>
      <c r="J65"/>
      <c r="K65"/>
    </row>
    <row r="66" spans="1:11" x14ac:dyDescent="0.25">
      <c r="A66"/>
      <c r="B66">
        <f>COUNTA('in progress'!A:A)</f>
        <v>22</v>
      </c>
      <c r="C66" t="e">
        <f xml:space="preserve"> MID(A66,SEARCH(":",A66)+2,SEARCH(":",A66,SEARCH(":",A66)+1)-SEARCH(":",A66)-3)</f>
        <v>#VALUE!</v>
      </c>
      <c r="D66" t="e">
        <f>"partner:"&amp;MID(A66,SEARCH(":",A66)+1,SEARCH(":",A66,SEARCH(":",A66)+1)-SEARCH(":",A66)-1)</f>
        <v>#VALUE!</v>
      </c>
      <c r="F66" s="38" t="e">
        <f>DATEVALUE(SUBSTITUTE(LEFT(#REF!,SEARCH(" ",#REF!)-1),".","/"))</f>
        <v>#REF!</v>
      </c>
      <c r="G66"/>
      <c r="I66"/>
      <c r="J66"/>
      <c r="K66"/>
    </row>
    <row r="67" spans="1:11" x14ac:dyDescent="0.25">
      <c r="A67"/>
      <c r="B67">
        <f>COUNTA('in progress'!A:A)</f>
        <v>22</v>
      </c>
      <c r="C67" t="e">
        <f xml:space="preserve"> MID(A67,SEARCH(":",A67)+2,SEARCH(":",A67,SEARCH(":",A67)+1)-SEARCH(":",A67)-3)</f>
        <v>#VALUE!</v>
      </c>
      <c r="D67" t="e">
        <f>"partner:"&amp;MID(A67,SEARCH(":",A67)+1,SEARCH(":",A67,SEARCH(":",A67)+1)-SEARCH(":",A67)-1)</f>
        <v>#VALUE!</v>
      </c>
      <c r="F67" s="38" t="e">
        <f>DATEVALUE(SUBSTITUTE(LEFT(#REF!,SEARCH(" ",#REF!)-1),".","/"))</f>
        <v>#REF!</v>
      </c>
      <c r="G67"/>
      <c r="I67"/>
      <c r="J67"/>
      <c r="K67"/>
    </row>
    <row r="68" spans="1:11" x14ac:dyDescent="0.25">
      <c r="A68"/>
      <c r="B68">
        <f>COUNTA('in progress'!A:A)</f>
        <v>22</v>
      </c>
      <c r="C68" t="e">
        <f xml:space="preserve"> MID(A68,SEARCH(":",A68)+2,SEARCH(":",A68,SEARCH(":",A68)+1)-SEARCH(":",A68)-3)</f>
        <v>#VALUE!</v>
      </c>
      <c r="D68" t="e">
        <f>"partner:"&amp;MID(A68,SEARCH(":",A68)+1,SEARCH(":",A68,SEARCH(":",A68)+1)-SEARCH(":",A68)-1)</f>
        <v>#VALUE!</v>
      </c>
      <c r="F68" s="38" t="e">
        <f>DATEVALUE(SUBSTITUTE(LEFT(#REF!,SEARCH(" ",#REF!)-1),".","/"))</f>
        <v>#REF!</v>
      </c>
      <c r="G68"/>
      <c r="I68"/>
      <c r="J68"/>
      <c r="K68"/>
    </row>
    <row r="69" spans="1:11" x14ac:dyDescent="0.25">
      <c r="A69"/>
      <c r="B69">
        <f>COUNTA('in progress'!A:A)</f>
        <v>22</v>
      </c>
      <c r="C69" t="e">
        <f xml:space="preserve"> MID(A69,SEARCH(":",A69)+2,SEARCH(":",A69,SEARCH(":",A69)+1)-SEARCH(":",A69)-3)</f>
        <v>#VALUE!</v>
      </c>
      <c r="D69" t="e">
        <f>"partner:"&amp;MID(A69,SEARCH(":",A69)+1,SEARCH(":",A69,SEARCH(":",A69)+1)-SEARCH(":",A69)-1)</f>
        <v>#VALUE!</v>
      </c>
      <c r="F69" s="38" t="e">
        <f>DATEVALUE(SUBSTITUTE(LEFT(#REF!,SEARCH(" ",#REF!)-1),".","/"))</f>
        <v>#REF!</v>
      </c>
      <c r="G69"/>
      <c r="I69"/>
      <c r="J69"/>
      <c r="K69"/>
    </row>
    <row r="70" spans="1:11" x14ac:dyDescent="0.25">
      <c r="A70"/>
      <c r="B70">
        <f>COUNTA('in progress'!A:A)</f>
        <v>22</v>
      </c>
      <c r="C70" t="e">
        <f xml:space="preserve"> MID(A70,SEARCH(":",A70)+2,SEARCH(":",A70,SEARCH(":",A70)+1)-SEARCH(":",A70)-3)</f>
        <v>#VALUE!</v>
      </c>
      <c r="D70" t="e">
        <f>"partner:"&amp;MID(A70,SEARCH(":",A70)+1,SEARCH(":",A70,SEARCH(":",A70)+1)-SEARCH(":",A70)-1)</f>
        <v>#VALUE!</v>
      </c>
      <c r="F70" s="38" t="e">
        <f>DATEVALUE(SUBSTITUTE(LEFT(#REF!,SEARCH(" ",#REF!)-1),".","/"))</f>
        <v>#REF!</v>
      </c>
      <c r="G70"/>
      <c r="I70"/>
      <c r="J70"/>
      <c r="K70"/>
    </row>
    <row r="71" spans="1:11" x14ac:dyDescent="0.25">
      <c r="A71"/>
      <c r="B71">
        <f>COUNTA('in progress'!A:A)</f>
        <v>22</v>
      </c>
      <c r="C71" t="e">
        <f xml:space="preserve"> MID(A71,SEARCH(":",A71)+2,SEARCH(":",A71,SEARCH(":",A71)+1)-SEARCH(":",A71)-3)</f>
        <v>#VALUE!</v>
      </c>
      <c r="D71" t="e">
        <f>"partner:"&amp;MID(A71,SEARCH(":",A71)+1,SEARCH(":",A71,SEARCH(":",A71)+1)-SEARCH(":",A71)-1)</f>
        <v>#VALUE!</v>
      </c>
      <c r="F71" s="38" t="e">
        <f>DATEVALUE(SUBSTITUTE(LEFT(#REF!,SEARCH(" ",#REF!)-1),".","/"))</f>
        <v>#REF!</v>
      </c>
      <c r="G71"/>
      <c r="I71"/>
      <c r="J71"/>
      <c r="K71"/>
    </row>
    <row r="72" spans="1:11" x14ac:dyDescent="0.25">
      <c r="A72"/>
      <c r="B72">
        <f>COUNTA('in progress'!A:A)</f>
        <v>22</v>
      </c>
      <c r="C72" t="e">
        <f xml:space="preserve"> MID(A72,SEARCH(":",A72)+2,SEARCH(":",A72,SEARCH(":",A72)+1)-SEARCH(":",A72)-3)</f>
        <v>#VALUE!</v>
      </c>
      <c r="D72" t="e">
        <f>"partner:"&amp;MID(A72,SEARCH(":",A72)+1,SEARCH(":",A72,SEARCH(":",A72)+1)-SEARCH(":",A72)-1)</f>
        <v>#VALUE!</v>
      </c>
      <c r="F72" s="38" t="e">
        <f>DATEVALUE(SUBSTITUTE(LEFT(#REF!,SEARCH(" ",#REF!)-1),".","/"))</f>
        <v>#REF!</v>
      </c>
      <c r="G72"/>
      <c r="I72"/>
      <c r="J72"/>
      <c r="K72"/>
    </row>
    <row r="73" spans="1:11" x14ac:dyDescent="0.25">
      <c r="A73"/>
      <c r="B73">
        <f>COUNTA('in progress'!A:A)</f>
        <v>22</v>
      </c>
      <c r="C73" t="e">
        <f xml:space="preserve"> MID(A73,SEARCH(":",A73)+2,SEARCH(":",A73,SEARCH(":",A73)+1)-SEARCH(":",A73)-3)</f>
        <v>#VALUE!</v>
      </c>
      <c r="D73" t="e">
        <f>"partner:"&amp;MID(A73,SEARCH(":",A73)+1,SEARCH(":",A73,SEARCH(":",A73)+1)-SEARCH(":",A73)-1)</f>
        <v>#VALUE!</v>
      </c>
      <c r="F73" s="38" t="e">
        <f>DATEVALUE(SUBSTITUTE(LEFT(#REF!,SEARCH(" ",#REF!)-1),".","/"))</f>
        <v>#REF!</v>
      </c>
      <c r="G73"/>
      <c r="I73"/>
      <c r="J73"/>
      <c r="K73"/>
    </row>
    <row r="74" spans="1:11" x14ac:dyDescent="0.25">
      <c r="A74"/>
      <c r="B74">
        <f>COUNTA('in progress'!A:A)</f>
        <v>22</v>
      </c>
      <c r="C74" t="e">
        <f xml:space="preserve"> MID(A74,SEARCH(":",A74)+2,SEARCH(":",A74,SEARCH(":",A74)+1)-SEARCH(":",A74)-3)</f>
        <v>#VALUE!</v>
      </c>
      <c r="D74" t="e">
        <f>"partner:"&amp;MID(A74,SEARCH(":",A74)+1,SEARCH(":",A74,SEARCH(":",A74)+1)-SEARCH(":",A74)-1)</f>
        <v>#VALUE!</v>
      </c>
      <c r="F74" s="38" t="e">
        <f>DATEVALUE(SUBSTITUTE(LEFT(#REF!,SEARCH(" ",#REF!)-1),".","/"))</f>
        <v>#REF!</v>
      </c>
      <c r="G74"/>
      <c r="I74"/>
      <c r="J74"/>
      <c r="K74"/>
    </row>
    <row r="75" spans="1:11" x14ac:dyDescent="0.25">
      <c r="A75"/>
      <c r="B75">
        <f>COUNTA('in progress'!A:A)</f>
        <v>22</v>
      </c>
      <c r="C75" t="e">
        <f xml:space="preserve"> MID(A75,SEARCH(":",A75)+2,SEARCH(":",A75,SEARCH(":",A75)+1)-SEARCH(":",A75)-3)</f>
        <v>#VALUE!</v>
      </c>
      <c r="D75" t="e">
        <f>"partner:"&amp;MID(A75,SEARCH(":",A75)+1,SEARCH(":",A75,SEARCH(":",A75)+1)-SEARCH(":",A75)-1)</f>
        <v>#VALUE!</v>
      </c>
      <c r="F75" s="38" t="e">
        <f>DATEVALUE(SUBSTITUTE(LEFT(#REF!,SEARCH(" ",#REF!)-1),".","/"))</f>
        <v>#REF!</v>
      </c>
      <c r="G75"/>
      <c r="I75"/>
      <c r="J75"/>
      <c r="K75"/>
    </row>
    <row r="76" spans="1:11" x14ac:dyDescent="0.25">
      <c r="A76"/>
      <c r="B76">
        <f>COUNTA('in progress'!A:A)</f>
        <v>22</v>
      </c>
      <c r="C76" t="e">
        <f xml:space="preserve"> MID(A76,SEARCH(":",A76)+2,SEARCH(":",A76,SEARCH(":",A76)+1)-SEARCH(":",A76)-3)</f>
        <v>#VALUE!</v>
      </c>
      <c r="D76" t="e">
        <f>"partner:"&amp;MID(A76,SEARCH(":",A76)+1,SEARCH(":",A76,SEARCH(":",A76)+1)-SEARCH(":",A76)-1)</f>
        <v>#VALUE!</v>
      </c>
      <c r="F76" s="38" t="e">
        <f>DATEVALUE(SUBSTITUTE(LEFT(#REF!,SEARCH(" ",#REF!)-1),".","/"))</f>
        <v>#REF!</v>
      </c>
      <c r="G76"/>
      <c r="I76"/>
      <c r="J76"/>
      <c r="K76"/>
    </row>
    <row r="77" spans="1:11" x14ac:dyDescent="0.25">
      <c r="A77"/>
      <c r="B77">
        <f>COUNTA('in progress'!A:A)</f>
        <v>22</v>
      </c>
      <c r="C77" t="e">
        <f xml:space="preserve"> MID(A77,SEARCH(":",A77)+2,SEARCH(":",A77,SEARCH(":",A77)+1)-SEARCH(":",A77)-3)</f>
        <v>#VALUE!</v>
      </c>
      <c r="D77" t="e">
        <f>"partner:"&amp;MID(A77,SEARCH(":",A77)+1,SEARCH(":",A77,SEARCH(":",A77)+1)-SEARCH(":",A77)-1)</f>
        <v>#VALUE!</v>
      </c>
      <c r="F77" s="38" t="e">
        <f>DATEVALUE(SUBSTITUTE(LEFT(#REF!,SEARCH(" ",#REF!)-1),".","/"))</f>
        <v>#REF!</v>
      </c>
      <c r="G77"/>
      <c r="I77"/>
      <c r="J77"/>
      <c r="K77"/>
    </row>
    <row r="78" spans="1:11" x14ac:dyDescent="0.25">
      <c r="A78"/>
      <c r="B78">
        <f>COUNTA('in progress'!A:A)</f>
        <v>22</v>
      </c>
      <c r="C78" t="e">
        <f xml:space="preserve"> MID(A78,SEARCH(":",A78)+2,SEARCH(":",A78,SEARCH(":",A78)+1)-SEARCH(":",A78)-3)</f>
        <v>#VALUE!</v>
      </c>
      <c r="D78" t="e">
        <f>"partner:"&amp;MID(A78,SEARCH(":",A78)+1,SEARCH(":",A78,SEARCH(":",A78)+1)-SEARCH(":",A78)-1)</f>
        <v>#VALUE!</v>
      </c>
      <c r="F78" s="38" t="e">
        <f>DATEVALUE(SUBSTITUTE(LEFT(#REF!,SEARCH(" ",#REF!)-1),".","/"))</f>
        <v>#REF!</v>
      </c>
      <c r="G78"/>
      <c r="I78"/>
      <c r="J78"/>
      <c r="K78"/>
    </row>
    <row r="79" spans="1:11" x14ac:dyDescent="0.25">
      <c r="A79"/>
      <c r="B79">
        <f>COUNTA('in progress'!A:A)</f>
        <v>22</v>
      </c>
      <c r="C79" t="e">
        <f xml:space="preserve"> MID(A79,SEARCH(":",A79)+2,SEARCH(":",A79,SEARCH(":",A79)+1)-SEARCH(":",A79)-3)</f>
        <v>#VALUE!</v>
      </c>
      <c r="D79" t="e">
        <f>"partner:"&amp;MID(A79,SEARCH(":",A79)+1,SEARCH(":",A79,SEARCH(":",A79)+1)-SEARCH(":",A79)-1)</f>
        <v>#VALUE!</v>
      </c>
      <c r="F79" s="38" t="e">
        <f>DATEVALUE(SUBSTITUTE(LEFT(#REF!,SEARCH(" ",#REF!)-1),".","/"))</f>
        <v>#REF!</v>
      </c>
      <c r="G79"/>
      <c r="I79"/>
      <c r="J79"/>
      <c r="K79"/>
    </row>
    <row r="80" spans="1:11" x14ac:dyDescent="0.25">
      <c r="A80"/>
      <c r="B80">
        <f>COUNTA('in progress'!A:A)</f>
        <v>22</v>
      </c>
      <c r="C80" t="e">
        <f xml:space="preserve"> MID(A80,SEARCH(":",A80)+2,SEARCH(":",A80,SEARCH(":",A80)+1)-SEARCH(":",A80)-3)</f>
        <v>#VALUE!</v>
      </c>
      <c r="D80" t="e">
        <f>"partner:"&amp;MID(A80,SEARCH(":",A80)+1,SEARCH(":",A80,SEARCH(":",A80)+1)-SEARCH(":",A80)-1)</f>
        <v>#VALUE!</v>
      </c>
      <c r="F80" s="38" t="e">
        <f>DATEVALUE(SUBSTITUTE(LEFT(#REF!,SEARCH(" ",#REF!)-1),".","/"))</f>
        <v>#REF!</v>
      </c>
      <c r="G80"/>
      <c r="I80"/>
      <c r="J80"/>
      <c r="K80"/>
    </row>
    <row r="81" spans="1:11" x14ac:dyDescent="0.25">
      <c r="A81"/>
      <c r="B81">
        <f>COUNTA('in progress'!A:A)</f>
        <v>22</v>
      </c>
      <c r="C81" t="e">
        <f xml:space="preserve"> MID(A81,SEARCH(":",A81)+2,SEARCH(":",A81,SEARCH(":",A81)+1)-SEARCH(":",A81)-3)</f>
        <v>#VALUE!</v>
      </c>
      <c r="D81" t="e">
        <f>"partner:"&amp;MID(A81,SEARCH(":",A81)+1,SEARCH(":",A81,SEARCH(":",A81)+1)-SEARCH(":",A81)-1)</f>
        <v>#VALUE!</v>
      </c>
      <c r="F81" s="38" t="e">
        <f>DATEVALUE(SUBSTITUTE(LEFT(#REF!,SEARCH(" ",#REF!)-1),".","/"))</f>
        <v>#REF!</v>
      </c>
      <c r="G81"/>
      <c r="I81"/>
      <c r="J81"/>
      <c r="K81"/>
    </row>
    <row r="82" spans="1:11" x14ac:dyDescent="0.25">
      <c r="A82"/>
      <c r="B82">
        <f>COUNTA('in progress'!A:A)</f>
        <v>22</v>
      </c>
      <c r="C82" t="e">
        <f xml:space="preserve"> MID(A82,SEARCH(":",A82)+2,SEARCH(":",A82,SEARCH(":",A82)+1)-SEARCH(":",A82)-3)</f>
        <v>#VALUE!</v>
      </c>
      <c r="D82" t="e">
        <f>"partner:"&amp;MID(A82,SEARCH(":",A82)+1,SEARCH(":",A82,SEARCH(":",A82)+1)-SEARCH(":",A82)-1)</f>
        <v>#VALUE!</v>
      </c>
      <c r="F82" s="38" t="e">
        <f>DATEVALUE(SUBSTITUTE(LEFT(#REF!,SEARCH(" ",#REF!)-1),".","/"))</f>
        <v>#REF!</v>
      </c>
      <c r="G82"/>
      <c r="I82"/>
      <c r="J82"/>
      <c r="K82"/>
    </row>
    <row r="83" spans="1:11" x14ac:dyDescent="0.25">
      <c r="A83"/>
      <c r="B83">
        <f>COUNTA('in progress'!A:A)</f>
        <v>22</v>
      </c>
      <c r="C83" t="e">
        <f xml:space="preserve"> MID(A83,SEARCH(":",A83)+2,SEARCH(":",A83,SEARCH(":",A83)+1)-SEARCH(":",A83)-3)</f>
        <v>#VALUE!</v>
      </c>
      <c r="D83" t="e">
        <f>"partner:"&amp;MID(A83,SEARCH(":",A83)+1,SEARCH(":",A83,SEARCH(":",A83)+1)-SEARCH(":",A83)-1)</f>
        <v>#VALUE!</v>
      </c>
      <c r="F83" s="38" t="e">
        <f>DATEVALUE(SUBSTITUTE(LEFT(#REF!,SEARCH(" ",#REF!)-1),".","/"))</f>
        <v>#REF!</v>
      </c>
      <c r="G83"/>
      <c r="I83"/>
      <c r="J83"/>
      <c r="K83"/>
    </row>
    <row r="84" spans="1:11" x14ac:dyDescent="0.25">
      <c r="A84"/>
      <c r="B84">
        <f>COUNTA('in progress'!A:A)</f>
        <v>22</v>
      </c>
      <c r="C84" t="e">
        <f xml:space="preserve"> MID(A84,SEARCH(":",A84)+2,SEARCH(":",A84,SEARCH(":",A84)+1)-SEARCH(":",A84)-3)</f>
        <v>#VALUE!</v>
      </c>
      <c r="D84" t="e">
        <f>"partner:"&amp;MID(A84,SEARCH(":",A84)+1,SEARCH(":",A84,SEARCH(":",A84)+1)-SEARCH(":",A84)-1)</f>
        <v>#VALUE!</v>
      </c>
      <c r="F84" s="38" t="e">
        <f>DATEVALUE(SUBSTITUTE(LEFT(#REF!,SEARCH(" ",#REF!)-1),".","/"))</f>
        <v>#REF!</v>
      </c>
      <c r="G84"/>
      <c r="I84"/>
      <c r="J84"/>
      <c r="K84"/>
    </row>
    <row r="85" spans="1:11" x14ac:dyDescent="0.25">
      <c r="A85"/>
      <c r="B85">
        <f>COUNTA('in progress'!A:A)</f>
        <v>22</v>
      </c>
      <c r="C85" t="e">
        <f xml:space="preserve"> MID(A85,SEARCH(":",A85)+2,SEARCH(":",A85,SEARCH(":",A85)+1)-SEARCH(":",A85)-3)</f>
        <v>#VALUE!</v>
      </c>
      <c r="D85" t="e">
        <f>"partner:"&amp;MID(A85,SEARCH(":",A85)+1,SEARCH(":",A85,SEARCH(":",A85)+1)-SEARCH(":",A85)-1)</f>
        <v>#VALUE!</v>
      </c>
      <c r="F85" s="38" t="e">
        <f>DATEVALUE(SUBSTITUTE(LEFT(#REF!,SEARCH(" ",#REF!)-1),".","/"))</f>
        <v>#REF!</v>
      </c>
      <c r="G85"/>
      <c r="I85"/>
      <c r="J85"/>
      <c r="K85"/>
    </row>
    <row r="86" spans="1:11" x14ac:dyDescent="0.25">
      <c r="A86"/>
      <c r="B86">
        <f>COUNTA('in progress'!A:A)</f>
        <v>22</v>
      </c>
      <c r="C86" t="e">
        <f xml:space="preserve"> MID(A86,SEARCH(":",A86)+2,SEARCH(":",A86,SEARCH(":",A86)+1)-SEARCH(":",A86)-3)</f>
        <v>#VALUE!</v>
      </c>
      <c r="D86" t="e">
        <f>"partner:"&amp;MID(A86,SEARCH(":",A86)+1,SEARCH(":",A86,SEARCH(":",A86)+1)-SEARCH(":",A86)-1)</f>
        <v>#VALUE!</v>
      </c>
      <c r="F86" s="38" t="e">
        <f>DATEVALUE(SUBSTITUTE(LEFT(#REF!,SEARCH(" ",#REF!)-1),".","/"))</f>
        <v>#REF!</v>
      </c>
      <c r="G86"/>
      <c r="I86"/>
      <c r="J86"/>
      <c r="K86"/>
    </row>
    <row r="87" spans="1:11" x14ac:dyDescent="0.25">
      <c r="A87"/>
      <c r="B87">
        <f>COUNTA('in progress'!A:A)</f>
        <v>22</v>
      </c>
      <c r="C87" t="e">
        <f xml:space="preserve"> MID(A87,SEARCH(":",A87)+2,SEARCH(":",A87,SEARCH(":",A87)+1)-SEARCH(":",A87)-3)</f>
        <v>#VALUE!</v>
      </c>
      <c r="D87" t="e">
        <f>"partner:"&amp;MID(A87,SEARCH(":",A87)+1,SEARCH(":",A87,SEARCH(":",A87)+1)-SEARCH(":",A87)-1)</f>
        <v>#VALUE!</v>
      </c>
      <c r="F87" s="38" t="e">
        <f>DATEVALUE(SUBSTITUTE(LEFT(#REF!,SEARCH(" ",#REF!)-1),".","/"))</f>
        <v>#REF!</v>
      </c>
      <c r="G87"/>
      <c r="I87"/>
      <c r="J87"/>
      <c r="K87"/>
    </row>
    <row r="88" spans="1:11" x14ac:dyDescent="0.25">
      <c r="A88"/>
      <c r="B88">
        <f>COUNTA('in progress'!A:A)</f>
        <v>22</v>
      </c>
      <c r="C88" t="e">
        <f xml:space="preserve"> MID(A88,SEARCH(":",A88)+2,SEARCH(":",A88,SEARCH(":",A88)+1)-SEARCH(":",A88)-3)</f>
        <v>#VALUE!</v>
      </c>
      <c r="D88" t="e">
        <f>"partner:"&amp;MID(A88,SEARCH(":",A88)+1,SEARCH(":",A88,SEARCH(":",A88)+1)-SEARCH(":",A88)-1)</f>
        <v>#VALUE!</v>
      </c>
      <c r="F88" s="38" t="e">
        <f>DATEVALUE(SUBSTITUTE(LEFT(#REF!,SEARCH(" ",#REF!)-1),".","/"))</f>
        <v>#REF!</v>
      </c>
      <c r="G88"/>
      <c r="I88"/>
      <c r="J88"/>
      <c r="K88"/>
    </row>
    <row r="89" spans="1:11" x14ac:dyDescent="0.25">
      <c r="A89"/>
      <c r="B89">
        <f>COUNTA('in progress'!A:A)</f>
        <v>22</v>
      </c>
      <c r="C89" t="e">
        <f xml:space="preserve"> MID(A89,SEARCH(":",A89)+2,SEARCH(":",A89,SEARCH(":",A89)+1)-SEARCH(":",A89)-3)</f>
        <v>#VALUE!</v>
      </c>
      <c r="D89" t="e">
        <f>"partner:"&amp;MID(A89,SEARCH(":",A89)+1,SEARCH(":",A89,SEARCH(":",A89)+1)-SEARCH(":",A89)-1)</f>
        <v>#VALUE!</v>
      </c>
      <c r="F89" s="38" t="e">
        <f>DATEVALUE(SUBSTITUTE(LEFT(#REF!,SEARCH(" ",#REF!)-1),".","/"))</f>
        <v>#REF!</v>
      </c>
      <c r="G89"/>
      <c r="I89"/>
      <c r="J89"/>
      <c r="K89"/>
    </row>
    <row r="90" spans="1:11" x14ac:dyDescent="0.25">
      <c r="A90"/>
      <c r="B90">
        <f>COUNTA('in progress'!A:A)</f>
        <v>22</v>
      </c>
      <c r="C90" t="e">
        <f xml:space="preserve"> MID(A90,SEARCH(":",A90)+2,SEARCH(":",A90,SEARCH(":",A90)+1)-SEARCH(":",A90)-3)</f>
        <v>#VALUE!</v>
      </c>
      <c r="D90" t="e">
        <f>"partner:"&amp;MID(A90,SEARCH(":",A90)+1,SEARCH(":",A90,SEARCH(":",A90)+1)-SEARCH(":",A90)-1)</f>
        <v>#VALUE!</v>
      </c>
      <c r="F90" s="38" t="e">
        <f>DATEVALUE(SUBSTITUTE(LEFT(#REF!,SEARCH(" ",#REF!)-1),".","/"))</f>
        <v>#REF!</v>
      </c>
      <c r="G90"/>
      <c r="I90"/>
      <c r="J90"/>
      <c r="K90"/>
    </row>
    <row r="91" spans="1:11" x14ac:dyDescent="0.25">
      <c r="A91"/>
      <c r="B91">
        <f>COUNTA('in progress'!A:A)</f>
        <v>22</v>
      </c>
      <c r="C91" t="e">
        <f xml:space="preserve"> MID(A91,SEARCH(":",A91)+2,SEARCH(":",A91,SEARCH(":",A91)+1)-SEARCH(":",A91)-3)</f>
        <v>#VALUE!</v>
      </c>
      <c r="D91" t="e">
        <f>"partner:"&amp;MID(A91,SEARCH(":",A91)+1,SEARCH(":",A91,SEARCH(":",A91)+1)-SEARCH(":",A91)-1)</f>
        <v>#VALUE!</v>
      </c>
      <c r="F91" s="38" t="e">
        <f>DATEVALUE(SUBSTITUTE(LEFT(#REF!,SEARCH(" ",#REF!)-1),".","/"))</f>
        <v>#REF!</v>
      </c>
      <c r="G91"/>
      <c r="I91"/>
      <c r="J91"/>
      <c r="K91"/>
    </row>
    <row r="92" spans="1:11" x14ac:dyDescent="0.25">
      <c r="A92"/>
      <c r="B92">
        <f>COUNTA('in progress'!A:A)</f>
        <v>22</v>
      </c>
      <c r="C92" t="e">
        <f xml:space="preserve"> MID(A92,SEARCH(":",A92)+2,SEARCH(":",A92,SEARCH(":",A92)+1)-SEARCH(":",A92)-3)</f>
        <v>#VALUE!</v>
      </c>
      <c r="D92" t="e">
        <f>"partner:"&amp;MID(A92,SEARCH(":",A92)+1,SEARCH(":",A92,SEARCH(":",A92)+1)-SEARCH(":",A92)-1)</f>
        <v>#VALUE!</v>
      </c>
      <c r="F92" s="38" t="e">
        <f>DATEVALUE(SUBSTITUTE(LEFT(#REF!,SEARCH(" ",#REF!)-1),".","/"))</f>
        <v>#REF!</v>
      </c>
      <c r="G92"/>
      <c r="I92"/>
      <c r="J92"/>
      <c r="K92"/>
    </row>
    <row r="93" spans="1:11" x14ac:dyDescent="0.25">
      <c r="A93"/>
      <c r="B93">
        <f>COUNTA('in progress'!A:A)</f>
        <v>22</v>
      </c>
      <c r="C93" t="e">
        <f xml:space="preserve"> MID(A93,SEARCH(":",A93)+2,SEARCH(":",A93,SEARCH(":",A93)+1)-SEARCH(":",A93)-3)</f>
        <v>#VALUE!</v>
      </c>
      <c r="D93" t="e">
        <f>"partner:"&amp;MID(A93,SEARCH(":",A93)+1,SEARCH(":",A93,SEARCH(":",A93)+1)-SEARCH(":",A93)-1)</f>
        <v>#VALUE!</v>
      </c>
      <c r="F93" s="38" t="e">
        <f>DATEVALUE(SUBSTITUTE(LEFT(#REF!,SEARCH(" ",#REF!)-1),".","/"))</f>
        <v>#REF!</v>
      </c>
      <c r="G93"/>
      <c r="I93"/>
      <c r="J93"/>
      <c r="K93"/>
    </row>
    <row r="94" spans="1:11" x14ac:dyDescent="0.25">
      <c r="A94"/>
      <c r="B94">
        <f>COUNTA('in progress'!A:A)</f>
        <v>22</v>
      </c>
      <c r="C94" t="e">
        <f xml:space="preserve"> MID(A94,SEARCH(":",A94)+2,SEARCH(":",A94,SEARCH(":",A94)+1)-SEARCH(":",A94)-3)</f>
        <v>#VALUE!</v>
      </c>
      <c r="D94" t="e">
        <f>"partner:"&amp;MID(A94,SEARCH(":",A94)+1,SEARCH(":",A94,SEARCH(":",A94)+1)-SEARCH(":",A94)-1)</f>
        <v>#VALUE!</v>
      </c>
      <c r="F94" s="38" t="e">
        <f>DATEVALUE(SUBSTITUTE(LEFT(#REF!,SEARCH(" ",#REF!)-1),".","/"))</f>
        <v>#REF!</v>
      </c>
      <c r="G94"/>
      <c r="I94"/>
      <c r="J94"/>
      <c r="K94"/>
    </row>
    <row r="95" spans="1:11" x14ac:dyDescent="0.25">
      <c r="A95"/>
      <c r="B95">
        <f>COUNTA('in progress'!A:A)</f>
        <v>22</v>
      </c>
      <c r="C95" t="e">
        <f xml:space="preserve"> MID(A95,SEARCH(":",A95)+2,SEARCH(":",A95,SEARCH(":",A95)+1)-SEARCH(":",A95)-3)</f>
        <v>#VALUE!</v>
      </c>
      <c r="D95" t="e">
        <f>"partner:"&amp;MID(A95,SEARCH(":",A95)+1,SEARCH(":",A95,SEARCH(":",A95)+1)-SEARCH(":",A95)-1)</f>
        <v>#VALUE!</v>
      </c>
      <c r="F95" s="38" t="e">
        <f>DATEVALUE(SUBSTITUTE(LEFT(#REF!,SEARCH(" ",#REF!)-1),".","/"))</f>
        <v>#REF!</v>
      </c>
      <c r="G95"/>
      <c r="I95"/>
      <c r="J95"/>
      <c r="K95"/>
    </row>
    <row r="96" spans="1:11" x14ac:dyDescent="0.25">
      <c r="A96"/>
      <c r="B96">
        <f>COUNTA('in progress'!A:A)</f>
        <v>22</v>
      </c>
      <c r="C96" t="e">
        <f xml:space="preserve"> MID(A96,SEARCH(":",A96)+2,SEARCH(":",A96,SEARCH(":",A96)+1)-SEARCH(":",A96)-3)</f>
        <v>#VALUE!</v>
      </c>
      <c r="D96" t="e">
        <f>"partner:"&amp;MID(A96,SEARCH(":",A96)+1,SEARCH(":",A96,SEARCH(":",A96)+1)-SEARCH(":",A96)-1)</f>
        <v>#VALUE!</v>
      </c>
      <c r="F96" s="38" t="e">
        <f>DATEVALUE(SUBSTITUTE(LEFT(#REF!,SEARCH(" ",#REF!)-1),".","/"))</f>
        <v>#REF!</v>
      </c>
      <c r="G96"/>
      <c r="I96"/>
      <c r="J96"/>
      <c r="K96"/>
    </row>
    <row r="97" spans="1:11" x14ac:dyDescent="0.25">
      <c r="A97"/>
      <c r="B97">
        <f>COUNTA('in progress'!A:A)</f>
        <v>22</v>
      </c>
      <c r="C97" t="e">
        <f xml:space="preserve"> MID(A97,SEARCH(":",A97)+2,SEARCH(":",A97,SEARCH(":",A97)+1)-SEARCH(":",A97)-3)</f>
        <v>#VALUE!</v>
      </c>
      <c r="D97" t="e">
        <f>"partner:"&amp;MID(A97,SEARCH(":",A97)+1,SEARCH(":",A97,SEARCH(":",A97)+1)-SEARCH(":",A97)-1)</f>
        <v>#VALUE!</v>
      </c>
      <c r="F97" s="38" t="e">
        <f>DATEVALUE(SUBSTITUTE(LEFT(#REF!,SEARCH(" ",#REF!)-1),".","/"))</f>
        <v>#REF!</v>
      </c>
      <c r="G97"/>
      <c r="I97"/>
      <c r="J97"/>
      <c r="K97"/>
    </row>
    <row r="98" spans="1:11" x14ac:dyDescent="0.25">
      <c r="A98"/>
      <c r="B98">
        <f>COUNTA('in progress'!A:A)</f>
        <v>22</v>
      </c>
      <c r="C98" t="e">
        <f xml:space="preserve"> MID(A98,SEARCH(":",A98)+2,SEARCH(":",A98,SEARCH(":",A98)+1)-SEARCH(":",A98)-3)</f>
        <v>#VALUE!</v>
      </c>
      <c r="D98" t="e">
        <f>"partner:"&amp;MID(A98,SEARCH(":",A98)+1,SEARCH(":",A98,SEARCH(":",A98)+1)-SEARCH(":",A98)-1)</f>
        <v>#VALUE!</v>
      </c>
      <c r="F98" s="38" t="e">
        <f>DATEVALUE(SUBSTITUTE(LEFT(#REF!,SEARCH(" ",#REF!)-1),".","/"))</f>
        <v>#REF!</v>
      </c>
      <c r="G98"/>
      <c r="I98"/>
      <c r="J98"/>
      <c r="K98"/>
    </row>
    <row r="99" spans="1:11" x14ac:dyDescent="0.25">
      <c r="A99"/>
      <c r="B99">
        <f>COUNTA('in progress'!A:A)</f>
        <v>22</v>
      </c>
      <c r="C99" t="e">
        <f xml:space="preserve"> MID(A99,SEARCH(":",A99)+2,SEARCH(":",A99,SEARCH(":",A99)+1)-SEARCH(":",A99)-3)</f>
        <v>#VALUE!</v>
      </c>
      <c r="D99" t="e">
        <f>"partner:"&amp;MID(A99,SEARCH(":",A99)+1,SEARCH(":",A99,SEARCH(":",A99)+1)-SEARCH(":",A99)-1)</f>
        <v>#VALUE!</v>
      </c>
      <c r="F99" s="38" t="e">
        <f>DATEVALUE(SUBSTITUTE(LEFT(#REF!,SEARCH(" ",#REF!)-1),".","/"))</f>
        <v>#REF!</v>
      </c>
      <c r="G99"/>
      <c r="I99"/>
      <c r="J99"/>
      <c r="K99"/>
    </row>
    <row r="100" spans="1:11" x14ac:dyDescent="0.25">
      <c r="A100"/>
      <c r="B100">
        <f>COUNTA('in progress'!A:A)</f>
        <v>22</v>
      </c>
      <c r="C100" t="e">
        <f xml:space="preserve"> MID(A100,SEARCH(":",A100)+2,SEARCH(":",A100,SEARCH(":",A100)+1)-SEARCH(":",A100)-3)</f>
        <v>#VALUE!</v>
      </c>
      <c r="D100" t="e">
        <f>"partner:"&amp;MID(A100,SEARCH(":",A100)+1,SEARCH(":",A100,SEARCH(":",A100)+1)-SEARCH(":",A100)-1)</f>
        <v>#VALUE!</v>
      </c>
      <c r="F100" s="38" t="e">
        <f>DATEVALUE(SUBSTITUTE(LEFT(#REF!,SEARCH(" ",#REF!)-1),".","/"))</f>
        <v>#REF!</v>
      </c>
      <c r="G100"/>
      <c r="I100"/>
      <c r="J100"/>
      <c r="K100"/>
    </row>
    <row r="101" spans="1:11" x14ac:dyDescent="0.25">
      <c r="A101"/>
      <c r="B101">
        <f>COUNTA('in progress'!A:A)</f>
        <v>22</v>
      </c>
      <c r="C101" t="e">
        <f xml:space="preserve"> MID(A101,SEARCH(":",A101)+2,SEARCH(":",A101,SEARCH(":",A101)+1)-SEARCH(":",A101)-3)</f>
        <v>#VALUE!</v>
      </c>
      <c r="D101" t="e">
        <f>"partner:"&amp;MID(A101,SEARCH(":",A101)+1,SEARCH(":",A101,SEARCH(":",A101)+1)-SEARCH(":",A101)-1)</f>
        <v>#VALUE!</v>
      </c>
      <c r="F101" s="38" t="e">
        <f>DATEVALUE(SUBSTITUTE(LEFT(#REF!,SEARCH(" ",#REF!)-1),".","/"))</f>
        <v>#REF!</v>
      </c>
      <c r="G101"/>
      <c r="I101"/>
      <c r="J101"/>
      <c r="K101"/>
    </row>
    <row r="102" spans="1:11" x14ac:dyDescent="0.25">
      <c r="A102"/>
      <c r="B102">
        <f>COUNTA('in progress'!A:A)</f>
        <v>22</v>
      </c>
      <c r="C102" t="e">
        <f xml:space="preserve"> MID(A102,SEARCH(":",A102)+2,SEARCH(":",A102,SEARCH(":",A102)+1)-SEARCH(":",A102)-3)</f>
        <v>#VALUE!</v>
      </c>
      <c r="D102" t="e">
        <f>"partner:"&amp;MID(A102,SEARCH(":",A102)+1,SEARCH(":",A102,SEARCH(":",A102)+1)-SEARCH(":",A102)-1)</f>
        <v>#VALUE!</v>
      </c>
      <c r="F102" s="38" t="e">
        <f>DATEVALUE(SUBSTITUTE(LEFT(#REF!,SEARCH(" ",#REF!)-1),".","/"))</f>
        <v>#REF!</v>
      </c>
      <c r="G102"/>
      <c r="I102"/>
      <c r="J102"/>
      <c r="K102"/>
    </row>
    <row r="103" spans="1:11" x14ac:dyDescent="0.25">
      <c r="A103"/>
      <c r="B103">
        <f>COUNTA('in progress'!A:A)</f>
        <v>22</v>
      </c>
      <c r="C103" t="e">
        <f xml:space="preserve"> MID(A103,SEARCH(":",A103)+2,SEARCH(":",A103,SEARCH(":",A103)+1)-SEARCH(":",A103)-3)</f>
        <v>#VALUE!</v>
      </c>
      <c r="D103" t="e">
        <f>"partner:"&amp;MID(A103,SEARCH(":",A103)+1,SEARCH(":",A103,SEARCH(":",A103)+1)-SEARCH(":",A103)-1)</f>
        <v>#VALUE!</v>
      </c>
      <c r="F103" s="38" t="e">
        <f>DATEVALUE(SUBSTITUTE(LEFT(#REF!,SEARCH(" ",#REF!)-1),".","/"))</f>
        <v>#REF!</v>
      </c>
      <c r="G103"/>
      <c r="I103"/>
      <c r="J103"/>
      <c r="K103"/>
    </row>
    <row r="104" spans="1:11" x14ac:dyDescent="0.25">
      <c r="A104"/>
      <c r="B104">
        <f>COUNTA('in progress'!A:A)</f>
        <v>22</v>
      </c>
      <c r="C104" t="e">
        <f xml:space="preserve"> MID(A104,SEARCH(":",A104)+2,SEARCH(":",A104,SEARCH(":",A104)+1)-SEARCH(":",A104)-3)</f>
        <v>#VALUE!</v>
      </c>
      <c r="D104" t="e">
        <f>"partner:"&amp;MID(A104,SEARCH(":",A104)+1,SEARCH(":",A104,SEARCH(":",A104)+1)-SEARCH(":",A104)-1)</f>
        <v>#VALUE!</v>
      </c>
      <c r="F104" s="38" t="e">
        <f>DATEVALUE(SUBSTITUTE(LEFT(#REF!,SEARCH(" ",#REF!)-1),".","/"))</f>
        <v>#REF!</v>
      </c>
      <c r="G104"/>
      <c r="I104"/>
      <c r="J104"/>
      <c r="K104"/>
    </row>
    <row r="105" spans="1:11" x14ac:dyDescent="0.25">
      <c r="A105"/>
      <c r="B105">
        <f>COUNTA('in progress'!A:A)</f>
        <v>22</v>
      </c>
      <c r="C105" t="e">
        <f xml:space="preserve"> MID(A105,SEARCH(":",A105)+2,SEARCH(":",A105,SEARCH(":",A105)+1)-SEARCH(":",A105)-3)</f>
        <v>#VALUE!</v>
      </c>
      <c r="D105" t="e">
        <f>"partner:"&amp;MID(A105,SEARCH(":",A105)+1,SEARCH(":",A105,SEARCH(":",A105)+1)-SEARCH(":",A105)-1)</f>
        <v>#VALUE!</v>
      </c>
      <c r="F105" s="38" t="e">
        <f>DATEVALUE(SUBSTITUTE(LEFT(#REF!,SEARCH(" ",#REF!)-1),".","/"))</f>
        <v>#REF!</v>
      </c>
      <c r="G105"/>
      <c r="I105"/>
      <c r="J105"/>
      <c r="K105"/>
    </row>
    <row r="106" spans="1:11" x14ac:dyDescent="0.25">
      <c r="A106"/>
      <c r="B106">
        <f>COUNTA('in progress'!A:A)</f>
        <v>22</v>
      </c>
      <c r="C106" t="e">
        <f xml:space="preserve"> MID(A106,SEARCH(":",A106)+2,SEARCH(":",A106,SEARCH(":",A106)+1)-SEARCH(":",A106)-3)</f>
        <v>#VALUE!</v>
      </c>
      <c r="D106" t="e">
        <f>"partner:"&amp;MID(A106,SEARCH(":",A106)+1,SEARCH(":",A106,SEARCH(":",A106)+1)-SEARCH(":",A106)-1)</f>
        <v>#VALUE!</v>
      </c>
      <c r="F106" s="38" t="e">
        <f>DATEVALUE(SUBSTITUTE(LEFT(#REF!,SEARCH(" ",#REF!)-1),".","/"))</f>
        <v>#REF!</v>
      </c>
      <c r="G106"/>
      <c r="I106"/>
      <c r="J106"/>
      <c r="K106"/>
    </row>
    <row r="107" spans="1:11" x14ac:dyDescent="0.25">
      <c r="A107"/>
      <c r="B107">
        <f>COUNTA('in progress'!A:A)</f>
        <v>22</v>
      </c>
      <c r="C107" t="e">
        <f xml:space="preserve"> MID(A107,SEARCH(":",A107)+2,SEARCH(":",A107,SEARCH(":",A107)+1)-SEARCH(":",A107)-3)</f>
        <v>#VALUE!</v>
      </c>
      <c r="D107" t="e">
        <f>"partner:"&amp;MID(A107,SEARCH(":",A107)+1,SEARCH(":",A107,SEARCH(":",A107)+1)-SEARCH(":",A107)-1)</f>
        <v>#VALUE!</v>
      </c>
      <c r="F107" s="38" t="e">
        <f>DATEVALUE(SUBSTITUTE(LEFT(#REF!,SEARCH(" ",#REF!)-1),".","/"))</f>
        <v>#REF!</v>
      </c>
      <c r="G107"/>
      <c r="I107"/>
      <c r="J107"/>
      <c r="K107"/>
    </row>
    <row r="108" spans="1:11" x14ac:dyDescent="0.25">
      <c r="A108"/>
      <c r="B108">
        <f>COUNTA('in progress'!A:A)</f>
        <v>22</v>
      </c>
      <c r="C108" t="e">
        <f xml:space="preserve"> MID(A108,SEARCH(":",A108)+2,SEARCH(":",A108,SEARCH(":",A108)+1)-SEARCH(":",A108)-3)</f>
        <v>#VALUE!</v>
      </c>
      <c r="D108" t="e">
        <f>"partner:"&amp;MID(A108,SEARCH(":",A108)+1,SEARCH(":",A108,SEARCH(":",A108)+1)-SEARCH(":",A108)-1)</f>
        <v>#VALUE!</v>
      </c>
      <c r="F108" s="38" t="e">
        <f>DATEVALUE(SUBSTITUTE(LEFT(#REF!,SEARCH(" ",#REF!)-1),".","/"))</f>
        <v>#REF!</v>
      </c>
      <c r="G108"/>
      <c r="I108"/>
      <c r="J108"/>
      <c r="K108"/>
    </row>
    <row r="109" spans="1:11" x14ac:dyDescent="0.25">
      <c r="A109"/>
      <c r="B109">
        <f>COUNTA('in progress'!A:A)</f>
        <v>22</v>
      </c>
      <c r="C109" t="e">
        <f xml:space="preserve"> MID(A109,SEARCH(":",A109)+2,SEARCH(":",A109,SEARCH(":",A109)+1)-SEARCH(":",A109)-3)</f>
        <v>#VALUE!</v>
      </c>
      <c r="D109" t="e">
        <f>"partner:"&amp;MID(A109,SEARCH(":",A109)+1,SEARCH(":",A109,SEARCH(":",A109)+1)-SEARCH(":",A109)-1)</f>
        <v>#VALUE!</v>
      </c>
      <c r="F109" s="38" t="e">
        <f>DATEVALUE(SUBSTITUTE(LEFT(#REF!,SEARCH(" ",#REF!)-1),".","/"))</f>
        <v>#REF!</v>
      </c>
      <c r="G109"/>
      <c r="I109"/>
      <c r="J109"/>
      <c r="K109"/>
    </row>
    <row r="110" spans="1:11" x14ac:dyDescent="0.25">
      <c r="A110"/>
      <c r="B110">
        <f>COUNTA('in progress'!A:A)</f>
        <v>22</v>
      </c>
      <c r="C110" t="e">
        <f xml:space="preserve"> MID(A110,SEARCH(":",A110)+2,SEARCH(":",A110,SEARCH(":",A110)+1)-SEARCH(":",A110)-3)</f>
        <v>#VALUE!</v>
      </c>
      <c r="D110" t="e">
        <f>"partner:"&amp;MID(A110,SEARCH(":",A110)+1,SEARCH(":",A110,SEARCH(":",A110)+1)-SEARCH(":",A110)-1)</f>
        <v>#VALUE!</v>
      </c>
      <c r="F110" s="38" t="e">
        <f>DATEVALUE(SUBSTITUTE(LEFT(#REF!,SEARCH(" ",#REF!)-1),".","/"))</f>
        <v>#REF!</v>
      </c>
      <c r="G110"/>
      <c r="I110"/>
      <c r="J110"/>
      <c r="K110"/>
    </row>
    <row r="111" spans="1:11" x14ac:dyDescent="0.25">
      <c r="A111"/>
      <c r="B111">
        <f>COUNTA('in progress'!A:A)</f>
        <v>22</v>
      </c>
      <c r="C111" t="e">
        <f xml:space="preserve"> MID(A111,SEARCH(":",A111)+2,SEARCH(":",A111,SEARCH(":",A111)+1)-SEARCH(":",A111)-3)</f>
        <v>#VALUE!</v>
      </c>
      <c r="D111" t="e">
        <f>"partner:"&amp;MID(A111,SEARCH(":",A111)+1,SEARCH(":",A111,SEARCH(":",A111)+1)-SEARCH(":",A111)-1)</f>
        <v>#VALUE!</v>
      </c>
      <c r="F111" s="38" t="e">
        <f>DATEVALUE(SUBSTITUTE(LEFT(#REF!,SEARCH(" ",#REF!)-1),".","/"))</f>
        <v>#REF!</v>
      </c>
      <c r="G111"/>
      <c r="I111"/>
      <c r="J111"/>
      <c r="K111"/>
    </row>
    <row r="112" spans="1:11" x14ac:dyDescent="0.25">
      <c r="A112"/>
      <c r="B112">
        <f>COUNTA('in progress'!A:A)</f>
        <v>22</v>
      </c>
      <c r="C112" t="e">
        <f xml:space="preserve"> MID(A112,SEARCH(":",A112)+2,SEARCH(":",A112,SEARCH(":",A112)+1)-SEARCH(":",A112)-3)</f>
        <v>#VALUE!</v>
      </c>
      <c r="D112" t="e">
        <f>"partner:"&amp;MID(A112,SEARCH(":",A112)+1,SEARCH(":",A112,SEARCH(":",A112)+1)-SEARCH(":",A112)-1)</f>
        <v>#VALUE!</v>
      </c>
      <c r="F112" s="38" t="e">
        <f>DATEVALUE(SUBSTITUTE(LEFT(#REF!,SEARCH(" ",#REF!)-1),".","/"))</f>
        <v>#REF!</v>
      </c>
      <c r="G112"/>
      <c r="I112"/>
      <c r="J112"/>
      <c r="K112"/>
    </row>
    <row r="113" spans="1:11" x14ac:dyDescent="0.25">
      <c r="A113"/>
      <c r="B113">
        <f>COUNTA('in progress'!A:A)</f>
        <v>22</v>
      </c>
      <c r="C113" t="e">
        <f xml:space="preserve"> MID(A113,SEARCH(":",A113)+2,SEARCH(":",A113,SEARCH(":",A113)+1)-SEARCH(":",A113)-3)</f>
        <v>#VALUE!</v>
      </c>
      <c r="D113" t="e">
        <f>"partner:"&amp;MID(A113,SEARCH(":",A113)+1,SEARCH(":",A113,SEARCH(":",A113)+1)-SEARCH(":",A113)-1)</f>
        <v>#VALUE!</v>
      </c>
      <c r="F113" s="38" t="e">
        <f>DATEVALUE(SUBSTITUTE(LEFT(#REF!,SEARCH(" ",#REF!)-1),".","/"))</f>
        <v>#REF!</v>
      </c>
      <c r="G113"/>
      <c r="I113"/>
      <c r="J113"/>
      <c r="K113"/>
    </row>
    <row r="114" spans="1:11" x14ac:dyDescent="0.25">
      <c r="A114"/>
      <c r="B114">
        <f>COUNTA('in progress'!A:A)</f>
        <v>22</v>
      </c>
      <c r="C114" t="e">
        <f xml:space="preserve"> MID(A114,SEARCH(":",A114)+2,SEARCH(":",A114,SEARCH(":",A114)+1)-SEARCH(":",A114)-3)</f>
        <v>#VALUE!</v>
      </c>
      <c r="D114" t="e">
        <f>"partner:"&amp;MID(A114,SEARCH(":",A114)+1,SEARCH(":",A114,SEARCH(":",A114)+1)-SEARCH(":",A114)-1)</f>
        <v>#VALUE!</v>
      </c>
      <c r="F114" s="38" t="e">
        <f>DATEVALUE(SUBSTITUTE(LEFT(#REF!,SEARCH(" ",#REF!)-1),".","/"))</f>
        <v>#REF!</v>
      </c>
      <c r="G114"/>
      <c r="I114"/>
      <c r="J114"/>
      <c r="K114"/>
    </row>
    <row r="115" spans="1:11" x14ac:dyDescent="0.25">
      <c r="A115"/>
      <c r="B115">
        <f>COUNTA('in progress'!A:A)</f>
        <v>22</v>
      </c>
      <c r="C115" t="e">
        <f xml:space="preserve"> MID(A115,SEARCH(":",A115)+2,SEARCH(":",A115,SEARCH(":",A115)+1)-SEARCH(":",A115)-3)</f>
        <v>#VALUE!</v>
      </c>
      <c r="D115" t="e">
        <f>"partner:"&amp;MID(A115,SEARCH(":",A115)+1,SEARCH(":",A115,SEARCH(":",A115)+1)-SEARCH(":",A115)-1)</f>
        <v>#VALUE!</v>
      </c>
      <c r="F115" s="38" t="e">
        <f>DATEVALUE(SUBSTITUTE(LEFT(#REF!,SEARCH(" ",#REF!)-1),".","/"))</f>
        <v>#REF!</v>
      </c>
      <c r="G115"/>
      <c r="I115"/>
      <c r="J115"/>
      <c r="K115"/>
    </row>
    <row r="116" spans="1:11" x14ac:dyDescent="0.25">
      <c r="A116"/>
      <c r="B116">
        <f>COUNTA('in progress'!A:A)</f>
        <v>22</v>
      </c>
      <c r="C116" t="e">
        <f xml:space="preserve"> MID(A116,SEARCH(":",A116)+2,SEARCH(":",A116,SEARCH(":",A116)+1)-SEARCH(":",A116)-3)</f>
        <v>#VALUE!</v>
      </c>
      <c r="D116" t="e">
        <f>"partner:"&amp;MID(A116,SEARCH(":",A116)+1,SEARCH(":",A116,SEARCH(":",A116)+1)-SEARCH(":",A116)-1)</f>
        <v>#VALUE!</v>
      </c>
      <c r="F116" s="38" t="e">
        <f>DATEVALUE(SUBSTITUTE(LEFT(#REF!,SEARCH(" ",#REF!)-1),".","/"))</f>
        <v>#REF!</v>
      </c>
      <c r="G116"/>
      <c r="I116"/>
      <c r="J116"/>
      <c r="K116"/>
    </row>
    <row r="117" spans="1:11" x14ac:dyDescent="0.25">
      <c r="A117"/>
      <c r="B117">
        <f>COUNTA('in progress'!A:A)</f>
        <v>22</v>
      </c>
      <c r="C117" t="e">
        <f xml:space="preserve"> MID(A117,SEARCH(":",A117)+2,SEARCH(":",A117,SEARCH(":",A117)+1)-SEARCH(":",A117)-3)</f>
        <v>#VALUE!</v>
      </c>
      <c r="D117" t="e">
        <f>"partner:"&amp;MID(A117,SEARCH(":",A117)+1,SEARCH(":",A117,SEARCH(":",A117)+1)-SEARCH(":",A117)-1)</f>
        <v>#VALUE!</v>
      </c>
      <c r="F117" s="38" t="e">
        <f>DATEVALUE(SUBSTITUTE(LEFT(#REF!,SEARCH(" ",#REF!)-1),".","/"))</f>
        <v>#REF!</v>
      </c>
      <c r="G117"/>
      <c r="I117"/>
      <c r="J117"/>
      <c r="K117"/>
    </row>
    <row r="118" spans="1:11" x14ac:dyDescent="0.25">
      <c r="A118"/>
      <c r="B118">
        <f>COUNTA('in progress'!A:A)</f>
        <v>22</v>
      </c>
      <c r="C118" t="e">
        <f xml:space="preserve"> MID(A118,SEARCH(":",A118)+2,SEARCH(":",A118,SEARCH(":",A118)+1)-SEARCH(":",A118)-3)</f>
        <v>#VALUE!</v>
      </c>
      <c r="D118" t="e">
        <f>"partner:"&amp;MID(A118,SEARCH(":",A118)+1,SEARCH(":",A118,SEARCH(":",A118)+1)-SEARCH(":",A118)-1)</f>
        <v>#VALUE!</v>
      </c>
      <c r="F118" s="38" t="e">
        <f>DATEVALUE(SUBSTITUTE(LEFT(#REF!,SEARCH(" ",#REF!)-1),".","/"))</f>
        <v>#REF!</v>
      </c>
      <c r="G118"/>
      <c r="I118"/>
      <c r="J118"/>
      <c r="K118"/>
    </row>
    <row r="119" spans="1:11" x14ac:dyDescent="0.25">
      <c r="A119"/>
      <c r="B119">
        <f>COUNTA('in progress'!A:A)</f>
        <v>22</v>
      </c>
      <c r="C119" t="e">
        <f xml:space="preserve"> MID(A119,SEARCH(":",A119)+2,SEARCH(":",A119,SEARCH(":",A119)+1)-SEARCH(":",A119)-3)</f>
        <v>#VALUE!</v>
      </c>
      <c r="D119" t="e">
        <f>"partner:"&amp;MID(A119,SEARCH(":",A119)+1,SEARCH(":",A119,SEARCH(":",A119)+1)-SEARCH(":",A119)-1)</f>
        <v>#VALUE!</v>
      </c>
      <c r="F119" s="38" t="e">
        <f>DATEVALUE(SUBSTITUTE(LEFT(#REF!,SEARCH(" ",#REF!)-1),".","/"))</f>
        <v>#REF!</v>
      </c>
      <c r="G119"/>
      <c r="I119"/>
      <c r="J119"/>
      <c r="K119"/>
    </row>
    <row r="120" spans="1:11" x14ac:dyDescent="0.25">
      <c r="A120"/>
      <c r="B120">
        <f>COUNTA('in progress'!A:A)</f>
        <v>22</v>
      </c>
      <c r="C120" t="e">
        <f xml:space="preserve"> MID(A120,SEARCH(":",A120)+2,SEARCH(":",A120,SEARCH(":",A120)+1)-SEARCH(":",A120)-3)</f>
        <v>#VALUE!</v>
      </c>
      <c r="D120" t="e">
        <f>"partner:"&amp;MID(A120,SEARCH(":",A120)+1,SEARCH(":",A120,SEARCH(":",A120)+1)-SEARCH(":",A120)-1)</f>
        <v>#VALUE!</v>
      </c>
      <c r="F120" s="38" t="e">
        <f>DATEVALUE(SUBSTITUTE(LEFT(#REF!,SEARCH(" ",#REF!)-1),".","/"))</f>
        <v>#REF!</v>
      </c>
      <c r="G120"/>
      <c r="I120"/>
      <c r="J120"/>
      <c r="K120"/>
    </row>
    <row r="121" spans="1:11" x14ac:dyDescent="0.25">
      <c r="A121"/>
      <c r="B121">
        <f>COUNTA('in progress'!A:A)</f>
        <v>22</v>
      </c>
      <c r="C121" t="e">
        <f xml:space="preserve"> MID(A121,SEARCH(":",A121)+2,SEARCH(":",A121,SEARCH(":",A121)+1)-SEARCH(":",A121)-3)</f>
        <v>#VALUE!</v>
      </c>
      <c r="D121" t="e">
        <f>"partner:"&amp;MID(A121,SEARCH(":",A121)+1,SEARCH(":",A121,SEARCH(":",A121)+1)-SEARCH(":",A121)-1)</f>
        <v>#VALUE!</v>
      </c>
      <c r="F121" s="38" t="e">
        <f>DATEVALUE(SUBSTITUTE(LEFT(#REF!,SEARCH(" ",#REF!)-1),".","/"))</f>
        <v>#REF!</v>
      </c>
      <c r="G121"/>
      <c r="I121"/>
      <c r="J121"/>
      <c r="K121"/>
    </row>
    <row r="122" spans="1:11" x14ac:dyDescent="0.25">
      <c r="A122"/>
      <c r="B122">
        <f>COUNTA('in progress'!A:A)</f>
        <v>22</v>
      </c>
      <c r="C122" t="e">
        <f xml:space="preserve"> MID(A122,SEARCH(":",A122)+2,SEARCH(":",A122,SEARCH(":",A122)+1)-SEARCH(":",A122)-3)</f>
        <v>#VALUE!</v>
      </c>
      <c r="D122" t="e">
        <f>"partner:"&amp;MID(A122,SEARCH(":",A122)+1,SEARCH(":",A122,SEARCH(":",A122)+1)-SEARCH(":",A122)-1)</f>
        <v>#VALUE!</v>
      </c>
      <c r="F122" s="38" t="e">
        <f>DATEVALUE(SUBSTITUTE(LEFT(#REF!,SEARCH(" ",#REF!)-1),".","/"))</f>
        <v>#REF!</v>
      </c>
      <c r="G122"/>
      <c r="I122"/>
      <c r="J122"/>
      <c r="K122"/>
    </row>
    <row r="123" spans="1:11" x14ac:dyDescent="0.25">
      <c r="A123"/>
      <c r="B123">
        <f>COUNTA('in progress'!A:A)</f>
        <v>22</v>
      </c>
      <c r="C123" t="e">
        <f xml:space="preserve"> MID(A123,SEARCH(":",A123)+2,SEARCH(":",A123,SEARCH(":",A123)+1)-SEARCH(":",A123)-3)</f>
        <v>#VALUE!</v>
      </c>
      <c r="D123" t="e">
        <f>"partner:"&amp;MID(A123,SEARCH(":",A123)+1,SEARCH(":",A123,SEARCH(":",A123)+1)-SEARCH(":",A123)-1)</f>
        <v>#VALUE!</v>
      </c>
      <c r="F123" s="38" t="e">
        <f>DATEVALUE(SUBSTITUTE(LEFT(#REF!,SEARCH(" ",#REF!)-1),".","/"))</f>
        <v>#REF!</v>
      </c>
      <c r="G123"/>
      <c r="I123"/>
      <c r="J123"/>
      <c r="K123"/>
    </row>
    <row r="124" spans="1:11" x14ac:dyDescent="0.25">
      <c r="A124"/>
      <c r="B124">
        <f>COUNTA('in progress'!A:A)</f>
        <v>22</v>
      </c>
      <c r="C124" t="e">
        <f xml:space="preserve"> MID(A124,SEARCH(":",A124)+2,SEARCH(":",A124,SEARCH(":",A124)+1)-SEARCH(":",A124)-3)</f>
        <v>#VALUE!</v>
      </c>
      <c r="D124" t="e">
        <f>"partner:"&amp;MID(A124,SEARCH(":",A124)+1,SEARCH(":",A124,SEARCH(":",A124)+1)-SEARCH(":",A124)-1)</f>
        <v>#VALUE!</v>
      </c>
      <c r="F124" s="38" t="e">
        <f>DATEVALUE(SUBSTITUTE(LEFT(#REF!,SEARCH(" ",#REF!)-1),".","/"))</f>
        <v>#REF!</v>
      </c>
      <c r="G124"/>
      <c r="I124"/>
      <c r="J124"/>
      <c r="K124"/>
    </row>
    <row r="125" spans="1:11" x14ac:dyDescent="0.25">
      <c r="A125"/>
      <c r="B125">
        <f>COUNTA('in progress'!A:A)</f>
        <v>22</v>
      </c>
      <c r="C125" t="e">
        <f xml:space="preserve"> MID(A125,SEARCH(":",A125)+2,SEARCH(":",A125,SEARCH(":",A125)+1)-SEARCH(":",A125)-3)</f>
        <v>#VALUE!</v>
      </c>
      <c r="D125" t="e">
        <f>"partner:"&amp;MID(A125,SEARCH(":",A125)+1,SEARCH(":",A125,SEARCH(":",A125)+1)-SEARCH(":",A125)-1)</f>
        <v>#VALUE!</v>
      </c>
      <c r="F125" s="38" t="e">
        <f>DATEVALUE(SUBSTITUTE(LEFT(#REF!,SEARCH(" ",#REF!)-1),".","/"))</f>
        <v>#REF!</v>
      </c>
      <c r="G125"/>
      <c r="I125"/>
      <c r="J125"/>
      <c r="K125"/>
    </row>
    <row r="126" spans="1:11" x14ac:dyDescent="0.25">
      <c r="A126"/>
      <c r="B126">
        <f>COUNTA('in progress'!A:A)</f>
        <v>22</v>
      </c>
      <c r="C126" t="e">
        <f xml:space="preserve"> MID(A126,SEARCH(":",A126)+2,SEARCH(":",A126,SEARCH(":",A126)+1)-SEARCH(":",A126)-3)</f>
        <v>#VALUE!</v>
      </c>
      <c r="D126" t="e">
        <f>"partner:"&amp;MID(A126,SEARCH(":",A126)+1,SEARCH(":",A126,SEARCH(":",A126)+1)-SEARCH(":",A126)-1)</f>
        <v>#VALUE!</v>
      </c>
      <c r="F126" s="38" t="e">
        <f>DATEVALUE(SUBSTITUTE(LEFT(#REF!,SEARCH(" ",#REF!)-1),".","/"))</f>
        <v>#REF!</v>
      </c>
      <c r="G126"/>
      <c r="I126"/>
      <c r="J126"/>
      <c r="K126"/>
    </row>
    <row r="127" spans="1:11" x14ac:dyDescent="0.25">
      <c r="A127"/>
      <c r="B127">
        <f>COUNTA('in progress'!A:A)</f>
        <v>22</v>
      </c>
      <c r="C127" t="e">
        <f xml:space="preserve"> MID(A127,SEARCH(":",A127)+2,SEARCH(":",A127,SEARCH(":",A127)+1)-SEARCH(":",A127)-3)</f>
        <v>#VALUE!</v>
      </c>
      <c r="D127" t="e">
        <f>"partner:"&amp;MID(A127,SEARCH(":",A127)+1,SEARCH(":",A127,SEARCH(":",A127)+1)-SEARCH(":",A127)-1)</f>
        <v>#VALUE!</v>
      </c>
      <c r="F127" s="38" t="e">
        <f>DATEVALUE(SUBSTITUTE(LEFT(#REF!,SEARCH(" ",#REF!)-1),".","/"))</f>
        <v>#REF!</v>
      </c>
      <c r="G127"/>
      <c r="I127"/>
      <c r="J127"/>
      <c r="K127"/>
    </row>
    <row r="128" spans="1:11" x14ac:dyDescent="0.25">
      <c r="A128"/>
      <c r="B128">
        <f>COUNTA('in progress'!A:A)</f>
        <v>22</v>
      </c>
      <c r="C128" t="e">
        <f xml:space="preserve"> MID(A128,SEARCH(":",A128)+2,SEARCH(":",A128,SEARCH(":",A128)+1)-SEARCH(":",A128)-3)</f>
        <v>#VALUE!</v>
      </c>
      <c r="D128" t="e">
        <f>"partner:"&amp;MID(A128,SEARCH(":",A128)+1,SEARCH(":",A128,SEARCH(":",A128)+1)-SEARCH(":",A128)-1)</f>
        <v>#VALUE!</v>
      </c>
      <c r="F128" s="38" t="e">
        <f>DATEVALUE(SUBSTITUTE(LEFT(#REF!,SEARCH(" ",#REF!)-1),".","/"))</f>
        <v>#REF!</v>
      </c>
      <c r="G128"/>
      <c r="I128"/>
      <c r="J128"/>
      <c r="K128"/>
    </row>
    <row r="129" spans="1:11" x14ac:dyDescent="0.25">
      <c r="A129"/>
      <c r="B129">
        <f>COUNTA('in progress'!A:A)</f>
        <v>22</v>
      </c>
      <c r="C129" t="e">
        <f xml:space="preserve"> MID(A129,SEARCH(":",A129)+2,SEARCH(":",A129,SEARCH(":",A129)+1)-SEARCH(":",A129)-3)</f>
        <v>#VALUE!</v>
      </c>
      <c r="D129" t="e">
        <f>"partner:"&amp;MID(A129,SEARCH(":",A129)+1,SEARCH(":",A129,SEARCH(":",A129)+1)-SEARCH(":",A129)-1)</f>
        <v>#VALUE!</v>
      </c>
      <c r="F129" s="38" t="e">
        <f>DATEVALUE(SUBSTITUTE(LEFT(#REF!,SEARCH(" ",#REF!)-1),".","/"))</f>
        <v>#REF!</v>
      </c>
      <c r="G129"/>
      <c r="I129"/>
      <c r="J129"/>
      <c r="K129"/>
    </row>
    <row r="130" spans="1:11" x14ac:dyDescent="0.25">
      <c r="A130"/>
      <c r="B130">
        <f>COUNTA('in progress'!A:A)</f>
        <v>22</v>
      </c>
      <c r="C130" t="e">
        <f xml:space="preserve"> MID(A130,SEARCH(":",A130)+2,SEARCH(":",A130,SEARCH(":",A130)+1)-SEARCH(":",A130)-3)</f>
        <v>#VALUE!</v>
      </c>
      <c r="D130" t="e">
        <f>"partner:"&amp;MID(A130,SEARCH(":",A130)+1,SEARCH(":",A130,SEARCH(":",A130)+1)-SEARCH(":",A130)-1)</f>
        <v>#VALUE!</v>
      </c>
      <c r="F130" s="38" t="e">
        <f>DATEVALUE(SUBSTITUTE(LEFT(#REF!,SEARCH(" ",#REF!)-1),".","/"))</f>
        <v>#REF!</v>
      </c>
      <c r="G130"/>
      <c r="I130"/>
      <c r="J130"/>
      <c r="K130"/>
    </row>
    <row r="131" spans="1:11" x14ac:dyDescent="0.25">
      <c r="A131"/>
      <c r="B131">
        <f>COUNTA('in progress'!A:A)</f>
        <v>22</v>
      </c>
      <c r="C131" t="e">
        <f xml:space="preserve"> MID(A131,SEARCH(":",A131)+2,SEARCH(":",A131,SEARCH(":",A131)+1)-SEARCH(":",A131)-3)</f>
        <v>#VALUE!</v>
      </c>
      <c r="D131" t="e">
        <f>"partner:"&amp;MID(A131,SEARCH(":",A131)+1,SEARCH(":",A131,SEARCH(":",A131)+1)-SEARCH(":",A131)-1)</f>
        <v>#VALUE!</v>
      </c>
      <c r="F131" s="38" t="e">
        <f>DATEVALUE(SUBSTITUTE(LEFT(#REF!,SEARCH(" ",#REF!)-1),".","/"))</f>
        <v>#REF!</v>
      </c>
      <c r="G131"/>
      <c r="I131"/>
      <c r="J131"/>
      <c r="K131"/>
    </row>
    <row r="132" spans="1:11" x14ac:dyDescent="0.25">
      <c r="A132"/>
      <c r="B132">
        <f>COUNTA('in progress'!A:A)</f>
        <v>22</v>
      </c>
      <c r="C132" t="e">
        <f xml:space="preserve"> MID(A132,SEARCH(":",A132)+2,SEARCH(":",A132,SEARCH(":",A132)+1)-SEARCH(":",A132)-3)</f>
        <v>#VALUE!</v>
      </c>
      <c r="D132" t="e">
        <f>"partner:"&amp;MID(A132,SEARCH(":",A132)+1,SEARCH(":",A132,SEARCH(":",A132)+1)-SEARCH(":",A132)-1)</f>
        <v>#VALUE!</v>
      </c>
      <c r="F132" s="38" t="e">
        <f>DATEVALUE(SUBSTITUTE(LEFT(#REF!,SEARCH(" ",#REF!)-1),".","/"))</f>
        <v>#REF!</v>
      </c>
      <c r="G132"/>
      <c r="I132"/>
      <c r="J132"/>
      <c r="K132"/>
    </row>
    <row r="133" spans="1:11" x14ac:dyDescent="0.25">
      <c r="A133"/>
      <c r="B133">
        <f>COUNTA('in progress'!A:A)</f>
        <v>22</v>
      </c>
      <c r="C133" t="e">
        <f xml:space="preserve"> MID(A133,SEARCH(":",A133)+2,SEARCH(":",A133,SEARCH(":",A133)+1)-SEARCH(":",A133)-3)</f>
        <v>#VALUE!</v>
      </c>
      <c r="D133" t="e">
        <f>"partner:"&amp;MID(A133,SEARCH(":",A133)+1,SEARCH(":",A133,SEARCH(":",A133)+1)-SEARCH(":",A133)-1)</f>
        <v>#VALUE!</v>
      </c>
      <c r="F133" s="38" t="e">
        <f>DATEVALUE(SUBSTITUTE(LEFT(#REF!,SEARCH(" ",#REF!)-1),".","/"))</f>
        <v>#REF!</v>
      </c>
      <c r="G133"/>
      <c r="I133"/>
      <c r="J133"/>
      <c r="K133"/>
    </row>
    <row r="134" spans="1:11" x14ac:dyDescent="0.25">
      <c r="A134"/>
      <c r="B134">
        <f>COUNTA('in progress'!A:A)</f>
        <v>22</v>
      </c>
      <c r="C134" t="e">
        <f xml:space="preserve"> MID(A134,SEARCH(":",A134)+2,SEARCH(":",A134,SEARCH(":",A134)+1)-SEARCH(":",A134)-3)</f>
        <v>#VALUE!</v>
      </c>
      <c r="D134" t="e">
        <f>"partner:"&amp;MID(A134,SEARCH(":",A134)+1,SEARCH(":",A134,SEARCH(":",A134)+1)-SEARCH(":",A134)-1)</f>
        <v>#VALUE!</v>
      </c>
      <c r="F134" s="38" t="e">
        <f>DATEVALUE(SUBSTITUTE(LEFT(#REF!,SEARCH(" ",#REF!)-1),".","/"))</f>
        <v>#REF!</v>
      </c>
      <c r="G134"/>
      <c r="I134"/>
      <c r="J134"/>
      <c r="K134"/>
    </row>
    <row r="135" spans="1:11" x14ac:dyDescent="0.25">
      <c r="A135"/>
      <c r="B135">
        <f>COUNTA('in progress'!A:A)</f>
        <v>22</v>
      </c>
      <c r="C135" t="e">
        <f xml:space="preserve"> MID(A135,SEARCH(":",A135)+2,SEARCH(":",A135,SEARCH(":",A135)+1)-SEARCH(":",A135)-3)</f>
        <v>#VALUE!</v>
      </c>
      <c r="D135" t="e">
        <f>"partner:"&amp;MID(A135,SEARCH(":",A135)+1,SEARCH(":",A135,SEARCH(":",A135)+1)-SEARCH(":",A135)-1)</f>
        <v>#VALUE!</v>
      </c>
      <c r="F135" s="38" t="e">
        <f>DATEVALUE(SUBSTITUTE(LEFT(#REF!,SEARCH(" ",#REF!)-1),".","/"))</f>
        <v>#REF!</v>
      </c>
      <c r="G135"/>
      <c r="I135"/>
      <c r="J135"/>
      <c r="K135"/>
    </row>
    <row r="136" spans="1:11" x14ac:dyDescent="0.25">
      <c r="A136"/>
      <c r="B136">
        <f>COUNTA('in progress'!A:A)</f>
        <v>22</v>
      </c>
      <c r="C136" t="e">
        <f xml:space="preserve"> MID(A136,SEARCH(":",A136)+2,SEARCH(":",A136,SEARCH(":",A136)+1)-SEARCH(":",A136)-3)</f>
        <v>#VALUE!</v>
      </c>
      <c r="D136" t="e">
        <f>"partner:"&amp;MID(A136,SEARCH(":",A136)+1,SEARCH(":",A136,SEARCH(":",A136)+1)-SEARCH(":",A136)-1)</f>
        <v>#VALUE!</v>
      </c>
      <c r="F136" s="38" t="e">
        <f>DATEVALUE(SUBSTITUTE(LEFT(#REF!,SEARCH(" ",#REF!)-1),".","/"))</f>
        <v>#REF!</v>
      </c>
      <c r="G136"/>
      <c r="I136"/>
      <c r="J136"/>
      <c r="K136"/>
    </row>
    <row r="137" spans="1:11" x14ac:dyDescent="0.25">
      <c r="A137"/>
      <c r="B137">
        <f>COUNTA('in progress'!A:A)</f>
        <v>22</v>
      </c>
      <c r="C137" t="e">
        <f xml:space="preserve"> MID(A137,SEARCH(":",A137)+2,SEARCH(":",A137,SEARCH(":",A137)+1)-SEARCH(":",A137)-3)</f>
        <v>#VALUE!</v>
      </c>
      <c r="D137" t="e">
        <f>"partner:"&amp;MID(A137,SEARCH(":",A137)+1,SEARCH(":",A137,SEARCH(":",A137)+1)-SEARCH(":",A137)-1)</f>
        <v>#VALUE!</v>
      </c>
      <c r="F137" s="38" t="e">
        <f>DATEVALUE(SUBSTITUTE(LEFT(#REF!,SEARCH(" ",#REF!)-1),".","/"))</f>
        <v>#REF!</v>
      </c>
      <c r="G137"/>
      <c r="I137"/>
      <c r="J137"/>
      <c r="K137"/>
    </row>
    <row r="138" spans="1:11" x14ac:dyDescent="0.25">
      <c r="A138"/>
      <c r="B138">
        <f>COUNTA('in progress'!A:A)</f>
        <v>22</v>
      </c>
      <c r="C138" t="e">
        <f xml:space="preserve"> MID(A138,SEARCH(":",A138)+2,SEARCH(":",A138,SEARCH(":",A138)+1)-SEARCH(":",A138)-3)</f>
        <v>#VALUE!</v>
      </c>
      <c r="D138" t="e">
        <f>"partner:"&amp;MID(A138,SEARCH(":",A138)+1,SEARCH(":",A138,SEARCH(":",A138)+1)-SEARCH(":",A138)-1)</f>
        <v>#VALUE!</v>
      </c>
      <c r="F138" s="38" t="e">
        <f>DATEVALUE(SUBSTITUTE(LEFT(#REF!,SEARCH(" ",#REF!)-1),".","/"))</f>
        <v>#REF!</v>
      </c>
      <c r="G138"/>
      <c r="I138"/>
      <c r="J138"/>
      <c r="K138"/>
    </row>
    <row r="139" spans="1:11" x14ac:dyDescent="0.25">
      <c r="A139"/>
      <c r="B139">
        <f>COUNTA('in progress'!A:A)</f>
        <v>22</v>
      </c>
      <c r="C139" t="e">
        <f xml:space="preserve"> MID(A139,SEARCH(":",A139)+2,SEARCH(":",A139,SEARCH(":",A139)+1)-SEARCH(":",A139)-3)</f>
        <v>#VALUE!</v>
      </c>
      <c r="D139" t="e">
        <f>"partner:"&amp;MID(A139,SEARCH(":",A139)+1,SEARCH(":",A139,SEARCH(":",A139)+1)-SEARCH(":",A139)-1)</f>
        <v>#VALUE!</v>
      </c>
      <c r="F139" s="38" t="e">
        <f>DATEVALUE(SUBSTITUTE(LEFT(#REF!,SEARCH(" ",#REF!)-1),".","/"))</f>
        <v>#REF!</v>
      </c>
      <c r="G139"/>
      <c r="I139"/>
      <c r="J139"/>
      <c r="K139"/>
    </row>
    <row r="140" spans="1:11" x14ac:dyDescent="0.25">
      <c r="A140"/>
      <c r="B140">
        <f>COUNTA('in progress'!A:A)</f>
        <v>22</v>
      </c>
      <c r="C140" t="e">
        <f xml:space="preserve"> MID(A140,SEARCH(":",A140)+2,SEARCH(":",A140,SEARCH(":",A140)+1)-SEARCH(":",A140)-3)</f>
        <v>#VALUE!</v>
      </c>
      <c r="D140" t="e">
        <f>"partner:"&amp;MID(A140,SEARCH(":",A140)+1,SEARCH(":",A140,SEARCH(":",A140)+1)-SEARCH(":",A140)-1)</f>
        <v>#VALUE!</v>
      </c>
      <c r="F140" s="38" t="e">
        <f>DATEVALUE(SUBSTITUTE(LEFT(#REF!,SEARCH(" ",#REF!)-1),".","/"))</f>
        <v>#REF!</v>
      </c>
      <c r="G140"/>
      <c r="I140"/>
      <c r="J140"/>
      <c r="K140"/>
    </row>
    <row r="141" spans="1:11" x14ac:dyDescent="0.25">
      <c r="A141"/>
      <c r="B141">
        <f>COUNTA('in progress'!A:A)</f>
        <v>22</v>
      </c>
      <c r="C141" t="e">
        <f xml:space="preserve"> MID(A141,SEARCH(":",A141)+2,SEARCH(":",A141,SEARCH(":",A141)+1)-SEARCH(":",A141)-3)</f>
        <v>#VALUE!</v>
      </c>
      <c r="D141" t="e">
        <f>"partner:"&amp;MID(A141,SEARCH(":",A141)+1,SEARCH(":",A141,SEARCH(":",A141)+1)-SEARCH(":",A141)-1)</f>
        <v>#VALUE!</v>
      </c>
      <c r="F141" s="38" t="e">
        <f>DATEVALUE(SUBSTITUTE(LEFT(#REF!,SEARCH(" ",#REF!)-1),".","/"))</f>
        <v>#REF!</v>
      </c>
      <c r="G141"/>
      <c r="I141"/>
      <c r="J141"/>
      <c r="K141"/>
    </row>
    <row r="142" spans="1:11" x14ac:dyDescent="0.25">
      <c r="A142"/>
      <c r="B142">
        <f>COUNTA('in progress'!A:A)</f>
        <v>22</v>
      </c>
      <c r="C142" t="e">
        <f xml:space="preserve"> MID(A142,SEARCH(":",A142)+2,SEARCH(":",A142,SEARCH(":",A142)+1)-SEARCH(":",A142)-3)</f>
        <v>#VALUE!</v>
      </c>
      <c r="D142" t="e">
        <f>"partner:"&amp;MID(A142,SEARCH(":",A142)+1,SEARCH(":",A142,SEARCH(":",A142)+1)-SEARCH(":",A142)-1)</f>
        <v>#VALUE!</v>
      </c>
      <c r="F142" s="38" t="e">
        <f>DATEVALUE(SUBSTITUTE(LEFT(#REF!,SEARCH(" ",#REF!)-1),".","/"))</f>
        <v>#REF!</v>
      </c>
      <c r="G142"/>
      <c r="I142"/>
      <c r="J142"/>
      <c r="K142"/>
    </row>
    <row r="143" spans="1:11" x14ac:dyDescent="0.25">
      <c r="A143"/>
      <c r="B143">
        <f>COUNTA('in progress'!A:A)</f>
        <v>22</v>
      </c>
      <c r="C143" t="e">
        <f xml:space="preserve"> MID(A143,SEARCH(":",A143)+2,SEARCH(":",A143,SEARCH(":",A143)+1)-SEARCH(":",A143)-3)</f>
        <v>#VALUE!</v>
      </c>
      <c r="D143" t="e">
        <f>"partner:"&amp;MID(A143,SEARCH(":",A143)+1,SEARCH(":",A143,SEARCH(":",A143)+1)-SEARCH(":",A143)-1)</f>
        <v>#VALUE!</v>
      </c>
      <c r="F143" s="38" t="e">
        <f>DATEVALUE(SUBSTITUTE(LEFT(#REF!,SEARCH(" ",#REF!)-1),".","/"))</f>
        <v>#REF!</v>
      </c>
      <c r="G143"/>
      <c r="I143"/>
      <c r="J143"/>
      <c r="K143"/>
    </row>
    <row r="144" spans="1:11" x14ac:dyDescent="0.25">
      <c r="A144"/>
      <c r="B144">
        <f>COUNTA('in progress'!A:A)</f>
        <v>22</v>
      </c>
      <c r="C144" t="e">
        <f xml:space="preserve"> MID(A144,SEARCH(":",A144)+2,SEARCH(":",A144,SEARCH(":",A144)+1)-SEARCH(":",A144)-3)</f>
        <v>#VALUE!</v>
      </c>
      <c r="D144" t="e">
        <f>"partner:"&amp;MID(A144,SEARCH(":",A144)+1,SEARCH(":",A144,SEARCH(":",A144)+1)-SEARCH(":",A144)-1)</f>
        <v>#VALUE!</v>
      </c>
      <c r="F144" s="38" t="e">
        <f>DATEVALUE(SUBSTITUTE(LEFT(#REF!,SEARCH(" ",#REF!)-1),".","/"))</f>
        <v>#REF!</v>
      </c>
      <c r="G144"/>
      <c r="I144"/>
      <c r="J144"/>
      <c r="K144"/>
    </row>
    <row r="145" spans="1:11" x14ac:dyDescent="0.25">
      <c r="A145"/>
      <c r="B145">
        <f>COUNTA('in progress'!A:A)</f>
        <v>22</v>
      </c>
      <c r="C145" t="e">
        <f xml:space="preserve"> MID(A145,SEARCH(":",A145)+2,SEARCH(":",A145,SEARCH(":",A145)+1)-SEARCH(":",A145)-3)</f>
        <v>#VALUE!</v>
      </c>
      <c r="D145" t="e">
        <f>"partner:"&amp;MID(A145,SEARCH(":",A145)+1,SEARCH(":",A145,SEARCH(":",A145)+1)-SEARCH(":",A145)-1)</f>
        <v>#VALUE!</v>
      </c>
      <c r="F145" s="38" t="e">
        <f>DATEVALUE(SUBSTITUTE(LEFT(#REF!,SEARCH(" ",#REF!)-1),".","/"))</f>
        <v>#REF!</v>
      </c>
      <c r="G145"/>
      <c r="I145"/>
      <c r="J145"/>
      <c r="K145"/>
    </row>
    <row r="146" spans="1:11" x14ac:dyDescent="0.25">
      <c r="A146"/>
      <c r="B146">
        <f>COUNTA('in progress'!A:A)</f>
        <v>22</v>
      </c>
      <c r="C146" t="e">
        <f xml:space="preserve"> MID(A146,SEARCH(":",A146)+2,SEARCH(":",A146,SEARCH(":",A146)+1)-SEARCH(":",A146)-3)</f>
        <v>#VALUE!</v>
      </c>
      <c r="D146" t="e">
        <f>"partner:"&amp;MID(A146,SEARCH(":",A146)+1,SEARCH(":",A146,SEARCH(":",A146)+1)-SEARCH(":",A146)-1)</f>
        <v>#VALUE!</v>
      </c>
      <c r="F146" s="38" t="e">
        <f>DATEVALUE(SUBSTITUTE(LEFT(#REF!,SEARCH(" ",#REF!)-1),".","/"))</f>
        <v>#REF!</v>
      </c>
      <c r="G146"/>
      <c r="I146"/>
      <c r="J146"/>
      <c r="K146"/>
    </row>
    <row r="147" spans="1:11" x14ac:dyDescent="0.25">
      <c r="A147"/>
      <c r="B147">
        <f>COUNTA('in progress'!A:A)</f>
        <v>22</v>
      </c>
      <c r="C147" t="e">
        <f xml:space="preserve"> MID(A147,SEARCH(":",A147)+2,SEARCH(":",A147,SEARCH(":",A147)+1)-SEARCH(":",A147)-3)</f>
        <v>#VALUE!</v>
      </c>
      <c r="D147" t="e">
        <f>"partner:"&amp;MID(A147,SEARCH(":",A147)+1,SEARCH(":",A147,SEARCH(":",A147)+1)-SEARCH(":",A147)-1)</f>
        <v>#VALUE!</v>
      </c>
      <c r="F147" s="38" t="e">
        <f>DATEVALUE(SUBSTITUTE(LEFT(#REF!,SEARCH(" ",#REF!)-1),".","/"))</f>
        <v>#REF!</v>
      </c>
      <c r="G147"/>
      <c r="I147"/>
      <c r="J147"/>
      <c r="K147"/>
    </row>
    <row r="148" spans="1:11" x14ac:dyDescent="0.25">
      <c r="A148"/>
      <c r="B148">
        <f>COUNTA('in progress'!A:A)</f>
        <v>22</v>
      </c>
      <c r="C148" t="e">
        <f xml:space="preserve"> MID(A148,SEARCH(":",A148)+2,SEARCH(":",A148,SEARCH(":",A148)+1)-SEARCH(":",A148)-3)</f>
        <v>#VALUE!</v>
      </c>
      <c r="D148" t="e">
        <f>"partner:"&amp;MID(A148,SEARCH(":",A148)+1,SEARCH(":",A148,SEARCH(":",A148)+1)-SEARCH(":",A148)-1)</f>
        <v>#VALUE!</v>
      </c>
      <c r="F148" s="38" t="e">
        <f>DATEVALUE(SUBSTITUTE(LEFT(#REF!,SEARCH(" ",#REF!)-1),".","/"))</f>
        <v>#REF!</v>
      </c>
      <c r="G148"/>
      <c r="I148"/>
      <c r="J148"/>
      <c r="K148"/>
    </row>
    <row r="149" spans="1:11" x14ac:dyDescent="0.25">
      <c r="A149"/>
      <c r="B149">
        <f>COUNTA('in progress'!A:A)</f>
        <v>22</v>
      </c>
      <c r="C149" t="e">
        <f xml:space="preserve"> MID(A149,SEARCH(":",A149)+2,SEARCH(":",A149,SEARCH(":",A149)+1)-SEARCH(":",A149)-3)</f>
        <v>#VALUE!</v>
      </c>
      <c r="D149" t="e">
        <f>"partner:"&amp;MID(A149,SEARCH(":",A149)+1,SEARCH(":",A149,SEARCH(":",A149)+1)-SEARCH(":",A149)-1)</f>
        <v>#VALUE!</v>
      </c>
      <c r="F149" s="38" t="e">
        <f>DATEVALUE(SUBSTITUTE(LEFT(#REF!,SEARCH(" ",#REF!)-1),".","/"))</f>
        <v>#REF!</v>
      </c>
      <c r="G149"/>
      <c r="I149"/>
      <c r="J149"/>
      <c r="K149"/>
    </row>
    <row r="150" spans="1:11" x14ac:dyDescent="0.25">
      <c r="A150"/>
      <c r="B150">
        <f>COUNTA('in progress'!A:A)</f>
        <v>22</v>
      </c>
      <c r="C150" t="e">
        <f xml:space="preserve"> MID(A150,SEARCH(":",A150)+2,SEARCH(":",A150,SEARCH(":",A150)+1)-SEARCH(":",A150)-3)</f>
        <v>#VALUE!</v>
      </c>
      <c r="D150" t="e">
        <f>"partner:"&amp;MID(A150,SEARCH(":",A150)+1,SEARCH(":",A150,SEARCH(":",A150)+1)-SEARCH(":",A150)-1)</f>
        <v>#VALUE!</v>
      </c>
      <c r="F150" s="38" t="e">
        <f>DATEVALUE(SUBSTITUTE(LEFT(#REF!,SEARCH(" ",#REF!)-1),".","/"))</f>
        <v>#REF!</v>
      </c>
      <c r="G150"/>
      <c r="I150"/>
      <c r="J150"/>
      <c r="K150"/>
    </row>
    <row r="151" spans="1:11" x14ac:dyDescent="0.25">
      <c r="A151"/>
      <c r="B151">
        <f>COUNTA('in progress'!A:A)</f>
        <v>22</v>
      </c>
      <c r="C151" t="e">
        <f xml:space="preserve"> MID(A151,SEARCH(":",A151)+2,SEARCH(":",A151,SEARCH(":",A151)+1)-SEARCH(":",A151)-3)</f>
        <v>#VALUE!</v>
      </c>
      <c r="D151" t="e">
        <f>"partner:"&amp;MID(A151,SEARCH(":",A151)+1,SEARCH(":",A151,SEARCH(":",A151)+1)-SEARCH(":",A151)-1)</f>
        <v>#VALUE!</v>
      </c>
      <c r="F151" s="38" t="e">
        <f>DATEVALUE(SUBSTITUTE(LEFT(#REF!,SEARCH(" ",#REF!)-1),".","/"))</f>
        <v>#REF!</v>
      </c>
      <c r="G151"/>
      <c r="I151"/>
      <c r="J151"/>
      <c r="K151"/>
    </row>
    <row r="152" spans="1:11" x14ac:dyDescent="0.25">
      <c r="A152"/>
      <c r="B152">
        <f>COUNTA('in progress'!A:A)</f>
        <v>22</v>
      </c>
      <c r="C152" t="e">
        <f xml:space="preserve"> MID(A152,SEARCH(":",A152)+2,SEARCH(":",A152,SEARCH(":",A152)+1)-SEARCH(":",A152)-3)</f>
        <v>#VALUE!</v>
      </c>
      <c r="D152" t="e">
        <f>"partner:"&amp;MID(A152,SEARCH(":",A152)+1,SEARCH(":",A152,SEARCH(":",A152)+1)-SEARCH(":",A152)-1)</f>
        <v>#VALUE!</v>
      </c>
      <c r="F152" s="38" t="e">
        <f>DATEVALUE(SUBSTITUTE(LEFT(#REF!,SEARCH(" ",#REF!)-1),".","/"))</f>
        <v>#REF!</v>
      </c>
      <c r="G152"/>
      <c r="I152"/>
      <c r="J152"/>
      <c r="K152"/>
    </row>
    <row r="153" spans="1:11" x14ac:dyDescent="0.25">
      <c r="A153"/>
      <c r="B153">
        <f>COUNTA('in progress'!A:A)</f>
        <v>22</v>
      </c>
      <c r="C153" t="e">
        <f xml:space="preserve"> MID(A153,SEARCH(":",A153)+2,SEARCH(":",A153,SEARCH(":",A153)+1)-SEARCH(":",A153)-3)</f>
        <v>#VALUE!</v>
      </c>
      <c r="D153" t="e">
        <f>"partner:"&amp;MID(A153,SEARCH(":",A153)+1,SEARCH(":",A153,SEARCH(":",A153)+1)-SEARCH(":",A153)-1)</f>
        <v>#VALUE!</v>
      </c>
      <c r="F153" s="38" t="e">
        <f>DATEVALUE(SUBSTITUTE(LEFT(#REF!,SEARCH(" ",#REF!)-1),".","/"))</f>
        <v>#REF!</v>
      </c>
      <c r="G153"/>
      <c r="I153"/>
      <c r="J153"/>
      <c r="K153"/>
    </row>
    <row r="154" spans="1:11" x14ac:dyDescent="0.25">
      <c r="A154"/>
      <c r="B154">
        <f>COUNTA('in progress'!A:A)</f>
        <v>22</v>
      </c>
      <c r="C154" t="e">
        <f xml:space="preserve"> MID(A154,SEARCH(":",A154)+2,SEARCH(":",A154,SEARCH(":",A154)+1)-SEARCH(":",A154)-3)</f>
        <v>#VALUE!</v>
      </c>
      <c r="D154" t="e">
        <f>"partner:"&amp;MID(A154,SEARCH(":",A154)+1,SEARCH(":",A154,SEARCH(":",A154)+1)-SEARCH(":",A154)-1)</f>
        <v>#VALUE!</v>
      </c>
      <c r="F154" s="38" t="e">
        <f>DATEVALUE(SUBSTITUTE(LEFT(#REF!,SEARCH(" ",#REF!)-1),".","/"))</f>
        <v>#REF!</v>
      </c>
      <c r="G154"/>
      <c r="I154"/>
      <c r="J154"/>
      <c r="K154"/>
    </row>
    <row r="155" spans="1:11" x14ac:dyDescent="0.25">
      <c r="A155"/>
      <c r="B155">
        <f>COUNTA('in progress'!A:A)</f>
        <v>22</v>
      </c>
      <c r="C155" t="e">
        <f xml:space="preserve"> MID(A155,SEARCH(":",A155)+2,SEARCH(":",A155,SEARCH(":",A155)+1)-SEARCH(":",A155)-3)</f>
        <v>#VALUE!</v>
      </c>
      <c r="D155" t="e">
        <f>"partner:"&amp;MID(A155,SEARCH(":",A155)+1,SEARCH(":",A155,SEARCH(":",A155)+1)-SEARCH(":",A155)-1)</f>
        <v>#VALUE!</v>
      </c>
      <c r="F155" s="38" t="e">
        <f>DATEVALUE(SUBSTITUTE(LEFT(#REF!,SEARCH(" ",#REF!)-1),".","/"))</f>
        <v>#REF!</v>
      </c>
      <c r="G155"/>
      <c r="I155"/>
      <c r="J155"/>
      <c r="K155"/>
    </row>
    <row r="156" spans="1:11" x14ac:dyDescent="0.25">
      <c r="A156"/>
      <c r="B156">
        <f>COUNTA('in progress'!A:A)</f>
        <v>22</v>
      </c>
      <c r="C156" t="e">
        <f xml:space="preserve"> MID(A156,SEARCH(":",A156)+2,SEARCH(":",A156,SEARCH(":",A156)+1)-SEARCH(":",A156)-3)</f>
        <v>#VALUE!</v>
      </c>
      <c r="D156" t="e">
        <f>"partner:"&amp;MID(A156,SEARCH(":",A156)+1,SEARCH(":",A156,SEARCH(":",A156)+1)-SEARCH(":",A156)-1)</f>
        <v>#VALUE!</v>
      </c>
      <c r="F156" s="38" t="e">
        <f>DATEVALUE(SUBSTITUTE(LEFT(#REF!,SEARCH(" ",#REF!)-1),".","/"))</f>
        <v>#REF!</v>
      </c>
      <c r="G156"/>
      <c r="I156"/>
      <c r="J156"/>
      <c r="K156"/>
    </row>
    <row r="157" spans="1:11" x14ac:dyDescent="0.25">
      <c r="A157"/>
      <c r="B157">
        <f>COUNTA('in progress'!A:A)</f>
        <v>22</v>
      </c>
      <c r="C157" t="e">
        <f xml:space="preserve"> MID(A157,SEARCH(":",A157)+2,SEARCH(":",A157,SEARCH(":",A157)+1)-SEARCH(":",A157)-3)</f>
        <v>#VALUE!</v>
      </c>
      <c r="D157" t="e">
        <f>"partner:"&amp;MID(A157,SEARCH(":",A157)+1,SEARCH(":",A157,SEARCH(":",A157)+1)-SEARCH(":",A157)-1)</f>
        <v>#VALUE!</v>
      </c>
      <c r="F157" s="38" t="e">
        <f>DATEVALUE(SUBSTITUTE(LEFT(#REF!,SEARCH(" ",#REF!)-1),".","/"))</f>
        <v>#REF!</v>
      </c>
      <c r="G157"/>
      <c r="I157"/>
      <c r="J157"/>
      <c r="K157"/>
    </row>
    <row r="158" spans="1:11" x14ac:dyDescent="0.25">
      <c r="A158"/>
      <c r="B158">
        <f>COUNTA('in progress'!A:A)</f>
        <v>22</v>
      </c>
      <c r="C158" t="e">
        <f xml:space="preserve"> MID(A158,SEARCH(":",A158)+2,SEARCH(":",A158,SEARCH(":",A158)+1)-SEARCH(":",A158)-3)</f>
        <v>#VALUE!</v>
      </c>
      <c r="D158" t="e">
        <f>"partner:"&amp;MID(A158,SEARCH(":",A158)+1,SEARCH(":",A158,SEARCH(":",A158)+1)-SEARCH(":",A158)-1)</f>
        <v>#VALUE!</v>
      </c>
      <c r="F158" s="38" t="e">
        <f>DATEVALUE(SUBSTITUTE(LEFT(#REF!,SEARCH(" ",#REF!)-1),".","/"))</f>
        <v>#REF!</v>
      </c>
      <c r="G158"/>
      <c r="I158"/>
      <c r="J158"/>
      <c r="K158"/>
    </row>
    <row r="159" spans="1:11" x14ac:dyDescent="0.25">
      <c r="A159"/>
      <c r="B159">
        <f>COUNTA('in progress'!A:A)</f>
        <v>22</v>
      </c>
      <c r="C159" t="e">
        <f xml:space="preserve"> MID(A159,SEARCH(":",A159)+2,SEARCH(":",A159,SEARCH(":",A159)+1)-SEARCH(":",A159)-3)</f>
        <v>#VALUE!</v>
      </c>
      <c r="D159" t="e">
        <f>"partner:"&amp;MID(A159,SEARCH(":",A159)+1,SEARCH(":",A159,SEARCH(":",A159)+1)-SEARCH(":",A159)-1)</f>
        <v>#VALUE!</v>
      </c>
      <c r="F159" s="38" t="e">
        <f>DATEVALUE(SUBSTITUTE(LEFT(#REF!,SEARCH(" ",#REF!)-1),".","/"))</f>
        <v>#REF!</v>
      </c>
      <c r="G159"/>
      <c r="I159"/>
      <c r="J159"/>
      <c r="K159"/>
    </row>
    <row r="160" spans="1:11" x14ac:dyDescent="0.25">
      <c r="A160"/>
      <c r="B160">
        <f>COUNTA('in progress'!A:A)</f>
        <v>22</v>
      </c>
      <c r="C160" t="e">
        <f xml:space="preserve"> MID(A160,SEARCH(":",A160)+2,SEARCH(":",A160,SEARCH(":",A160)+1)-SEARCH(":",A160)-3)</f>
        <v>#VALUE!</v>
      </c>
      <c r="D160" t="e">
        <f>"partner:"&amp;MID(A160,SEARCH(":",A160)+1,SEARCH(":",A160,SEARCH(":",A160)+1)-SEARCH(":",A160)-1)</f>
        <v>#VALUE!</v>
      </c>
      <c r="F160" s="38" t="e">
        <f>DATEVALUE(SUBSTITUTE(LEFT(#REF!,SEARCH(" ",#REF!)-1),".","/"))</f>
        <v>#REF!</v>
      </c>
      <c r="G160"/>
      <c r="I160"/>
      <c r="J160"/>
      <c r="K160"/>
    </row>
    <row r="161" spans="1:11" x14ac:dyDescent="0.25">
      <c r="A161"/>
      <c r="B161">
        <f>COUNTA('in progress'!A:A)</f>
        <v>22</v>
      </c>
      <c r="C161" t="e">
        <f xml:space="preserve"> MID(A161,SEARCH(":",A161)+2,SEARCH(":",A161,SEARCH(":",A161)+1)-SEARCH(":",A161)-3)</f>
        <v>#VALUE!</v>
      </c>
      <c r="D161" t="e">
        <f>"partner:"&amp;MID(A161,SEARCH(":",A161)+1,SEARCH(":",A161,SEARCH(":",A161)+1)-SEARCH(":",A161)-1)</f>
        <v>#VALUE!</v>
      </c>
      <c r="F161" s="38" t="e">
        <f>DATEVALUE(SUBSTITUTE(LEFT(#REF!,SEARCH(" ",#REF!)-1),".","/"))</f>
        <v>#REF!</v>
      </c>
      <c r="G161"/>
      <c r="I161"/>
      <c r="J161"/>
      <c r="K161"/>
    </row>
    <row r="162" spans="1:11" x14ac:dyDescent="0.25">
      <c r="A162"/>
      <c r="B162">
        <f>COUNTA('in progress'!A:A)</f>
        <v>22</v>
      </c>
      <c r="C162" t="e">
        <f xml:space="preserve"> MID(A162,SEARCH(":",A162)+2,SEARCH(":",A162,SEARCH(":",A162)+1)-SEARCH(":",A162)-3)</f>
        <v>#VALUE!</v>
      </c>
      <c r="D162" t="e">
        <f>"partner:"&amp;MID(A162,SEARCH(":",A162)+1,SEARCH(":",A162,SEARCH(":",A162)+1)-SEARCH(":",A162)-1)</f>
        <v>#VALUE!</v>
      </c>
      <c r="F162" s="38" t="e">
        <f>DATEVALUE(SUBSTITUTE(LEFT(#REF!,SEARCH(" ",#REF!)-1),".","/"))</f>
        <v>#REF!</v>
      </c>
      <c r="G162"/>
      <c r="I162"/>
      <c r="J162"/>
      <c r="K162"/>
    </row>
    <row r="163" spans="1:11" x14ac:dyDescent="0.25">
      <c r="A163"/>
      <c r="B163">
        <f>COUNTA('in progress'!A:A)</f>
        <v>22</v>
      </c>
      <c r="C163" t="e">
        <f xml:space="preserve"> MID(A163,SEARCH(":",A163)+2,SEARCH(":",A163,SEARCH(":",A163)+1)-SEARCH(":",A163)-3)</f>
        <v>#VALUE!</v>
      </c>
      <c r="D163" t="e">
        <f>"partner:"&amp;MID(A163,SEARCH(":",A163)+1,SEARCH(":",A163,SEARCH(":",A163)+1)-SEARCH(":",A163)-1)</f>
        <v>#VALUE!</v>
      </c>
      <c r="F163" s="38" t="e">
        <f>DATEVALUE(SUBSTITUTE(LEFT(#REF!,SEARCH(" ",#REF!)-1),".","/"))</f>
        <v>#REF!</v>
      </c>
      <c r="G163"/>
      <c r="I163"/>
      <c r="J163"/>
      <c r="K163"/>
    </row>
    <row r="164" spans="1:11" x14ac:dyDescent="0.25">
      <c r="A164"/>
      <c r="B164">
        <f>COUNTA('in progress'!A:A)</f>
        <v>22</v>
      </c>
      <c r="C164" t="e">
        <f xml:space="preserve"> MID(A164,SEARCH(":",A164)+2,SEARCH(":",A164,SEARCH(":",A164)+1)-SEARCH(":",A164)-3)</f>
        <v>#VALUE!</v>
      </c>
      <c r="D164" t="e">
        <f>"partner:"&amp;MID(A164,SEARCH(":",A164)+1,SEARCH(":",A164,SEARCH(":",A164)+1)-SEARCH(":",A164)-1)</f>
        <v>#VALUE!</v>
      </c>
      <c r="F164" s="38" t="e">
        <f>DATEVALUE(SUBSTITUTE(LEFT(#REF!,SEARCH(" ",#REF!)-1),".","/"))</f>
        <v>#REF!</v>
      </c>
      <c r="G164"/>
      <c r="I164"/>
      <c r="J164"/>
      <c r="K164"/>
    </row>
    <row r="165" spans="1:11" x14ac:dyDescent="0.25">
      <c r="A165"/>
      <c r="B165">
        <f>COUNTA('in progress'!A:A)</f>
        <v>22</v>
      </c>
      <c r="C165" t="e">
        <f xml:space="preserve"> MID(A165,SEARCH(":",A165)+2,SEARCH(":",A165,SEARCH(":",A165)+1)-SEARCH(":",A165)-3)</f>
        <v>#VALUE!</v>
      </c>
      <c r="D165" t="e">
        <f>"partner:"&amp;MID(A165,SEARCH(":",A165)+1,SEARCH(":",A165,SEARCH(":",A165)+1)-SEARCH(":",A165)-1)</f>
        <v>#VALUE!</v>
      </c>
      <c r="F165" s="38" t="e">
        <f>DATEVALUE(SUBSTITUTE(LEFT(#REF!,SEARCH(" ",#REF!)-1),".","/"))</f>
        <v>#REF!</v>
      </c>
      <c r="G165"/>
      <c r="I165"/>
      <c r="J165"/>
      <c r="K165"/>
    </row>
    <row r="166" spans="1:11" x14ac:dyDescent="0.25">
      <c r="A166"/>
      <c r="B166">
        <f>COUNTA('in progress'!A:A)</f>
        <v>22</v>
      </c>
      <c r="C166" t="e">
        <f xml:space="preserve"> MID(A166,SEARCH(":",A166)+2,SEARCH(":",A166,SEARCH(":",A166)+1)-SEARCH(":",A166)-3)</f>
        <v>#VALUE!</v>
      </c>
      <c r="D166" t="e">
        <f>"partner:"&amp;MID(A166,SEARCH(":",A166)+1,SEARCH(":",A166,SEARCH(":",A166)+1)-SEARCH(":",A166)-1)</f>
        <v>#VALUE!</v>
      </c>
      <c r="F166" s="38" t="e">
        <f>DATEVALUE(SUBSTITUTE(LEFT(#REF!,SEARCH(" ",#REF!)-1),".","/"))</f>
        <v>#REF!</v>
      </c>
      <c r="G166"/>
      <c r="I166"/>
      <c r="J166"/>
      <c r="K166"/>
    </row>
    <row r="167" spans="1:11" x14ac:dyDescent="0.25">
      <c r="A167"/>
      <c r="B167">
        <f>COUNTA('in progress'!A:A)</f>
        <v>22</v>
      </c>
      <c r="C167" t="e">
        <f xml:space="preserve"> MID(A167,SEARCH(":",A167)+2,SEARCH(":",A167,SEARCH(":",A167)+1)-SEARCH(":",A167)-3)</f>
        <v>#VALUE!</v>
      </c>
      <c r="D167" t="e">
        <f>"partner:"&amp;MID(A167,SEARCH(":",A167)+1,SEARCH(":",A167,SEARCH(":",A167)+1)-SEARCH(":",A167)-1)</f>
        <v>#VALUE!</v>
      </c>
      <c r="F167" s="38" t="e">
        <f>DATEVALUE(SUBSTITUTE(LEFT(#REF!,SEARCH(" ",#REF!)-1),".","/"))</f>
        <v>#REF!</v>
      </c>
      <c r="G167"/>
      <c r="I167"/>
      <c r="J167"/>
      <c r="K167"/>
    </row>
    <row r="168" spans="1:11" x14ac:dyDescent="0.25">
      <c r="A168"/>
      <c r="B168">
        <f>COUNTA('in progress'!A:A)</f>
        <v>22</v>
      </c>
      <c r="C168" t="e">
        <f xml:space="preserve"> MID(A168,SEARCH(":",A168)+2,SEARCH(":",A168,SEARCH(":",A168)+1)-SEARCH(":",A168)-3)</f>
        <v>#VALUE!</v>
      </c>
      <c r="D168" t="e">
        <f>"partner:"&amp;MID(A168,SEARCH(":",A168)+1,SEARCH(":",A168,SEARCH(":",A168)+1)-SEARCH(":",A168)-1)</f>
        <v>#VALUE!</v>
      </c>
      <c r="F168" s="38" t="e">
        <f>DATEVALUE(SUBSTITUTE(LEFT(#REF!,SEARCH(" ",#REF!)-1),".","/"))</f>
        <v>#REF!</v>
      </c>
      <c r="G168"/>
      <c r="I168"/>
      <c r="J168"/>
      <c r="K168"/>
    </row>
    <row r="169" spans="1:11" x14ac:dyDescent="0.25">
      <c r="A169"/>
      <c r="B169">
        <f>COUNTA('in progress'!A:A)</f>
        <v>22</v>
      </c>
      <c r="C169" t="e">
        <f xml:space="preserve"> MID(A169,SEARCH(":",A169)+2,SEARCH(":",A169,SEARCH(":",A169)+1)-SEARCH(":",A169)-3)</f>
        <v>#VALUE!</v>
      </c>
      <c r="D169" t="e">
        <f>"partner:"&amp;MID(A169,SEARCH(":",A169)+1,SEARCH(":",A169,SEARCH(":",A169)+1)-SEARCH(":",A169)-1)</f>
        <v>#VALUE!</v>
      </c>
      <c r="F169" s="38" t="e">
        <f>DATEVALUE(SUBSTITUTE(LEFT(#REF!,SEARCH(" ",#REF!)-1),".","/"))</f>
        <v>#REF!</v>
      </c>
      <c r="G169"/>
      <c r="I169"/>
      <c r="J169"/>
      <c r="K169"/>
    </row>
    <row r="170" spans="1:11" x14ac:dyDescent="0.25">
      <c r="A170"/>
      <c r="B170">
        <f>COUNTA('in progress'!A:A)</f>
        <v>22</v>
      </c>
      <c r="C170" t="e">
        <f xml:space="preserve"> MID(A170,SEARCH(":",A170)+2,SEARCH(":",A170,SEARCH(":",A170)+1)-SEARCH(":",A170)-3)</f>
        <v>#VALUE!</v>
      </c>
      <c r="D170" t="e">
        <f>"partner:"&amp;MID(A170,SEARCH(":",A170)+1,SEARCH(":",A170,SEARCH(":",A170)+1)-SEARCH(":",A170)-1)</f>
        <v>#VALUE!</v>
      </c>
      <c r="F170" s="38" t="e">
        <f>DATEVALUE(SUBSTITUTE(LEFT(#REF!,SEARCH(" ",#REF!)-1),".","/"))</f>
        <v>#REF!</v>
      </c>
      <c r="G170"/>
      <c r="I170"/>
      <c r="J170"/>
      <c r="K170"/>
    </row>
    <row r="171" spans="1:11" x14ac:dyDescent="0.25">
      <c r="A171"/>
      <c r="B171">
        <f>COUNTA('in progress'!A:A)</f>
        <v>22</v>
      </c>
      <c r="C171" t="e">
        <f xml:space="preserve"> MID(A171,SEARCH(":",A171)+2,SEARCH(":",A171,SEARCH(":",A171)+1)-SEARCH(":",A171)-3)</f>
        <v>#VALUE!</v>
      </c>
      <c r="D171" t="e">
        <f>"partner:"&amp;MID(A171,SEARCH(":",A171)+1,SEARCH(":",A171,SEARCH(":",A171)+1)-SEARCH(":",A171)-1)</f>
        <v>#VALUE!</v>
      </c>
      <c r="F171" s="38" t="e">
        <f>DATEVALUE(SUBSTITUTE(LEFT(#REF!,SEARCH(" ",#REF!)-1),".","/"))</f>
        <v>#REF!</v>
      </c>
      <c r="G171"/>
      <c r="I171"/>
      <c r="J171"/>
      <c r="K171"/>
    </row>
    <row r="172" spans="1:11" x14ac:dyDescent="0.25">
      <c r="A172"/>
      <c r="B172">
        <f>COUNTA('in progress'!A:A)</f>
        <v>22</v>
      </c>
      <c r="C172" t="e">
        <f xml:space="preserve"> MID(A172,SEARCH(":",A172)+2,SEARCH(":",A172,SEARCH(":",A172)+1)-SEARCH(":",A172)-3)</f>
        <v>#VALUE!</v>
      </c>
      <c r="D172" t="e">
        <f>"partner:"&amp;MID(A172,SEARCH(":",A172)+1,SEARCH(":",A172,SEARCH(":",A172)+1)-SEARCH(":",A172)-1)</f>
        <v>#VALUE!</v>
      </c>
      <c r="F172" s="38" t="e">
        <f>DATEVALUE(SUBSTITUTE(LEFT(#REF!,SEARCH(" ",#REF!)-1),".","/"))</f>
        <v>#REF!</v>
      </c>
      <c r="G172"/>
      <c r="I172"/>
      <c r="J172"/>
      <c r="K172"/>
    </row>
    <row r="173" spans="1:11" x14ac:dyDescent="0.25">
      <c r="A173"/>
      <c r="B173">
        <f>COUNTA('in progress'!A:A)</f>
        <v>22</v>
      </c>
      <c r="C173" t="e">
        <f xml:space="preserve"> MID(A173,SEARCH(":",A173)+2,SEARCH(":",A173,SEARCH(":",A173)+1)-SEARCH(":",A173)-3)</f>
        <v>#VALUE!</v>
      </c>
      <c r="D173" t="e">
        <f>"partner:"&amp;MID(A173,SEARCH(":",A173)+1,SEARCH(":",A173,SEARCH(":",A173)+1)-SEARCH(":",A173)-1)</f>
        <v>#VALUE!</v>
      </c>
      <c r="F173" s="38" t="e">
        <f>DATEVALUE(SUBSTITUTE(LEFT(#REF!,SEARCH(" ",#REF!)-1),".","/"))</f>
        <v>#REF!</v>
      </c>
      <c r="G173"/>
      <c r="I173"/>
      <c r="J173"/>
      <c r="K173"/>
    </row>
  </sheetData>
  <phoneticPr fontId="10" type="noConversion"/>
  <conditionalFormatting sqref="E1:E1048576">
    <cfRule type="expression" dxfId="74" priority="1">
      <formula>ISBLANK(E1)</formula>
    </cfRule>
  </conditionalFormatting>
  <conditionalFormatting sqref="G174:G1048576 F1:F173">
    <cfRule type="expression" dxfId="73" priority="12">
      <formula>TODAY()-F1&gt;=7</formula>
    </cfRule>
    <cfRule type="expression" dxfId="72" priority="26">
      <formula>TODAY()-F1&gt;=5</formula>
    </cfRule>
    <cfRule type="expression" dxfId="71" priority="27">
      <formula>TODAY()-F1&gt;=3</formula>
    </cfRule>
  </conditionalFormatting>
  <hyperlinks>
    <hyperlink ref="G16" r:id="rId1" display="mailto:rebeccab@purecountry.com" xr:uid="{00000000-0004-0000-0000-000000000000}"/>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36"/>
  <sheetViews>
    <sheetView topLeftCell="H1" zoomScaleNormal="100" workbookViewId="0">
      <selection activeCell="N1" sqref="N1:Z1"/>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47</v>
      </c>
      <c r="C1" s="1" t="s">
        <v>121</v>
      </c>
      <c r="D1" s="15" t="s">
        <v>43</v>
      </c>
      <c r="E1" s="6" t="s">
        <v>12</v>
      </c>
      <c r="F1" s="1" t="s">
        <v>13</v>
      </c>
      <c r="G1" s="1" t="s">
        <v>14</v>
      </c>
      <c r="H1" s="10" t="s">
        <v>40</v>
      </c>
      <c r="I1" s="1" t="s">
        <v>36</v>
      </c>
      <c r="J1" s="1" t="s">
        <v>37</v>
      </c>
      <c r="K1" s="1" t="s">
        <v>38</v>
      </c>
      <c r="L1" s="1" t="s">
        <v>39</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s="27"/>
      <c r="B2" s="27"/>
      <c r="C2" s="27"/>
      <c r="D2" s="25"/>
      <c r="E2" s="20"/>
      <c r="F2" s="16"/>
      <c r="G2" s="16"/>
      <c r="H2" s="22"/>
      <c r="I2" s="16"/>
      <c r="J2" s="16"/>
      <c r="K2" s="16"/>
      <c r="L2" s="16"/>
      <c r="M2" s="16"/>
      <c r="N2" s="16"/>
      <c r="O2" s="16"/>
      <c r="P2" s="16"/>
      <c r="Q2" s="16"/>
      <c r="R2" s="16"/>
      <c r="S2" s="16"/>
      <c r="T2" s="16"/>
      <c r="U2" s="16"/>
      <c r="V2" s="16"/>
      <c r="W2" s="16"/>
      <c r="X2" s="16"/>
      <c r="Y2" s="16"/>
      <c r="Z2" s="16"/>
    </row>
    <row r="3" spans="1:26" x14ac:dyDescent="0.25">
      <c r="A3" s="27"/>
      <c r="B3" s="15"/>
      <c r="C3" s="15"/>
      <c r="D3" s="1"/>
      <c r="E3" s="20"/>
      <c r="F3" s="15"/>
      <c r="G3" s="15"/>
      <c r="H3" s="21"/>
      <c r="I3" s="15"/>
      <c r="J3" s="15"/>
      <c r="K3" s="15"/>
      <c r="L3" s="15"/>
      <c r="M3" s="15"/>
      <c r="N3" s="15"/>
      <c r="O3" s="15"/>
      <c r="P3" s="15"/>
      <c r="Q3" s="15"/>
      <c r="R3" s="15"/>
      <c r="S3" s="15"/>
      <c r="T3" s="15"/>
      <c r="U3" s="15"/>
      <c r="V3" s="15"/>
      <c r="W3" s="15"/>
      <c r="X3" s="15"/>
      <c r="Y3" s="15"/>
      <c r="Z3" s="15"/>
    </row>
    <row r="4" spans="1:26" x14ac:dyDescent="0.25">
      <c r="A4" s="27"/>
      <c r="B4" s="16"/>
      <c r="C4" s="15"/>
      <c r="D4" s="1"/>
      <c r="E4" s="20"/>
      <c r="F4" s="15"/>
      <c r="G4" s="15"/>
      <c r="H4" s="21"/>
      <c r="I4" s="15"/>
      <c r="J4" s="15"/>
      <c r="K4" s="15"/>
      <c r="L4" s="15"/>
      <c r="M4" s="15"/>
      <c r="N4" s="15"/>
      <c r="O4" s="15"/>
      <c r="P4" s="15"/>
      <c r="Q4" s="15"/>
      <c r="R4" s="15"/>
      <c r="S4" s="15"/>
      <c r="T4" s="15"/>
      <c r="U4" s="15"/>
      <c r="V4" s="15"/>
      <c r="W4" s="15"/>
      <c r="X4" s="15"/>
      <c r="Y4" s="15"/>
      <c r="Z4" s="15"/>
    </row>
    <row r="5" spans="1:26" s="1" customFormat="1" x14ac:dyDescent="0.25">
      <c r="A5" s="27"/>
      <c r="B5" s="15"/>
      <c r="C5" s="15"/>
      <c r="E5" s="20"/>
      <c r="F5"/>
      <c r="G5" s="15"/>
      <c r="H5" s="21"/>
      <c r="I5" s="15"/>
      <c r="J5" s="15"/>
      <c r="K5" s="15"/>
      <c r="L5" s="15"/>
      <c r="M5" s="15"/>
      <c r="N5" s="15"/>
      <c r="O5" s="15"/>
      <c r="P5" s="15"/>
      <c r="Q5" s="15"/>
      <c r="R5" s="15"/>
      <c r="S5" s="15"/>
      <c r="T5" s="15"/>
      <c r="U5" s="15"/>
      <c r="V5" s="15"/>
      <c r="W5" s="15"/>
      <c r="X5" s="15"/>
      <c r="Y5" s="15"/>
      <c r="Z5" s="15"/>
    </row>
    <row r="6" spans="1:26" x14ac:dyDescent="0.25">
      <c r="A6" s="27"/>
      <c r="B6" s="15"/>
      <c r="C6" s="15"/>
      <c r="D6" s="15"/>
      <c r="E6" s="20"/>
      <c r="G6" s="15"/>
      <c r="H6" s="21"/>
      <c r="I6" s="15"/>
      <c r="J6" s="15"/>
      <c r="K6" s="15"/>
      <c r="L6" s="15"/>
      <c r="M6" s="15"/>
      <c r="N6" s="15"/>
      <c r="O6" s="15"/>
      <c r="P6" s="15"/>
      <c r="Q6" s="15"/>
      <c r="R6" s="15"/>
      <c r="S6" s="15"/>
      <c r="T6" s="15"/>
      <c r="U6" s="15"/>
      <c r="V6" s="15"/>
      <c r="W6" s="15"/>
      <c r="X6" s="15"/>
      <c r="Y6" s="15"/>
      <c r="Z6" s="15"/>
    </row>
    <row r="7" spans="1:26" s="13" customFormat="1" x14ac:dyDescent="0.25">
      <c r="A7" s="27"/>
      <c r="B7" s="15"/>
      <c r="C7" s="15"/>
      <c r="D7" s="1"/>
      <c r="E7" s="20"/>
      <c r="F7"/>
      <c r="G7" s="15"/>
      <c r="H7" s="21"/>
      <c r="I7" s="15"/>
      <c r="J7" s="15"/>
      <c r="K7" s="15"/>
      <c r="L7" s="15"/>
      <c r="M7" s="15"/>
      <c r="N7" s="15"/>
      <c r="O7" s="15"/>
      <c r="P7" s="15"/>
      <c r="Q7" s="15"/>
      <c r="R7" s="15"/>
      <c r="S7" s="15"/>
      <c r="T7" s="15"/>
      <c r="U7" s="15"/>
      <c r="V7" s="15"/>
      <c r="W7" s="15"/>
      <c r="X7" s="15"/>
      <c r="Y7" s="15"/>
      <c r="Z7" s="15"/>
    </row>
    <row r="8" spans="1:26" s="5" customFormat="1" x14ac:dyDescent="0.25">
      <c r="A8" s="27"/>
      <c r="B8" s="16"/>
      <c r="C8" s="16"/>
      <c r="D8" s="25"/>
      <c r="E8" s="20"/>
      <c r="F8" s="16"/>
      <c r="G8" s="16"/>
      <c r="H8" s="22"/>
      <c r="I8" s="16"/>
      <c r="J8" s="16"/>
      <c r="K8" s="16"/>
      <c r="L8" s="16"/>
      <c r="M8" s="16"/>
      <c r="N8" s="16"/>
      <c r="O8" s="16"/>
      <c r="P8" s="16"/>
      <c r="Q8" s="16"/>
      <c r="R8" s="16"/>
      <c r="S8" s="16"/>
      <c r="T8" s="16"/>
      <c r="U8" s="16"/>
      <c r="V8" s="16"/>
      <c r="W8" s="16"/>
      <c r="X8" s="16"/>
      <c r="Y8" s="16"/>
      <c r="Z8" s="16"/>
    </row>
    <row r="9" spans="1:26" x14ac:dyDescent="0.25">
      <c r="A9" s="27"/>
      <c r="B9" s="15"/>
      <c r="C9" s="15"/>
      <c r="D9" s="15"/>
      <c r="E9" s="20"/>
      <c r="G9" s="15"/>
      <c r="H9" s="21"/>
      <c r="I9" s="15"/>
      <c r="J9" s="15"/>
      <c r="K9" s="15"/>
      <c r="L9" s="15"/>
      <c r="M9" s="15"/>
      <c r="N9" s="15"/>
      <c r="O9" s="15"/>
      <c r="P9" s="15"/>
      <c r="Q9" s="15"/>
      <c r="R9" s="15"/>
      <c r="S9" s="15"/>
      <c r="T9" s="15"/>
      <c r="U9" s="15"/>
      <c r="V9" s="15"/>
      <c r="W9" s="15"/>
      <c r="X9" s="15"/>
      <c r="Y9" s="15"/>
      <c r="Z9" s="15"/>
    </row>
    <row r="10" spans="1:26" s="18" customFormat="1" x14ac:dyDescent="0.25">
      <c r="A10" s="27"/>
      <c r="B10" s="16"/>
      <c r="C10" s="15"/>
      <c r="D10" s="1"/>
      <c r="E10" s="20"/>
      <c r="F10" s="15"/>
      <c r="G10" s="15"/>
      <c r="H10" s="21"/>
      <c r="I10" s="15"/>
      <c r="J10" s="15"/>
      <c r="K10" s="15"/>
      <c r="L10" s="15"/>
      <c r="M10" s="15"/>
      <c r="N10" s="15"/>
      <c r="O10" s="15"/>
      <c r="P10" s="15"/>
      <c r="Q10" s="15"/>
      <c r="R10" s="15"/>
      <c r="S10" s="15"/>
      <c r="T10" s="15"/>
      <c r="U10" s="15"/>
      <c r="V10" s="15"/>
      <c r="W10" s="15"/>
      <c r="X10" s="15"/>
      <c r="Y10" s="15"/>
      <c r="Z10" s="15"/>
    </row>
    <row r="11" spans="1:26" x14ac:dyDescent="0.25">
      <c r="A11" s="27"/>
      <c r="B11" s="15"/>
      <c r="C11" s="15"/>
      <c r="D11" s="1"/>
      <c r="E11" s="20"/>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27"/>
      <c r="B12" s="15"/>
      <c r="C12" s="15"/>
      <c r="D12" s="15"/>
      <c r="E12" s="20"/>
      <c r="F12"/>
      <c r="G12" s="15"/>
      <c r="H12" s="21"/>
      <c r="I12" s="15"/>
      <c r="J12" s="15"/>
      <c r="K12" s="15"/>
      <c r="L12" s="15"/>
      <c r="M12" s="15"/>
      <c r="N12" s="15"/>
      <c r="O12" s="15"/>
      <c r="P12" s="15"/>
      <c r="Q12" s="15"/>
      <c r="R12" s="15"/>
      <c r="S12" s="15"/>
      <c r="T12" s="15"/>
      <c r="U12" s="15"/>
      <c r="V12" s="15"/>
      <c r="W12" s="15"/>
      <c r="X12" s="15"/>
      <c r="Y12" s="15"/>
      <c r="Z12" s="15"/>
    </row>
    <row r="13" spans="1:26" x14ac:dyDescent="0.25">
      <c r="A13" s="27"/>
      <c r="B13" s="15"/>
      <c r="C13" s="15"/>
      <c r="D13" s="15"/>
      <c r="E13" s="20"/>
      <c r="G13" s="15"/>
      <c r="H13" s="21"/>
      <c r="I13" s="15"/>
      <c r="J13" s="15"/>
      <c r="K13" s="15"/>
      <c r="L13" s="15"/>
      <c r="M13" s="15"/>
      <c r="N13" s="15"/>
      <c r="O13" s="15"/>
      <c r="P13" s="15"/>
      <c r="Q13" s="15"/>
      <c r="R13" s="15"/>
      <c r="S13" s="15"/>
      <c r="T13" s="15"/>
      <c r="U13" s="15"/>
      <c r="V13" s="15"/>
      <c r="W13" s="15"/>
      <c r="X13" s="15"/>
      <c r="Y13" s="15"/>
      <c r="Z13" s="15"/>
    </row>
    <row r="14" spans="1:26" x14ac:dyDescent="0.25">
      <c r="A14" s="27"/>
      <c r="B14" s="15"/>
      <c r="C14" s="15"/>
      <c r="D14" s="15"/>
      <c r="E14" s="20"/>
      <c r="G14" s="15"/>
      <c r="H14" s="21"/>
      <c r="I14" s="15"/>
      <c r="J14" s="15"/>
      <c r="K14" s="15"/>
      <c r="L14" s="15"/>
      <c r="M14" s="15"/>
      <c r="N14" s="15"/>
      <c r="O14" s="15"/>
      <c r="P14" s="15"/>
      <c r="Q14" s="15"/>
      <c r="R14" s="15"/>
      <c r="S14" s="15"/>
      <c r="T14" s="15"/>
      <c r="U14" s="15"/>
      <c r="V14" s="15"/>
      <c r="W14" s="15"/>
      <c r="X14" s="15"/>
      <c r="Y14" s="15"/>
      <c r="Z14" s="15"/>
    </row>
    <row r="15" spans="1:26" x14ac:dyDescent="0.25">
      <c r="A15" s="27"/>
      <c r="B15" s="15"/>
      <c r="C15" s="15"/>
      <c r="D15" s="15"/>
      <c r="E15" s="20"/>
      <c r="G15" s="15"/>
      <c r="H15" s="21"/>
      <c r="I15" s="15"/>
      <c r="J15" s="15"/>
      <c r="K15" s="15"/>
      <c r="L15" s="15"/>
      <c r="M15" s="15"/>
      <c r="N15" s="15"/>
      <c r="O15" s="15"/>
      <c r="P15" s="15"/>
      <c r="Q15" s="15"/>
      <c r="R15" s="15"/>
      <c r="S15" s="15"/>
      <c r="T15" s="15"/>
      <c r="U15" s="15"/>
      <c r="V15" s="15"/>
      <c r="W15" s="15"/>
      <c r="X15" s="15"/>
      <c r="Y15" s="15"/>
      <c r="Z15" s="15"/>
    </row>
    <row r="16" spans="1:26" s="19" customFormat="1" x14ac:dyDescent="0.25">
      <c r="A16" s="27"/>
      <c r="B16" s="16"/>
      <c r="C16" s="15"/>
      <c r="D16" s="1"/>
      <c r="E16" s="20"/>
      <c r="F16" s="15"/>
      <c r="G16" s="15"/>
      <c r="H16" s="21"/>
      <c r="I16" s="15"/>
      <c r="J16" s="15"/>
      <c r="K16" s="15"/>
      <c r="L16" s="15"/>
      <c r="M16" s="15"/>
      <c r="N16" s="15"/>
      <c r="O16" s="15"/>
      <c r="P16" s="15"/>
      <c r="Q16" s="15"/>
      <c r="R16" s="15"/>
      <c r="S16" s="15"/>
      <c r="T16" s="15"/>
      <c r="U16" s="15"/>
      <c r="V16" s="15"/>
      <c r="W16" s="15"/>
      <c r="X16" s="15"/>
      <c r="Y16" s="15"/>
      <c r="Z16" s="15"/>
    </row>
    <row r="17" spans="1:26" x14ac:dyDescent="0.25">
      <c r="A17" s="27"/>
      <c r="B17" s="16"/>
      <c r="C17" s="16"/>
      <c r="D17" s="25"/>
      <c r="E17" s="20"/>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27"/>
      <c r="B18" s="15"/>
      <c r="C18" s="15"/>
      <c r="D18" s="15"/>
      <c r="E18" s="20"/>
      <c r="F18"/>
      <c r="G18" s="15"/>
      <c r="H18" s="21"/>
      <c r="I18" s="15"/>
      <c r="J18" s="15"/>
      <c r="K18" s="15"/>
      <c r="L18" s="15"/>
      <c r="M18" s="15"/>
      <c r="N18" s="15"/>
      <c r="O18" s="15"/>
      <c r="P18" s="15"/>
      <c r="Q18" s="15"/>
      <c r="R18" s="15"/>
      <c r="S18" s="15"/>
      <c r="T18" s="15"/>
      <c r="U18" s="15"/>
      <c r="V18" s="15"/>
      <c r="W18" s="15"/>
      <c r="X18" s="15"/>
      <c r="Y18" s="15"/>
      <c r="Z18" s="15"/>
    </row>
    <row r="19" spans="1:26" s="4" customFormat="1" x14ac:dyDescent="0.25">
      <c r="A19" s="27"/>
      <c r="B19" s="16"/>
      <c r="C19" s="15"/>
      <c r="D19" s="1"/>
      <c r="E19" s="20"/>
      <c r="F19" s="15"/>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27"/>
      <c r="B20" s="15"/>
      <c r="C20" s="15"/>
      <c r="D20" s="15"/>
      <c r="E20" s="20"/>
      <c r="F20"/>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27"/>
      <c r="B21" s="15"/>
      <c r="C21" s="15"/>
      <c r="D21" s="15"/>
      <c r="E21" s="20"/>
      <c r="F21" s="15"/>
      <c r="G21" s="15"/>
      <c r="H21" s="21"/>
      <c r="I21" s="15"/>
      <c r="J21" s="15"/>
      <c r="K21" s="15"/>
      <c r="L21" s="15"/>
      <c r="M21" s="15"/>
      <c r="N21" s="15"/>
      <c r="O21" s="15"/>
      <c r="P21" s="15"/>
      <c r="Q21" s="15"/>
      <c r="R21" s="15"/>
      <c r="S21" s="15"/>
      <c r="T21" s="15"/>
      <c r="U21" s="15"/>
      <c r="V21" s="15"/>
      <c r="W21" s="15"/>
      <c r="X21" s="15"/>
      <c r="Y21" s="15"/>
      <c r="Z21" s="15"/>
    </row>
    <row r="22" spans="1:26" s="23" customFormat="1" x14ac:dyDescent="0.25">
      <c r="A22" s="27"/>
      <c r="B22" s="16"/>
      <c r="C22" s="15"/>
      <c r="D22" s="1"/>
      <c r="E22" s="20"/>
      <c r="F22" s="15"/>
      <c r="G22" s="15"/>
      <c r="H22" s="21"/>
      <c r="I22" s="15"/>
      <c r="J22" s="15"/>
      <c r="K22" s="15"/>
      <c r="L22" s="15"/>
      <c r="M22" s="15"/>
      <c r="N22" s="15"/>
      <c r="O22" s="15"/>
      <c r="P22" s="15"/>
      <c r="Q22" s="15"/>
      <c r="R22" s="15"/>
      <c r="S22" s="15"/>
      <c r="T22" s="15"/>
      <c r="U22" s="15"/>
      <c r="V22" s="15"/>
      <c r="W22" s="15"/>
      <c r="X22" s="15"/>
      <c r="Y22" s="15"/>
      <c r="Z22" s="15"/>
    </row>
    <row r="23" spans="1:26" x14ac:dyDescent="0.25">
      <c r="A23" s="27"/>
      <c r="B23" s="15"/>
      <c r="C23" s="15"/>
      <c r="D23" s="1"/>
      <c r="E23" s="20"/>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x14ac:dyDescent="0.25">
      <c r="A24" s="27"/>
      <c r="B24" s="15"/>
      <c r="C24" s="15"/>
      <c r="D24" s="15"/>
      <c r="E24" s="20"/>
      <c r="F24"/>
      <c r="G24" s="15"/>
      <c r="H24" s="21"/>
      <c r="I24" s="15"/>
      <c r="J24" s="15"/>
      <c r="K24" s="15"/>
      <c r="L24" s="15"/>
      <c r="M24" s="15"/>
      <c r="N24" s="15"/>
      <c r="O24" s="15"/>
      <c r="P24" s="15"/>
      <c r="Q24" s="15"/>
      <c r="R24" s="15"/>
      <c r="S24" s="15"/>
      <c r="T24" s="15"/>
      <c r="U24" s="15"/>
      <c r="V24" s="15"/>
      <c r="W24" s="15"/>
      <c r="X24" s="15"/>
      <c r="Y24" s="15"/>
      <c r="Z24" s="15"/>
    </row>
    <row r="25" spans="1:26" x14ac:dyDescent="0.25">
      <c r="A25" s="27"/>
      <c r="B25" s="15"/>
      <c r="C25" s="15"/>
      <c r="D25" s="1"/>
      <c r="E25" s="20"/>
      <c r="G25" s="15"/>
      <c r="H25" s="21"/>
      <c r="I25" s="15"/>
      <c r="J25" s="15"/>
      <c r="K25" s="15"/>
      <c r="L25" s="15"/>
      <c r="M25" s="15"/>
      <c r="N25" s="15"/>
      <c r="O25" s="15"/>
      <c r="P25" s="15"/>
      <c r="Q25" s="15"/>
      <c r="R25" s="15"/>
      <c r="S25" s="15"/>
      <c r="T25" s="15"/>
      <c r="U25" s="15"/>
      <c r="V25" s="15"/>
      <c r="W25" s="15"/>
      <c r="X25" s="15"/>
      <c r="Y25" s="15"/>
      <c r="Z25" s="15"/>
    </row>
    <row r="26" spans="1:26" x14ac:dyDescent="0.25">
      <c r="A26" s="27"/>
      <c r="B26" s="15"/>
      <c r="C26" s="15"/>
      <c r="D26" s="15"/>
      <c r="E26" s="20"/>
      <c r="G26" s="15"/>
      <c r="H26" s="21"/>
      <c r="I26" s="15"/>
      <c r="J26" s="15"/>
      <c r="K26" s="15"/>
      <c r="L26" s="15"/>
      <c r="M26" s="15"/>
      <c r="N26" s="15"/>
      <c r="O26" s="15"/>
      <c r="P26" s="15"/>
      <c r="Q26" s="15"/>
      <c r="R26" s="15"/>
      <c r="S26" s="15"/>
      <c r="T26" s="15"/>
      <c r="U26" s="15"/>
      <c r="V26" s="15"/>
      <c r="W26" s="15"/>
      <c r="X26" s="15"/>
      <c r="Y26" s="15"/>
      <c r="Z26" s="15"/>
    </row>
    <row r="27" spans="1:26" x14ac:dyDescent="0.25">
      <c r="A27" s="27"/>
      <c r="B27" s="15"/>
      <c r="C27" s="15"/>
      <c r="D27" s="1"/>
      <c r="E27" s="20"/>
      <c r="F27" s="29"/>
      <c r="G27" s="15"/>
      <c r="H27" s="21"/>
      <c r="I27" s="15"/>
      <c r="J27" s="15"/>
      <c r="K27" s="15"/>
      <c r="L27" s="15"/>
      <c r="M27" s="15"/>
      <c r="N27" s="15"/>
      <c r="O27" s="15"/>
      <c r="P27" s="15"/>
      <c r="Q27" s="15"/>
      <c r="R27" s="15"/>
      <c r="S27" s="15"/>
      <c r="T27" s="15"/>
      <c r="U27" s="15"/>
      <c r="V27" s="15"/>
      <c r="W27" s="15"/>
      <c r="X27" s="15"/>
      <c r="Y27" s="15"/>
      <c r="Z27" s="15"/>
    </row>
    <row r="28" spans="1:26" x14ac:dyDescent="0.25">
      <c r="A28" s="27"/>
      <c r="B28" s="15"/>
      <c r="C28" s="15"/>
      <c r="D28" s="1"/>
      <c r="E28" s="20"/>
      <c r="F28" s="15"/>
      <c r="G28" s="15"/>
      <c r="H28" s="21"/>
      <c r="I28" s="15"/>
      <c r="J28" s="15"/>
      <c r="K28" s="15"/>
      <c r="L28" s="15"/>
      <c r="M28" s="15"/>
      <c r="N28" s="15"/>
      <c r="O28" s="15"/>
      <c r="P28" s="15"/>
      <c r="Q28" s="15"/>
      <c r="R28" s="15"/>
      <c r="S28" s="15"/>
      <c r="T28" s="15"/>
      <c r="U28" s="15"/>
      <c r="V28" s="15"/>
      <c r="W28" s="15"/>
      <c r="X28" s="15"/>
      <c r="Y28" s="15"/>
      <c r="Z28" s="15"/>
    </row>
    <row r="29" spans="1:26" ht="15.75" thickBot="1" x14ac:dyDescent="0.3">
      <c r="A29" s="27"/>
      <c r="B29" s="16"/>
      <c r="C29" s="15"/>
      <c r="D29" s="1"/>
      <c r="E29" s="20"/>
      <c r="F29" s="15"/>
      <c r="G29" s="15"/>
      <c r="H29" s="21"/>
      <c r="I29" s="15"/>
      <c r="J29" s="15"/>
      <c r="K29" s="15"/>
      <c r="L29" s="15"/>
      <c r="M29" s="15"/>
      <c r="N29" s="15"/>
      <c r="O29" s="15"/>
      <c r="P29" s="15"/>
      <c r="Q29" s="15"/>
      <c r="R29" s="15"/>
      <c r="S29" s="15"/>
      <c r="T29" s="15"/>
      <c r="U29" s="15"/>
      <c r="V29" s="15"/>
      <c r="W29" s="15"/>
      <c r="X29" s="15"/>
      <c r="Y29" s="15"/>
      <c r="Z29" s="15"/>
    </row>
    <row r="30" spans="1:26" s="7" customFormat="1" x14ac:dyDescent="0.25">
      <c r="A30" s="27"/>
      <c r="B30" s="16"/>
      <c r="C30" s="15"/>
      <c r="D30" s="1"/>
      <c r="E30" s="20"/>
      <c r="F30" s="15"/>
      <c r="G30" s="15"/>
      <c r="H30" s="21"/>
      <c r="I30" s="15"/>
      <c r="J30" s="15"/>
      <c r="K30" s="15"/>
      <c r="L30" s="15"/>
      <c r="M30" s="15"/>
      <c r="N30" s="15"/>
      <c r="O30" s="15"/>
      <c r="P30" s="15"/>
      <c r="Q30" s="15"/>
      <c r="R30" s="15"/>
      <c r="S30" s="15"/>
      <c r="T30" s="15"/>
      <c r="U30" s="15"/>
      <c r="V30" s="15"/>
      <c r="W30" s="15"/>
      <c r="X30" s="15"/>
      <c r="Y30" s="15"/>
      <c r="Z30" s="15"/>
    </row>
    <row r="31" spans="1:26" x14ac:dyDescent="0.25">
      <c r="A31" s="27"/>
      <c r="B31" s="16"/>
      <c r="C31" s="15"/>
      <c r="D31" s="1"/>
      <c r="E31" s="20"/>
      <c r="F31" s="15"/>
      <c r="G31" s="15"/>
      <c r="H31" s="21"/>
      <c r="I31" s="15"/>
      <c r="J31" s="15"/>
      <c r="K31" s="15"/>
      <c r="L31" s="15"/>
      <c r="M31" s="15"/>
      <c r="N31" s="15"/>
      <c r="O31" s="15"/>
      <c r="P31" s="15"/>
      <c r="Q31" s="15"/>
      <c r="R31" s="15"/>
      <c r="S31" s="15"/>
      <c r="T31" s="15"/>
      <c r="U31" s="15"/>
      <c r="V31" s="15"/>
      <c r="W31" s="15"/>
      <c r="X31" s="15"/>
      <c r="Y31" s="15"/>
      <c r="Z31" s="15"/>
    </row>
    <row r="32" spans="1:26" x14ac:dyDescent="0.25">
      <c r="A32" s="27"/>
      <c r="B32" s="16"/>
      <c r="C32" s="15"/>
      <c r="D32" s="1"/>
      <c r="E32" s="20"/>
      <c r="F32" s="15"/>
      <c r="G32" s="15"/>
      <c r="H32" s="21"/>
      <c r="I32" s="15"/>
      <c r="J32" s="15"/>
      <c r="K32" s="15"/>
      <c r="L32" s="15"/>
      <c r="M32" s="15"/>
      <c r="N32" s="15"/>
      <c r="O32" s="15"/>
      <c r="P32" s="15"/>
      <c r="Q32" s="15"/>
      <c r="R32" s="15"/>
      <c r="S32" s="15"/>
      <c r="T32" s="15"/>
      <c r="U32" s="15"/>
      <c r="V32" s="15"/>
      <c r="W32" s="15"/>
      <c r="X32" s="15"/>
      <c r="Y32" s="15"/>
      <c r="Z32" s="15"/>
    </row>
    <row r="33" spans="1:26" x14ac:dyDescent="0.25">
      <c r="A33" s="27"/>
      <c r="B33" s="15"/>
      <c r="C33" s="15"/>
      <c r="D33" s="15"/>
      <c r="E33" s="20"/>
      <c r="F33" s="15"/>
      <c r="G33" s="15"/>
      <c r="H33" s="21"/>
      <c r="I33" s="15"/>
      <c r="J33" s="15"/>
      <c r="K33" s="15"/>
      <c r="L33" s="15"/>
      <c r="M33" s="15"/>
      <c r="N33" s="15"/>
      <c r="O33" s="15"/>
      <c r="P33" s="15"/>
      <c r="Q33" s="15"/>
      <c r="R33" s="15"/>
      <c r="S33" s="15"/>
      <c r="T33" s="15"/>
      <c r="U33" s="15"/>
      <c r="V33" s="15"/>
      <c r="W33" s="15"/>
      <c r="X33" s="15"/>
      <c r="Y33" s="15"/>
      <c r="Z33" s="15"/>
    </row>
    <row r="34" spans="1:26" x14ac:dyDescent="0.25">
      <c r="A34" s="27"/>
      <c r="B34" s="15"/>
      <c r="C34" s="15"/>
      <c r="D34" s="15"/>
      <c r="E34" s="20"/>
      <c r="F34" s="15"/>
      <c r="G34" s="15"/>
      <c r="H34" s="21"/>
      <c r="I34" s="15"/>
      <c r="J34" s="15"/>
      <c r="K34" s="15"/>
      <c r="L34" s="15"/>
      <c r="M34" s="15"/>
      <c r="N34" s="15"/>
      <c r="O34" s="15"/>
      <c r="P34" s="15"/>
      <c r="Q34" s="15"/>
      <c r="R34" s="15"/>
      <c r="S34" s="15"/>
      <c r="T34" s="15"/>
      <c r="U34" s="15"/>
      <c r="V34" s="15"/>
      <c r="W34" s="15"/>
      <c r="X34" s="15"/>
      <c r="Y34" s="15"/>
      <c r="Z34" s="15"/>
    </row>
    <row r="35" spans="1:26" x14ac:dyDescent="0.25">
      <c r="A35" s="27"/>
      <c r="B35" s="15"/>
      <c r="C35" s="15"/>
      <c r="D35" s="15"/>
      <c r="E35" s="20"/>
      <c r="F35" s="15"/>
      <c r="G35" s="15"/>
      <c r="H35" s="21"/>
      <c r="I35" s="15"/>
      <c r="J35" s="15"/>
      <c r="K35" s="15"/>
      <c r="L35" s="15"/>
      <c r="M35" s="15"/>
      <c r="N35" s="15"/>
      <c r="O35" s="15"/>
      <c r="P35" s="15"/>
      <c r="Q35" s="15"/>
      <c r="R35" s="15"/>
      <c r="S35" s="15"/>
      <c r="T35" s="15"/>
      <c r="U35" s="15"/>
      <c r="V35" s="15"/>
      <c r="W35" s="15"/>
      <c r="X35" s="15"/>
      <c r="Y35" s="15"/>
      <c r="Z35" s="15"/>
    </row>
    <row r="36" spans="1:26" x14ac:dyDescent="0.25">
      <c r="A36" s="27"/>
      <c r="B36" s="15"/>
      <c r="C36" s="15"/>
      <c r="D36" s="15"/>
      <c r="E36" s="20"/>
      <c r="F36" s="15"/>
      <c r="G36" s="15"/>
      <c r="H36" s="21"/>
      <c r="I36" s="15"/>
      <c r="J36" s="15"/>
      <c r="K36" s="15"/>
      <c r="L36" s="15"/>
      <c r="M36" s="15"/>
      <c r="N36" s="15"/>
      <c r="O36" s="15"/>
      <c r="P36" s="15"/>
      <c r="Q36" s="15"/>
      <c r="R36" s="15"/>
      <c r="S36" s="15"/>
      <c r="T36" s="15"/>
      <c r="U36" s="15"/>
      <c r="V36" s="15"/>
      <c r="W36" s="15"/>
      <c r="X36" s="15"/>
      <c r="Y36" s="15"/>
      <c r="Z36" s="15"/>
    </row>
    <row r="37" spans="1:26" x14ac:dyDescent="0.25">
      <c r="A37" s="27"/>
      <c r="B37" s="15"/>
      <c r="C37" s="15"/>
      <c r="D37" s="15"/>
      <c r="E37" s="20"/>
      <c r="F37" s="15"/>
      <c r="G37" s="15"/>
      <c r="H37" s="21"/>
      <c r="I37" s="15"/>
      <c r="J37" s="15"/>
      <c r="K37" s="15"/>
      <c r="L37" s="15"/>
      <c r="M37" s="15"/>
      <c r="N37" s="15"/>
      <c r="O37" s="15"/>
      <c r="P37" s="15"/>
      <c r="Q37" s="15"/>
      <c r="R37" s="15"/>
      <c r="S37" s="15"/>
      <c r="T37" s="15"/>
      <c r="U37" s="15"/>
      <c r="V37" s="15"/>
      <c r="W37" s="15"/>
      <c r="X37" s="15"/>
      <c r="Y37" s="15"/>
      <c r="Z37" s="15"/>
    </row>
    <row r="38" spans="1:26" x14ac:dyDescent="0.25">
      <c r="B38" s="15"/>
      <c r="C38" s="15"/>
      <c r="D38" s="15"/>
      <c r="E38" s="20"/>
      <c r="F38" s="15"/>
      <c r="G38" s="15"/>
      <c r="H38" s="21"/>
      <c r="I38" s="15"/>
      <c r="J38" s="15"/>
      <c r="K38" s="15"/>
      <c r="L38" s="15"/>
      <c r="M38" s="15"/>
      <c r="N38" s="15"/>
      <c r="O38" s="15"/>
      <c r="P38" s="15"/>
      <c r="Q38" s="15"/>
      <c r="R38" s="15"/>
      <c r="S38" s="15"/>
      <c r="T38" s="15"/>
      <c r="U38" s="15"/>
      <c r="V38" s="15"/>
      <c r="W38" s="15"/>
      <c r="X38" s="15"/>
      <c r="Y38" s="15"/>
      <c r="Z38" s="15"/>
    </row>
    <row r="39" spans="1:26" x14ac:dyDescent="0.25">
      <c r="B39" s="15" t="e">
        <f t="shared" ref="B39:B65" si="0" xml:space="preserve"> MID(A39,SEARCH(":",A39)+2,SEARCH(":",A39,SEARCH(":",A39)+1)-SEARCH(":",A39)-3)</f>
        <v>#VALUE!</v>
      </c>
      <c r="C39" s="15" t="e">
        <f t="shared" ref="C39:C65" si="1">"partner:"&amp;MID(A39,SEARCH(":",A39)+1,SEARCH(":",A39,SEARCH(":",A39)+1)-SEARCH(":",A39)-1)</f>
        <v>#VALUE!</v>
      </c>
      <c r="D39" s="15"/>
      <c r="E39" s="20">
        <f ca="1">IF(ISERROR(#REF!),TODAY(),#REF!)</f>
        <v>44536</v>
      </c>
      <c r="F39" s="15"/>
      <c r="G39" s="15"/>
      <c r="H39" s="21"/>
      <c r="I39" s="15"/>
      <c r="J39" s="15"/>
      <c r="K39" s="15"/>
      <c r="L39" s="15"/>
      <c r="M39" s="15"/>
      <c r="N39" s="15"/>
      <c r="O39" s="15"/>
      <c r="P39" s="15"/>
      <c r="Q39" s="15"/>
      <c r="R39" s="15"/>
      <c r="S39" s="15"/>
      <c r="T39" s="15"/>
      <c r="U39" s="15"/>
      <c r="V39" s="15"/>
      <c r="W39" s="15"/>
      <c r="X39" s="15"/>
      <c r="Y39" s="15"/>
      <c r="Z39" s="15"/>
    </row>
    <row r="40" spans="1:26" x14ac:dyDescent="0.25">
      <c r="B40" s="15" t="e">
        <f t="shared" si="0"/>
        <v>#VALUE!</v>
      </c>
      <c r="C40" s="15" t="e">
        <f t="shared" si="1"/>
        <v>#VALUE!</v>
      </c>
      <c r="D40" s="15"/>
      <c r="E40" s="20">
        <f ca="1">IF(ISERROR(#REF!),TODAY(),#REF!)</f>
        <v>44536</v>
      </c>
      <c r="F40" s="15"/>
      <c r="G40" s="15"/>
      <c r="H40" s="21"/>
      <c r="I40" s="15"/>
      <c r="J40" s="15"/>
      <c r="K40" s="15"/>
      <c r="L40" s="15"/>
      <c r="M40" s="15"/>
      <c r="N40" s="15"/>
      <c r="O40" s="15"/>
      <c r="P40" s="15"/>
      <c r="Q40" s="15"/>
      <c r="R40" s="15"/>
      <c r="S40" s="15"/>
      <c r="T40" s="15"/>
      <c r="U40" s="15"/>
      <c r="V40" s="15"/>
      <c r="W40" s="15"/>
      <c r="X40" s="15"/>
      <c r="Y40" s="15"/>
      <c r="Z40" s="15"/>
    </row>
    <row r="41" spans="1:26" x14ac:dyDescent="0.25">
      <c r="B41" s="15" t="e">
        <f t="shared" si="0"/>
        <v>#VALUE!</v>
      </c>
      <c r="C41" s="15" t="e">
        <f t="shared" si="1"/>
        <v>#VALUE!</v>
      </c>
      <c r="D41" s="15"/>
      <c r="E41" s="20">
        <f ca="1">IF(ISERROR(#REF!),TODAY(),#REF!)</f>
        <v>44536</v>
      </c>
      <c r="F41" s="15"/>
      <c r="G41" s="15"/>
      <c r="H41" s="21"/>
      <c r="I41" s="15"/>
      <c r="J41" s="15"/>
      <c r="K41" s="15"/>
      <c r="L41" s="15"/>
      <c r="M41" s="15"/>
      <c r="N41" s="15"/>
      <c r="O41" s="15"/>
      <c r="P41" s="15"/>
      <c r="Q41" s="15"/>
      <c r="R41" s="15"/>
      <c r="S41" s="15"/>
      <c r="T41" s="15"/>
      <c r="U41" s="15"/>
      <c r="V41" s="15"/>
      <c r="W41" s="15"/>
      <c r="X41" s="15"/>
      <c r="Y41" s="15"/>
      <c r="Z41" s="15"/>
    </row>
    <row r="42" spans="1:26" x14ac:dyDescent="0.25">
      <c r="B42" s="15" t="e">
        <f t="shared" si="0"/>
        <v>#VALUE!</v>
      </c>
      <c r="C42" s="15" t="e">
        <f t="shared" si="1"/>
        <v>#VALUE!</v>
      </c>
      <c r="D42" s="15"/>
      <c r="E42" s="20">
        <f ca="1">IF(ISERROR(#REF!),TODAY(),#REF!)</f>
        <v>44536</v>
      </c>
      <c r="F42" s="15"/>
      <c r="G42" s="15"/>
      <c r="H42" s="21"/>
      <c r="I42" s="15"/>
      <c r="J42" s="15"/>
      <c r="K42" s="15"/>
      <c r="L42" s="15"/>
      <c r="M42" s="15"/>
      <c r="N42" s="15"/>
      <c r="O42" s="15"/>
      <c r="P42" s="15"/>
      <c r="Q42" s="15"/>
      <c r="R42" s="15"/>
      <c r="S42" s="15"/>
      <c r="T42" s="15"/>
      <c r="U42" s="15"/>
      <c r="V42" s="15"/>
      <c r="W42" s="15"/>
      <c r="X42" s="15"/>
      <c r="Y42" s="15"/>
      <c r="Z42" s="15"/>
    </row>
    <row r="43" spans="1:26" x14ac:dyDescent="0.25">
      <c r="B43" s="15" t="e">
        <f t="shared" si="0"/>
        <v>#VALUE!</v>
      </c>
      <c r="C43" s="15" t="e">
        <f t="shared" si="1"/>
        <v>#VALUE!</v>
      </c>
      <c r="D43" s="15"/>
      <c r="E43" s="20">
        <f ca="1">IF(ISERROR(#REF!),TODAY(),#REF!)</f>
        <v>44536</v>
      </c>
      <c r="F43" s="15"/>
      <c r="G43" s="15"/>
      <c r="H43" s="21"/>
      <c r="I43" s="15"/>
      <c r="J43" s="15"/>
      <c r="K43" s="15"/>
      <c r="L43" s="15"/>
      <c r="M43" s="15"/>
      <c r="N43" s="15"/>
      <c r="O43" s="15"/>
      <c r="P43" s="15"/>
      <c r="Q43" s="15"/>
      <c r="R43" s="15"/>
      <c r="S43" s="15"/>
      <c r="T43" s="15"/>
      <c r="U43" s="15"/>
      <c r="V43" s="15"/>
      <c r="W43" s="15"/>
      <c r="X43" s="15"/>
      <c r="Y43" s="15"/>
      <c r="Z43" s="15"/>
    </row>
    <row r="44" spans="1:26" x14ac:dyDescent="0.25">
      <c r="B44" s="15" t="e">
        <f t="shared" si="0"/>
        <v>#VALUE!</v>
      </c>
      <c r="C44" s="15" t="e">
        <f t="shared" si="1"/>
        <v>#VALUE!</v>
      </c>
      <c r="D44" s="15"/>
      <c r="E44" s="20">
        <f ca="1">IF(ISERROR(#REF!),TODAY(),#REF!)</f>
        <v>44536</v>
      </c>
      <c r="F44" s="15"/>
      <c r="G44" s="15"/>
      <c r="H44" s="21"/>
      <c r="I44" s="15"/>
      <c r="J44" s="15"/>
      <c r="K44" s="15"/>
      <c r="L44" s="15"/>
      <c r="M44" s="15"/>
      <c r="N44" s="15"/>
      <c r="O44" s="15"/>
      <c r="P44" s="15"/>
      <c r="Q44" s="15"/>
      <c r="R44" s="15"/>
      <c r="S44" s="15"/>
      <c r="T44" s="15"/>
      <c r="U44" s="15"/>
      <c r="V44" s="15"/>
      <c r="W44" s="15"/>
      <c r="X44" s="15"/>
      <c r="Y44" s="15"/>
      <c r="Z44" s="15"/>
    </row>
    <row r="45" spans="1:26" x14ac:dyDescent="0.25">
      <c r="B45" s="15" t="e">
        <f t="shared" si="0"/>
        <v>#VALUE!</v>
      </c>
      <c r="C45" s="15" t="e">
        <f t="shared" si="1"/>
        <v>#VALUE!</v>
      </c>
      <c r="D45" s="15"/>
      <c r="E45" s="20">
        <f ca="1">IF(ISERROR(#REF!),TODAY(),#REF!)</f>
        <v>44536</v>
      </c>
      <c r="F45" s="15"/>
      <c r="G45" s="15"/>
      <c r="H45" s="21"/>
      <c r="I45" s="15"/>
      <c r="J45" s="15"/>
      <c r="K45" s="15"/>
      <c r="L45" s="15"/>
      <c r="M45" s="15"/>
      <c r="N45" s="15"/>
      <c r="O45" s="15"/>
      <c r="P45" s="15"/>
      <c r="Q45" s="15"/>
      <c r="R45" s="15"/>
      <c r="S45" s="15"/>
      <c r="T45" s="15"/>
      <c r="U45" s="15"/>
      <c r="V45" s="15"/>
      <c r="W45" s="15"/>
      <c r="X45" s="15"/>
      <c r="Y45" s="15"/>
      <c r="Z45" s="15"/>
    </row>
    <row r="46" spans="1:26" x14ac:dyDescent="0.25">
      <c r="B46" s="15" t="e">
        <f t="shared" si="0"/>
        <v>#VALUE!</v>
      </c>
      <c r="C46" s="15" t="e">
        <f t="shared" si="1"/>
        <v>#VALUE!</v>
      </c>
      <c r="D46" s="15"/>
      <c r="E46" s="20">
        <f ca="1">IF(ISERROR(#REF!),TODAY(),#REF!)</f>
        <v>44536</v>
      </c>
      <c r="F46" s="15"/>
      <c r="G46" s="15"/>
      <c r="H46" s="21"/>
      <c r="I46" s="15"/>
      <c r="J46" s="15"/>
      <c r="K46" s="15"/>
      <c r="L46" s="15"/>
      <c r="M46" s="15"/>
      <c r="N46" s="15"/>
      <c r="O46" s="15"/>
      <c r="P46" s="15"/>
      <c r="Q46" s="15"/>
      <c r="R46" s="15"/>
      <c r="S46" s="15"/>
      <c r="T46" s="15"/>
      <c r="U46" s="15"/>
      <c r="V46" s="15"/>
      <c r="W46" s="15"/>
      <c r="X46" s="15"/>
      <c r="Y46" s="15"/>
      <c r="Z46" s="15"/>
    </row>
    <row r="47" spans="1:26" x14ac:dyDescent="0.25">
      <c r="B47" s="15" t="e">
        <f t="shared" si="0"/>
        <v>#VALUE!</v>
      </c>
      <c r="C47" s="15" t="e">
        <f t="shared" si="1"/>
        <v>#VALUE!</v>
      </c>
      <c r="D47" s="15"/>
      <c r="E47" s="20">
        <f ca="1">IF(ISERROR(#REF!),TODAY(),#REF!)</f>
        <v>44536</v>
      </c>
      <c r="F47" s="15"/>
      <c r="G47" s="15"/>
      <c r="H47" s="21"/>
      <c r="I47" s="15"/>
      <c r="J47" s="15"/>
      <c r="K47" s="15"/>
      <c r="L47" s="15"/>
      <c r="M47" s="15"/>
      <c r="N47" s="15"/>
      <c r="O47" s="15"/>
      <c r="P47" s="15"/>
      <c r="Q47" s="15"/>
      <c r="R47" s="15"/>
      <c r="S47" s="15"/>
      <c r="T47" s="15"/>
      <c r="U47" s="15"/>
      <c r="V47" s="15"/>
      <c r="W47" s="15"/>
      <c r="X47" s="15"/>
      <c r="Y47" s="15"/>
      <c r="Z47" s="15"/>
    </row>
    <row r="48" spans="1:26" x14ac:dyDescent="0.25">
      <c r="B48" s="15" t="e">
        <f t="shared" si="0"/>
        <v>#VALUE!</v>
      </c>
      <c r="C48" s="15" t="e">
        <f t="shared" si="1"/>
        <v>#VALUE!</v>
      </c>
      <c r="D48" s="15"/>
      <c r="E48" s="20">
        <f ca="1">IF(ISERROR(#REF!),TODAY(),#REF!)</f>
        <v>44536</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0"/>
        <v>#VALUE!</v>
      </c>
      <c r="C49" s="15" t="e">
        <f t="shared" si="1"/>
        <v>#VALUE!</v>
      </c>
      <c r="D49" s="15"/>
      <c r="E49" s="20">
        <f ca="1">IF(ISERROR(#REF!),TODAY(),#REF!)</f>
        <v>44536</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0"/>
        <v>#VALUE!</v>
      </c>
      <c r="C50" s="15" t="e">
        <f t="shared" si="1"/>
        <v>#VALUE!</v>
      </c>
      <c r="D50" s="15"/>
      <c r="E50" s="20">
        <f ca="1">IF(ISERROR(#REF!),TODAY(),#REF!)</f>
        <v>44536</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0"/>
        <v>#VALUE!</v>
      </c>
      <c r="C51" s="15" t="e">
        <f t="shared" si="1"/>
        <v>#VALUE!</v>
      </c>
      <c r="D51" s="15"/>
      <c r="E51" s="20">
        <f ca="1">IF(ISERROR(#REF!),TODAY(),#REF!)</f>
        <v>44536</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0"/>
        <v>#VALUE!</v>
      </c>
      <c r="C52" s="15" t="e">
        <f t="shared" si="1"/>
        <v>#VALUE!</v>
      </c>
      <c r="D52" s="15"/>
      <c r="E52" s="20">
        <f ca="1">IF(ISERROR(#REF!),TODAY(),#REF!)</f>
        <v>44536</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0"/>
        <v>#VALUE!</v>
      </c>
      <c r="C53" s="15" t="e">
        <f t="shared" si="1"/>
        <v>#VALUE!</v>
      </c>
      <c r="D53" s="15"/>
      <c r="E53" s="20">
        <f ca="1">IF(ISERROR(#REF!),TODAY(),#REF!)</f>
        <v>44536</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0"/>
        <v>#VALUE!</v>
      </c>
      <c r="C54" s="15" t="e">
        <f t="shared" si="1"/>
        <v>#VALUE!</v>
      </c>
      <c r="D54" s="15"/>
      <c r="E54" s="20">
        <f ca="1">IF(ISERROR(#REF!),TODAY(),#REF!)</f>
        <v>44536</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0"/>
        <v>#VALUE!</v>
      </c>
      <c r="C55" s="15" t="e">
        <f t="shared" si="1"/>
        <v>#VALUE!</v>
      </c>
      <c r="D55" s="15"/>
      <c r="E55" s="20">
        <f ca="1">IF(ISERROR(#REF!),TODAY(),#REF!)</f>
        <v>44536</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0"/>
        <v>#VALUE!</v>
      </c>
      <c r="C56" s="15" t="e">
        <f t="shared" si="1"/>
        <v>#VALUE!</v>
      </c>
      <c r="D56" s="15"/>
      <c r="E56" s="20">
        <f ca="1">IF(ISERROR(#REF!),TODAY(),#REF!)</f>
        <v>44536</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0"/>
        <v>#VALUE!</v>
      </c>
      <c r="C57" s="15" t="e">
        <f t="shared" si="1"/>
        <v>#VALUE!</v>
      </c>
      <c r="D57" s="15"/>
      <c r="E57" s="20">
        <f ca="1">IF(ISERROR(#REF!),TODAY(),#REF!)</f>
        <v>44536</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0"/>
        <v>#VALUE!</v>
      </c>
      <c r="C58" s="15" t="e">
        <f t="shared" si="1"/>
        <v>#VALUE!</v>
      </c>
      <c r="D58" s="15"/>
      <c r="E58" s="20">
        <f ca="1">IF(ISERROR(#REF!),TODAY(),#REF!)</f>
        <v>44536</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0"/>
        <v>#VALUE!</v>
      </c>
      <c r="C59" s="15" t="e">
        <f t="shared" si="1"/>
        <v>#VALUE!</v>
      </c>
      <c r="D59" s="15"/>
      <c r="E59" s="20">
        <f ca="1">IF(ISERROR(#REF!),TODAY(),#REF!)</f>
        <v>44536</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0"/>
        <v>#VALUE!</v>
      </c>
      <c r="C60" s="15" t="e">
        <f t="shared" si="1"/>
        <v>#VALUE!</v>
      </c>
      <c r="D60" s="15"/>
      <c r="E60" s="20">
        <f ca="1">IF(ISERROR(#REF!),TODAY(),#REF!)</f>
        <v>44536</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0"/>
        <v>#VALUE!</v>
      </c>
      <c r="C61" s="15" t="e">
        <f t="shared" si="1"/>
        <v>#VALUE!</v>
      </c>
      <c r="D61" s="15"/>
      <c r="E61" s="20">
        <f ca="1">IF(ISERROR(#REF!),TODAY(),#REF!)</f>
        <v>44536</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0"/>
        <v>#VALUE!</v>
      </c>
      <c r="C62" s="15" t="e">
        <f t="shared" si="1"/>
        <v>#VALUE!</v>
      </c>
      <c r="D62" s="15"/>
      <c r="E62" s="20">
        <f ca="1">IF(ISERROR(#REF!),TODAY(),#REF!)</f>
        <v>44536</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0"/>
        <v>#VALUE!</v>
      </c>
      <c r="C63" s="15" t="e">
        <f t="shared" si="1"/>
        <v>#VALUE!</v>
      </c>
      <c r="D63" s="15"/>
      <c r="E63" s="20">
        <f ca="1">IF(ISERROR(#REF!),TODAY(),#REF!)</f>
        <v>44536</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0"/>
        <v>#VALUE!</v>
      </c>
      <c r="C64" s="15" t="e">
        <f t="shared" si="1"/>
        <v>#VALUE!</v>
      </c>
      <c r="D64" s="15"/>
      <c r="E64" s="20">
        <f ca="1">IF(ISERROR(#REF!),TODAY(),#REF!)</f>
        <v>44536</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0"/>
        <v>#VALUE!</v>
      </c>
      <c r="C65" s="15" t="e">
        <f t="shared" si="1"/>
        <v>#VALUE!</v>
      </c>
      <c r="D65" s="15"/>
      <c r="E65" s="20">
        <f ca="1">IF(ISERROR(#REF!),TODAY(),#REF!)</f>
        <v>44536</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2" xml:space="preserve"> MID(A66,SEARCH(":",A66)+2,SEARCH(":",A66,SEARCH(":",A66)+1)-SEARCH(":",A66)-3)</f>
        <v>#VALUE!</v>
      </c>
      <c r="C66" s="15" t="e">
        <f t="shared" ref="C66:C97" si="3">"partner:"&amp;MID(A66,SEARCH(":",A66)+1,SEARCH(":",A66,SEARCH(":",A66)+1)-SEARCH(":",A66)-1)</f>
        <v>#VALUE!</v>
      </c>
      <c r="D66" s="15"/>
      <c r="E66" s="20">
        <f ca="1">IF(ISERROR(#REF!),TODAY(),#REF!)</f>
        <v>44536</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2"/>
        <v>#VALUE!</v>
      </c>
      <c r="C67" s="15" t="e">
        <f t="shared" si="3"/>
        <v>#VALUE!</v>
      </c>
      <c r="D67" s="15"/>
      <c r="E67" s="20">
        <f ca="1">IF(ISERROR(#REF!),TODAY(),#REF!)</f>
        <v>44536</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2"/>
        <v>#VALUE!</v>
      </c>
      <c r="C68" s="15" t="e">
        <f t="shared" si="3"/>
        <v>#VALUE!</v>
      </c>
      <c r="D68" s="15"/>
      <c r="E68" s="20">
        <f ca="1">IF(ISERROR(#REF!),TODAY(),#REF!)</f>
        <v>44536</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2"/>
        <v>#VALUE!</v>
      </c>
      <c r="C69" s="15" t="e">
        <f t="shared" si="3"/>
        <v>#VALUE!</v>
      </c>
      <c r="D69" s="15"/>
      <c r="E69" s="20">
        <f ca="1">IF(ISERROR(#REF!),TODAY(),#REF!)</f>
        <v>44536</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2"/>
        <v>#VALUE!</v>
      </c>
      <c r="C70" s="15" t="e">
        <f t="shared" si="3"/>
        <v>#VALUE!</v>
      </c>
      <c r="D70" s="15"/>
      <c r="E70" s="20">
        <f ca="1">IF(ISERROR(#REF!),TODAY(),#REF!)</f>
        <v>44536</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2"/>
        <v>#VALUE!</v>
      </c>
      <c r="C71" s="15" t="e">
        <f t="shared" si="3"/>
        <v>#VALUE!</v>
      </c>
      <c r="D71" s="15"/>
      <c r="E71" s="20">
        <f ca="1">IF(ISERROR(#REF!),TODAY(),#REF!)</f>
        <v>44536</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2"/>
        <v>#VALUE!</v>
      </c>
      <c r="C72" s="15" t="e">
        <f t="shared" si="3"/>
        <v>#VALUE!</v>
      </c>
      <c r="D72" s="15"/>
      <c r="E72" s="20">
        <f ca="1">IF(ISERROR(#REF!),TODAY(),#REF!)</f>
        <v>44536</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2"/>
        <v>#VALUE!</v>
      </c>
      <c r="C73" s="15" t="e">
        <f t="shared" si="3"/>
        <v>#VALUE!</v>
      </c>
      <c r="D73" s="15"/>
      <c r="E73" s="20">
        <f ca="1">IF(ISERROR(#REF!),TODAY(),#REF!)</f>
        <v>44536</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2"/>
        <v>#VALUE!</v>
      </c>
      <c r="C74" s="15" t="e">
        <f t="shared" si="3"/>
        <v>#VALUE!</v>
      </c>
      <c r="D74" s="15"/>
      <c r="E74" s="20">
        <f ca="1">IF(ISERROR(#REF!),TODAY(),#REF!)</f>
        <v>44536</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2"/>
        <v>#VALUE!</v>
      </c>
      <c r="C75" s="15" t="e">
        <f t="shared" si="3"/>
        <v>#VALUE!</v>
      </c>
      <c r="D75" s="15"/>
      <c r="E75" s="20">
        <f ca="1">IF(ISERROR(#REF!),TODAY(),#REF!)</f>
        <v>44536</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2"/>
        <v>#VALUE!</v>
      </c>
      <c r="C76" s="15" t="e">
        <f t="shared" si="3"/>
        <v>#VALUE!</v>
      </c>
      <c r="D76" s="15"/>
      <c r="E76" s="20">
        <f ca="1">IF(ISERROR(#REF!),TODAY(),#REF!)</f>
        <v>44536</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2"/>
        <v>#VALUE!</v>
      </c>
      <c r="C77" s="15" t="e">
        <f t="shared" si="3"/>
        <v>#VALUE!</v>
      </c>
      <c r="D77" s="15"/>
      <c r="E77" s="20">
        <f ca="1">IF(ISERROR(#REF!),TODAY(),#REF!)</f>
        <v>44536</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2"/>
        <v>#VALUE!</v>
      </c>
      <c r="C78" s="15" t="e">
        <f t="shared" si="3"/>
        <v>#VALUE!</v>
      </c>
      <c r="D78" s="15"/>
      <c r="E78" s="20">
        <f ca="1">IF(ISERROR(#REF!),TODAY(),#REF!)</f>
        <v>44536</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2"/>
        <v>#VALUE!</v>
      </c>
      <c r="C79" s="15" t="e">
        <f t="shared" si="3"/>
        <v>#VALUE!</v>
      </c>
      <c r="D79" s="15"/>
      <c r="E79" s="20">
        <f ca="1">IF(ISERROR(#REF!),TODAY(),#REF!)</f>
        <v>44536</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2"/>
        <v>#VALUE!</v>
      </c>
      <c r="C80" s="15" t="e">
        <f t="shared" si="3"/>
        <v>#VALUE!</v>
      </c>
      <c r="D80" s="15"/>
      <c r="E80" s="20">
        <f ca="1">IF(ISERROR(#REF!),TODAY(),#REF!)</f>
        <v>44536</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2"/>
        <v>#VALUE!</v>
      </c>
      <c r="C81" s="15" t="e">
        <f t="shared" si="3"/>
        <v>#VALUE!</v>
      </c>
      <c r="D81" s="15"/>
      <c r="E81" s="20">
        <f ca="1">IF(ISERROR(#REF!),TODAY(),#REF!)</f>
        <v>44536</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2"/>
        <v>#VALUE!</v>
      </c>
      <c r="C82" s="15" t="e">
        <f t="shared" si="3"/>
        <v>#VALUE!</v>
      </c>
      <c r="D82" s="15"/>
      <c r="E82" s="20">
        <f ca="1">IF(ISERROR(#REF!),TODAY(),#REF!)</f>
        <v>44536</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2"/>
        <v>#VALUE!</v>
      </c>
      <c r="C83" s="15" t="e">
        <f t="shared" si="3"/>
        <v>#VALUE!</v>
      </c>
      <c r="D83" s="15"/>
      <c r="E83" s="20">
        <f ca="1">IF(ISERROR(#REF!),TODAY(),#REF!)</f>
        <v>44536</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2"/>
        <v>#VALUE!</v>
      </c>
      <c r="C84" s="15" t="e">
        <f t="shared" si="3"/>
        <v>#VALUE!</v>
      </c>
      <c r="D84" s="15"/>
      <c r="E84" s="20">
        <f ca="1">IF(ISERROR(#REF!),TODAY(),#REF!)</f>
        <v>44536</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2"/>
        <v>#VALUE!</v>
      </c>
      <c r="C85" s="15" t="e">
        <f t="shared" si="3"/>
        <v>#VALUE!</v>
      </c>
      <c r="D85" s="15"/>
      <c r="E85" s="20">
        <f ca="1">IF(ISERROR(#REF!),TODAY(),#REF!)</f>
        <v>44536</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2"/>
        <v>#VALUE!</v>
      </c>
      <c r="C86" s="15" t="e">
        <f t="shared" si="3"/>
        <v>#VALUE!</v>
      </c>
      <c r="D86" s="15"/>
      <c r="E86" s="20">
        <f ca="1">IF(ISERROR(#REF!),TODAY(),#REF!)</f>
        <v>44536</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2"/>
        <v>#VALUE!</v>
      </c>
      <c r="C87" s="15" t="e">
        <f t="shared" si="3"/>
        <v>#VALUE!</v>
      </c>
      <c r="D87" s="15"/>
      <c r="E87" s="20">
        <f ca="1">IF(ISERROR(#REF!),TODAY(),#REF!)</f>
        <v>44536</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2"/>
        <v>#VALUE!</v>
      </c>
      <c r="C88" s="15" t="e">
        <f t="shared" si="3"/>
        <v>#VALUE!</v>
      </c>
      <c r="D88" s="15"/>
      <c r="E88" s="20">
        <f ca="1">IF(ISERROR(#REF!),TODAY(),#REF!)</f>
        <v>44536</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2"/>
        <v>#VALUE!</v>
      </c>
      <c r="C89" s="15" t="e">
        <f t="shared" si="3"/>
        <v>#VALUE!</v>
      </c>
      <c r="D89" s="15"/>
      <c r="E89" s="20">
        <f ca="1">IF(ISERROR(#REF!),TODAY(),#REF!)</f>
        <v>44536</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2"/>
        <v>#VALUE!</v>
      </c>
      <c r="C90" s="15" t="e">
        <f t="shared" si="3"/>
        <v>#VALUE!</v>
      </c>
      <c r="D90" s="15"/>
      <c r="E90" s="20">
        <f ca="1">IF(ISERROR(#REF!),TODAY(),#REF!)</f>
        <v>44536</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2"/>
        <v>#VALUE!</v>
      </c>
      <c r="C91" s="15" t="e">
        <f t="shared" si="3"/>
        <v>#VALUE!</v>
      </c>
      <c r="D91" s="15"/>
      <c r="E91" s="20">
        <f ca="1">IF(ISERROR(#REF!),TODAY(),#REF!)</f>
        <v>44536</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2"/>
        <v>#VALUE!</v>
      </c>
      <c r="C92" s="15" t="e">
        <f t="shared" si="3"/>
        <v>#VALUE!</v>
      </c>
      <c r="D92" s="15"/>
      <c r="E92" s="20">
        <f ca="1">IF(ISERROR(#REF!),TODAY(),#REF!)</f>
        <v>44536</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2"/>
        <v>#VALUE!</v>
      </c>
      <c r="C93" s="15" t="e">
        <f t="shared" si="3"/>
        <v>#VALUE!</v>
      </c>
      <c r="D93" s="15"/>
      <c r="E93" s="20">
        <f ca="1">IF(ISERROR(#REF!),TODAY(),#REF!)</f>
        <v>44536</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2"/>
        <v>#VALUE!</v>
      </c>
      <c r="C94" s="15" t="e">
        <f t="shared" si="3"/>
        <v>#VALUE!</v>
      </c>
      <c r="D94" s="15"/>
      <c r="E94" s="20">
        <f ca="1">IF(ISERROR(#REF!),TODAY(),#REF!)</f>
        <v>44536</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2"/>
        <v>#VALUE!</v>
      </c>
      <c r="C95" s="15" t="e">
        <f t="shared" si="3"/>
        <v>#VALUE!</v>
      </c>
      <c r="D95" s="15"/>
      <c r="E95" s="20">
        <f ca="1">IF(ISERROR(#REF!),TODAY(),#REF!)</f>
        <v>44536</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2"/>
        <v>#VALUE!</v>
      </c>
      <c r="C96" s="15" t="e">
        <f t="shared" si="3"/>
        <v>#VALUE!</v>
      </c>
      <c r="D96" s="15"/>
      <c r="E96" s="20">
        <f ca="1">IF(ISERROR(#REF!),TODAY(),#REF!)</f>
        <v>44536</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2"/>
        <v>#VALUE!</v>
      </c>
      <c r="C97" s="15" t="e">
        <f t="shared" si="3"/>
        <v>#VALUE!</v>
      </c>
      <c r="D97" s="15"/>
      <c r="E97" s="20">
        <f ca="1">IF(ISERROR(#REF!),TODAY(),#REF!)</f>
        <v>44536</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2"/>
        <v>#VALUE!</v>
      </c>
      <c r="C98" s="15" t="e">
        <f t="shared" ref="C98:C129" si="4">"partner:"&amp;MID(A98,SEARCH(":",A98)+1,SEARCH(":",A98,SEARCH(":",A98)+1)-SEARCH(":",A98)-1)</f>
        <v>#VALUE!</v>
      </c>
      <c r="D98" s="15"/>
      <c r="E98" s="20">
        <f ca="1">IF(ISERROR(#REF!),TODAY(),#REF!)</f>
        <v>44536</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2"/>
        <v>#VALUE!</v>
      </c>
      <c r="C99" s="15" t="e">
        <f t="shared" si="4"/>
        <v>#VALUE!</v>
      </c>
      <c r="D99" s="15"/>
      <c r="E99" s="20">
        <f ca="1">IF(ISERROR(#REF!),TODAY(),#REF!)</f>
        <v>44536</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2"/>
        <v>#VALUE!</v>
      </c>
      <c r="C100" s="15" t="e">
        <f t="shared" si="4"/>
        <v>#VALUE!</v>
      </c>
      <c r="D100" s="15"/>
      <c r="E100" s="20">
        <f ca="1">IF(ISERROR(#REF!),TODAY(),#REF!)</f>
        <v>44536</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2"/>
        <v>#VALUE!</v>
      </c>
      <c r="C101" s="15" t="e">
        <f t="shared" si="4"/>
        <v>#VALUE!</v>
      </c>
      <c r="D101" s="15"/>
      <c r="E101" s="20">
        <f ca="1">IF(ISERROR(#REF!),TODAY(),#REF!)</f>
        <v>44536</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2"/>
        <v>#VALUE!</v>
      </c>
      <c r="C102" s="15" t="e">
        <f t="shared" si="4"/>
        <v>#VALUE!</v>
      </c>
      <c r="D102" s="15"/>
      <c r="E102" s="20">
        <f ca="1">IF(ISERROR(#REF!),TODAY(),#REF!)</f>
        <v>44536</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2"/>
        <v>#VALUE!</v>
      </c>
      <c r="C103" s="15" t="e">
        <f t="shared" si="4"/>
        <v>#VALUE!</v>
      </c>
      <c r="D103" s="15"/>
      <c r="E103" s="20">
        <f ca="1">IF(ISERROR(#REF!),TODAY(),#REF!)</f>
        <v>44536</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2"/>
        <v>#VALUE!</v>
      </c>
      <c r="C104" s="15" t="e">
        <f t="shared" si="4"/>
        <v>#VALUE!</v>
      </c>
      <c r="D104" s="15"/>
      <c r="E104" s="20">
        <f ca="1">IF(ISERROR(#REF!),TODAY(),#REF!)</f>
        <v>44536</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2"/>
        <v>#VALUE!</v>
      </c>
      <c r="C105" s="15" t="e">
        <f t="shared" si="4"/>
        <v>#VALUE!</v>
      </c>
      <c r="D105" s="15"/>
      <c r="E105" s="20">
        <f ca="1">IF(ISERROR(#REF!),TODAY(),#REF!)</f>
        <v>44536</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2"/>
        <v>#VALUE!</v>
      </c>
      <c r="C106" s="15" t="e">
        <f t="shared" si="4"/>
        <v>#VALUE!</v>
      </c>
      <c r="D106" s="15"/>
      <c r="E106" s="20">
        <f ca="1">IF(ISERROR(#REF!),TODAY(),#REF!)</f>
        <v>44536</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2"/>
        <v>#VALUE!</v>
      </c>
      <c r="C107" s="15" t="e">
        <f t="shared" si="4"/>
        <v>#VALUE!</v>
      </c>
      <c r="D107" s="15"/>
      <c r="E107" s="20">
        <f ca="1">IF(ISERROR(#REF!),TODAY(),#REF!)</f>
        <v>44536</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2"/>
        <v>#VALUE!</v>
      </c>
      <c r="C108" s="15" t="e">
        <f t="shared" si="4"/>
        <v>#VALUE!</v>
      </c>
      <c r="D108" s="15"/>
      <c r="E108" s="20">
        <f ca="1">IF(ISERROR(#REF!),TODAY(),#REF!)</f>
        <v>44536</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2"/>
        <v>#VALUE!</v>
      </c>
      <c r="C109" s="15" t="e">
        <f t="shared" si="4"/>
        <v>#VALUE!</v>
      </c>
      <c r="D109" s="15"/>
      <c r="E109" s="20">
        <f ca="1">IF(ISERROR(#REF!),TODAY(),#REF!)</f>
        <v>44536</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2"/>
        <v>#VALUE!</v>
      </c>
      <c r="C110" s="15" t="e">
        <f t="shared" si="4"/>
        <v>#VALUE!</v>
      </c>
      <c r="D110" s="15"/>
      <c r="E110" s="20">
        <f ca="1">IF(ISERROR(#REF!),TODAY(),#REF!)</f>
        <v>44536</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2"/>
        <v>#VALUE!</v>
      </c>
      <c r="C111" s="15" t="e">
        <f t="shared" si="4"/>
        <v>#VALUE!</v>
      </c>
      <c r="D111" s="15"/>
      <c r="E111" s="20">
        <f ca="1">IF(ISERROR(#REF!),TODAY(),#REF!)</f>
        <v>44536</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2"/>
        <v>#VALUE!</v>
      </c>
      <c r="C112" s="15" t="e">
        <f t="shared" si="4"/>
        <v>#VALUE!</v>
      </c>
      <c r="D112" s="15"/>
      <c r="E112" s="20">
        <f ca="1">IF(ISERROR(#REF!),TODAY(),#REF!)</f>
        <v>44536</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2"/>
        <v>#VALUE!</v>
      </c>
      <c r="C113" s="15" t="e">
        <f t="shared" si="4"/>
        <v>#VALUE!</v>
      </c>
      <c r="D113" s="15"/>
      <c r="E113" s="20">
        <f ca="1">IF(ISERROR(#REF!),TODAY(),#REF!)</f>
        <v>44536</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2"/>
        <v>#VALUE!</v>
      </c>
      <c r="C114" s="15" t="e">
        <f t="shared" si="4"/>
        <v>#VALUE!</v>
      </c>
      <c r="D114" s="15"/>
      <c r="E114" s="20">
        <f ca="1">IF(ISERROR(#REF!),TODAY(),#REF!)</f>
        <v>44536</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2"/>
        <v>#VALUE!</v>
      </c>
      <c r="C115" s="15" t="e">
        <f t="shared" si="4"/>
        <v>#VALUE!</v>
      </c>
      <c r="D115" s="15"/>
      <c r="E115" s="20">
        <f ca="1">IF(ISERROR(#REF!),TODAY(),#REF!)</f>
        <v>44536</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2"/>
        <v>#VALUE!</v>
      </c>
      <c r="C116" s="15" t="e">
        <f t="shared" si="4"/>
        <v>#VALUE!</v>
      </c>
      <c r="D116" s="15"/>
      <c r="E116" s="20">
        <f ca="1">IF(ISERROR(#REF!),TODAY(),#REF!)</f>
        <v>44536</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2"/>
        <v>#VALUE!</v>
      </c>
      <c r="C117" s="15" t="e">
        <f t="shared" si="4"/>
        <v>#VALUE!</v>
      </c>
      <c r="D117" s="15"/>
      <c r="E117" s="20">
        <f ca="1">IF(ISERROR(#REF!),TODAY(),#REF!)</f>
        <v>44536</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2"/>
        <v>#VALUE!</v>
      </c>
      <c r="C118" s="15" t="e">
        <f t="shared" si="4"/>
        <v>#VALUE!</v>
      </c>
      <c r="D118" s="15"/>
      <c r="E118" s="20">
        <f ca="1">IF(ISERROR(#REF!),TODAY(),#REF!)</f>
        <v>44536</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2"/>
        <v>#VALUE!</v>
      </c>
      <c r="C119" s="15" t="e">
        <f t="shared" si="4"/>
        <v>#VALUE!</v>
      </c>
      <c r="D119" s="15"/>
      <c r="E119" s="20">
        <f ca="1">IF(ISERROR(#REF!),TODAY(),#REF!)</f>
        <v>44536</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2"/>
        <v>#VALUE!</v>
      </c>
      <c r="C120" s="15" t="e">
        <f t="shared" si="4"/>
        <v>#VALUE!</v>
      </c>
      <c r="D120" s="15"/>
      <c r="E120" s="20">
        <f ca="1">IF(ISERROR(#REF!),TODAY(),#REF!)</f>
        <v>44536</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2"/>
        <v>#VALUE!</v>
      </c>
      <c r="C121" s="15" t="e">
        <f t="shared" si="4"/>
        <v>#VALUE!</v>
      </c>
      <c r="D121" s="15"/>
      <c r="E121" s="20">
        <f ca="1">IF(ISERROR(#REF!),TODAY(),#REF!)</f>
        <v>44536</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2"/>
        <v>#VALUE!</v>
      </c>
      <c r="C122" s="15" t="e">
        <f t="shared" si="4"/>
        <v>#VALUE!</v>
      </c>
      <c r="D122" s="15"/>
      <c r="E122" s="20">
        <f ca="1">IF(ISERROR(#REF!),TODAY(),#REF!)</f>
        <v>44536</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2"/>
        <v>#VALUE!</v>
      </c>
      <c r="C123" s="15" t="e">
        <f t="shared" si="4"/>
        <v>#VALUE!</v>
      </c>
      <c r="D123" s="15"/>
      <c r="E123" s="20">
        <f ca="1">IF(ISERROR(#REF!),TODAY(),#REF!)</f>
        <v>44536</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2"/>
        <v>#VALUE!</v>
      </c>
      <c r="C124" s="15" t="e">
        <f t="shared" si="4"/>
        <v>#VALUE!</v>
      </c>
      <c r="D124" s="15"/>
      <c r="E124" s="20">
        <f ca="1">IF(ISERROR(#REF!),TODAY(),#REF!)</f>
        <v>44536</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2"/>
        <v>#VALUE!</v>
      </c>
      <c r="C125" s="15" t="e">
        <f t="shared" si="4"/>
        <v>#VALUE!</v>
      </c>
      <c r="D125" s="15"/>
      <c r="E125" s="20">
        <f ca="1">IF(ISERROR(#REF!),TODAY(),#REF!)</f>
        <v>44536</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2"/>
        <v>#VALUE!</v>
      </c>
      <c r="C126" s="15" t="e">
        <f t="shared" si="4"/>
        <v>#VALUE!</v>
      </c>
      <c r="D126" s="15"/>
      <c r="E126" s="20">
        <f ca="1">IF(ISERROR(#REF!),TODAY(),#REF!)</f>
        <v>44536</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2"/>
        <v>#VALUE!</v>
      </c>
      <c r="C127" s="15" t="e">
        <f t="shared" si="4"/>
        <v>#VALUE!</v>
      </c>
      <c r="D127" s="15"/>
      <c r="E127" s="20">
        <f ca="1">IF(ISERROR(#REF!),TODAY(),#REF!)</f>
        <v>44536</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2"/>
        <v>#VALUE!</v>
      </c>
      <c r="C128" s="15" t="e">
        <f t="shared" si="4"/>
        <v>#VALUE!</v>
      </c>
      <c r="D128" s="15"/>
      <c r="E128" s="20">
        <f ca="1">IF(ISERROR(#REF!),TODAY(),#REF!)</f>
        <v>44536</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2"/>
        <v>#VALUE!</v>
      </c>
      <c r="C129" s="15" t="e">
        <f t="shared" si="4"/>
        <v>#VALUE!</v>
      </c>
      <c r="D129" s="15"/>
      <c r="E129" s="20">
        <f ca="1">IF(ISERROR(#REF!),TODAY(),#REF!)</f>
        <v>44536</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5" xml:space="preserve"> MID(A130,SEARCH(":",A130)+2,SEARCH(":",A130,SEARCH(":",A130)+1)-SEARCH(":",A130)-3)</f>
        <v>#VALUE!</v>
      </c>
      <c r="C130" s="15" t="e">
        <f t="shared" ref="C130:C136" si="6">"partner:"&amp;MID(A130,SEARCH(":",A130)+1,SEARCH(":",A130,SEARCH(":",A130)+1)-SEARCH(":",A130)-1)</f>
        <v>#VALUE!</v>
      </c>
      <c r="D130" s="15"/>
      <c r="E130" s="20">
        <f ca="1">IF(ISERROR(#REF!),TODAY(),#REF!)</f>
        <v>44536</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5"/>
        <v>#VALUE!</v>
      </c>
      <c r="C131" s="15" t="e">
        <f t="shared" si="6"/>
        <v>#VALUE!</v>
      </c>
      <c r="D131" s="15"/>
      <c r="E131" s="20">
        <f ca="1">IF(ISERROR(#REF!),TODAY(),#REF!)</f>
        <v>44536</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5"/>
        <v>#VALUE!</v>
      </c>
      <c r="C132" s="15" t="e">
        <f t="shared" si="6"/>
        <v>#VALUE!</v>
      </c>
      <c r="D132" s="15"/>
      <c r="E132" s="20">
        <f ca="1">IF(ISERROR(#REF!),TODAY(),#REF!)</f>
        <v>44536</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5"/>
        <v>#VALUE!</v>
      </c>
      <c r="C133" s="15" t="e">
        <f t="shared" si="6"/>
        <v>#VALUE!</v>
      </c>
      <c r="D133" s="15"/>
      <c r="E133" s="20">
        <f ca="1">IF(ISERROR(#REF!),TODAY(),#REF!)</f>
        <v>44536</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5"/>
        <v>#VALUE!</v>
      </c>
      <c r="C134" s="15" t="e">
        <f t="shared" si="6"/>
        <v>#VALUE!</v>
      </c>
      <c r="D134" s="15"/>
      <c r="E134" s="20">
        <f ca="1">IF(ISERROR(#REF!),TODAY(),#REF!)</f>
        <v>44536</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5"/>
        <v>#VALUE!</v>
      </c>
      <c r="C135" s="15" t="e">
        <f t="shared" si="6"/>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5"/>
        <v>#VALUE!</v>
      </c>
      <c r="C136" s="15" t="e">
        <f t="shared" si="6"/>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G137:G1048576 E1:E136">
    <cfRule type="expression" dxfId="66" priority="2">
      <formula>TODAY()-E1&gt;=7</formula>
    </cfRule>
    <cfRule type="expression" dxfId="65" priority="3">
      <formula>TODAY()-E1&gt;=5</formula>
    </cfRule>
    <cfRule type="expression" dxfId="64" priority="4">
      <formula>TODAY()-E1&gt;=3</formula>
    </cfRule>
  </conditionalFormatting>
  <conditionalFormatting sqref="D1:D1048576">
    <cfRule type="expression" dxfId="63" priority="1">
      <formula>ISBLANK(D1)</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Z136"/>
  <sheetViews>
    <sheetView topLeftCell="A7" zoomScaleNormal="100" workbookViewId="0">
      <selection activeCell="A4" sqref="A4"/>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47</v>
      </c>
      <c r="C1" s="1" t="s">
        <v>121</v>
      </c>
      <c r="D1" s="15" t="s">
        <v>43</v>
      </c>
      <c r="E1" s="6" t="s">
        <v>12</v>
      </c>
      <c r="F1" s="1" t="s">
        <v>13</v>
      </c>
      <c r="G1" s="1" t="s">
        <v>14</v>
      </c>
      <c r="H1" s="10" t="s">
        <v>40</v>
      </c>
      <c r="I1" s="1" t="s">
        <v>36</v>
      </c>
      <c r="J1" s="1" t="s">
        <v>37</v>
      </c>
      <c r="K1" s="1" t="s">
        <v>38</v>
      </c>
      <c r="L1" s="1" t="s">
        <v>39</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t="s">
        <v>87</v>
      </c>
      <c r="C2" t="str">
        <f t="shared" ref="C2:C33" si="0" xml:space="preserve"> MID(A2,SEARCH(":",A2)+2,SEARCH(":",A2,SEARCH(":",A2)+1)-SEARCH(":",A2)-3)</f>
        <v>Full Compass</v>
      </c>
      <c r="D2" t="str">
        <f>"partner:"&amp;MID(A2,SEARCH(":",A2)+1,SEARCH(":",A2,SEARCH(":",A2)+1)-SEARCH(":",A2)-1)</f>
        <v xml:space="preserve">partner: Full Compass </v>
      </c>
      <c r="E2" s="38" t="e">
        <f>DATEVALUE(SUBSTITUTE(LEFT(#REF!,SEARCH(" ",#REF!)-1),".","/"))</f>
        <v>#REF!</v>
      </c>
      <c r="F2" t="s">
        <v>96</v>
      </c>
      <c r="G2"/>
      <c r="I2"/>
      <c r="J2"/>
      <c r="K2"/>
    </row>
    <row r="3" spans="1:26" ht="90" x14ac:dyDescent="0.25">
      <c r="A3" s="27" t="s">
        <v>54</v>
      </c>
      <c r="B3" s="15" t="str">
        <f t="shared" ref="B3:B65" si="1" xml:space="preserve"> MID(A3,SEARCH(":",A3)+2,SEARCH(":",A3,SEARCH(":",A3)+1)-SEARCH(":",A3)-3)</f>
        <v>Raynor Gaming</v>
      </c>
      <c r="C3" s="15" t="str">
        <f t="shared" si="0"/>
        <v>Raynor Gaming</v>
      </c>
      <c r="D3" s="1" t="s">
        <v>120</v>
      </c>
      <c r="E3" s="20">
        <f ca="1">IF(ISERROR(#REF!),TODAY(),#REF!)</f>
        <v>44536</v>
      </c>
      <c r="F3" s="15" t="s">
        <v>55</v>
      </c>
      <c r="G3" s="15"/>
      <c r="H3" s="21"/>
      <c r="I3" s="15"/>
      <c r="J3" s="15"/>
      <c r="K3" s="15"/>
      <c r="L3" s="15"/>
      <c r="M3" s="15"/>
      <c r="N3" s="15"/>
      <c r="O3" s="15"/>
      <c r="P3" s="15"/>
      <c r="Q3" s="15"/>
      <c r="R3" s="15"/>
      <c r="S3" s="15"/>
      <c r="T3" s="15"/>
      <c r="U3" s="15"/>
      <c r="V3" s="15"/>
      <c r="W3" s="15"/>
      <c r="X3" s="15"/>
      <c r="Y3" s="15"/>
      <c r="Z3" s="15"/>
    </row>
    <row r="4" spans="1:26" ht="75" x14ac:dyDescent="0.25">
      <c r="A4" s="35" t="s">
        <v>56</v>
      </c>
      <c r="B4" s="16" t="str">
        <f t="shared" si="1"/>
        <v>C2wireless SPS Vendor</v>
      </c>
      <c r="C4" s="15" t="str">
        <f t="shared" si="0"/>
        <v>C2wireless SPS Vendor</v>
      </c>
      <c r="D4" s="1" t="s">
        <v>100</v>
      </c>
      <c r="E4" s="20">
        <f ca="1">IF(ISERROR(#REF!),TODAY(),#REF!)</f>
        <v>44536</v>
      </c>
      <c r="F4" s="15" t="s">
        <v>57</v>
      </c>
      <c r="G4" s="15"/>
      <c r="H4" s="21"/>
      <c r="I4" s="15"/>
      <c r="J4" s="15"/>
      <c r="K4" s="15"/>
      <c r="L4" s="15"/>
      <c r="M4" s="15"/>
      <c r="N4" s="15"/>
      <c r="O4" s="15"/>
      <c r="P4" s="15"/>
      <c r="Q4" s="15"/>
      <c r="R4" s="15"/>
      <c r="S4" s="15"/>
      <c r="T4" s="15"/>
      <c r="U4" s="15"/>
      <c r="V4" s="15"/>
      <c r="W4" s="15"/>
      <c r="X4" s="15"/>
      <c r="Y4" s="15"/>
      <c r="Z4" s="15"/>
    </row>
    <row r="5" spans="1:26" s="1" customFormat="1" ht="30" x14ac:dyDescent="0.25">
      <c r="A5" s="30" t="s">
        <v>86</v>
      </c>
      <c r="B5" s="15" t="str">
        <f t="shared" si="1"/>
        <v>Cameron Ashley Building Products, Inc.</v>
      </c>
      <c r="C5" s="15" t="str">
        <f t="shared" si="0"/>
        <v>Cameron Ashley Building Products, Inc.</v>
      </c>
      <c r="D5" s="1" t="s">
        <v>107</v>
      </c>
      <c r="E5" s="20">
        <f ca="1">IF(ISERROR(#REF!),TODAY(),#REF!)</f>
        <v>44536</v>
      </c>
      <c r="F5" t="s">
        <v>51</v>
      </c>
      <c r="G5" s="15"/>
      <c r="H5" s="21"/>
      <c r="I5" s="15"/>
      <c r="J5" s="15"/>
      <c r="K5" s="15"/>
      <c r="L5" s="15"/>
      <c r="M5" s="15"/>
      <c r="N5" s="15"/>
      <c r="O5" s="15"/>
      <c r="P5" s="15"/>
      <c r="Q5" s="15"/>
      <c r="R5" s="15"/>
      <c r="S5" s="15"/>
      <c r="T5" s="15"/>
      <c r="U5" s="15"/>
      <c r="V5" s="15"/>
      <c r="W5" s="15"/>
      <c r="X5" s="15"/>
      <c r="Y5" s="15"/>
      <c r="Z5" s="15"/>
    </row>
    <row r="6" spans="1:26" x14ac:dyDescent="0.25">
      <c r="A6" s="34" t="s">
        <v>84</v>
      </c>
      <c r="B6" s="15" t="str">
        <f t="shared" si="1"/>
        <v>CJ Pony Parts - File Partner</v>
      </c>
      <c r="C6" s="15" t="str">
        <f t="shared" si="0"/>
        <v>CJ Pony Parts - File Partner</v>
      </c>
      <c r="D6" s="15" t="s">
        <v>108</v>
      </c>
      <c r="E6" s="20">
        <f ca="1">IF(ISERROR(#REF!),TODAY(),#REF!)</f>
        <v>44536</v>
      </c>
      <c r="F6" t="s">
        <v>94</v>
      </c>
      <c r="G6" s="15"/>
      <c r="H6" s="21"/>
      <c r="I6" s="15"/>
      <c r="J6" s="15"/>
      <c r="K6" s="15"/>
      <c r="L6" s="15"/>
      <c r="M6" s="15"/>
      <c r="N6" s="15"/>
      <c r="O6" s="15"/>
      <c r="P6" s="15"/>
      <c r="Q6" s="15"/>
      <c r="R6" s="15"/>
      <c r="S6" s="15"/>
      <c r="T6" s="15"/>
      <c r="U6" s="15"/>
      <c r="V6" s="15"/>
      <c r="W6" s="15"/>
      <c r="X6" s="15"/>
      <c r="Y6" s="15"/>
      <c r="Z6" s="15"/>
    </row>
    <row r="7" spans="1:26" s="13" customFormat="1" ht="30.75" thickBot="1" x14ac:dyDescent="0.3">
      <c r="A7" s="34" t="s">
        <v>77</v>
      </c>
      <c r="B7" s="15" t="str">
        <f t="shared" si="1"/>
        <v>Coborn's Central Support Pharmacy</v>
      </c>
      <c r="C7" s="15" t="str">
        <f t="shared" si="0"/>
        <v>Coborn's Central Support Pharmacy</v>
      </c>
      <c r="D7" s="1" t="s">
        <v>109</v>
      </c>
      <c r="E7" s="20">
        <f ca="1">IF(ISERROR(#REF!),TODAY(),#REF!)</f>
        <v>44536</v>
      </c>
      <c r="F7" t="s">
        <v>51</v>
      </c>
      <c r="G7" s="15"/>
      <c r="H7" s="21"/>
      <c r="I7" s="15"/>
      <c r="J7" s="15"/>
      <c r="K7" s="15"/>
      <c r="L7" s="15"/>
      <c r="M7" s="15"/>
      <c r="N7" s="15"/>
      <c r="O7" s="15"/>
      <c r="P7" s="15"/>
      <c r="Q7" s="15"/>
      <c r="R7" s="15"/>
      <c r="S7" s="15"/>
      <c r="T7" s="15"/>
      <c r="U7" s="15"/>
      <c r="V7" s="15"/>
      <c r="W7" s="15"/>
      <c r="X7" s="15"/>
      <c r="Y7" s="15"/>
      <c r="Z7" s="15"/>
    </row>
    <row r="8" spans="1:26" s="5" customFormat="1" ht="150" x14ac:dyDescent="0.25">
      <c r="A8" s="28" t="s">
        <v>49</v>
      </c>
      <c r="B8" s="16" t="str">
        <f t="shared" si="1"/>
        <v>Cosma - Bowling Green Metalforming</v>
      </c>
      <c r="C8" s="16" t="str">
        <f t="shared" si="0"/>
        <v>Cosma - Bowling Green Metalforming</v>
      </c>
      <c r="D8" s="25" t="s">
        <v>101</v>
      </c>
      <c r="E8" s="20">
        <f ca="1">IF(ISERROR(#REF!),TODAY(),#REF!)</f>
        <v>44536</v>
      </c>
      <c r="F8" s="16" t="s">
        <v>50</v>
      </c>
      <c r="G8" s="16"/>
      <c r="H8" s="22"/>
      <c r="I8" s="16"/>
      <c r="J8" s="16"/>
      <c r="K8" s="16"/>
      <c r="L8" s="16"/>
      <c r="M8" s="16"/>
      <c r="N8" s="16"/>
      <c r="O8" s="16"/>
      <c r="P8" s="16"/>
      <c r="Q8" s="16"/>
      <c r="R8" s="16"/>
      <c r="S8" s="16"/>
      <c r="T8" s="16"/>
      <c r="U8" s="16"/>
      <c r="V8" s="16"/>
      <c r="W8" s="16"/>
      <c r="X8" s="16"/>
      <c r="Y8" s="16"/>
      <c r="Z8" s="16"/>
    </row>
    <row r="9" spans="1:26" x14ac:dyDescent="0.25">
      <c r="A9" s="32" t="s">
        <v>87</v>
      </c>
      <c r="B9" s="15" t="str">
        <f t="shared" si="1"/>
        <v>Full Compass</v>
      </c>
      <c r="C9" s="15" t="str">
        <f t="shared" si="0"/>
        <v>Full Compass</v>
      </c>
      <c r="D9" s="15" t="s">
        <v>108</v>
      </c>
      <c r="E9" s="20">
        <f ca="1">IF(ISERROR(#REF!),TODAY(),#REF!)</f>
        <v>44536</v>
      </c>
      <c r="F9" t="s">
        <v>96</v>
      </c>
      <c r="G9" s="15"/>
      <c r="H9" s="21"/>
      <c r="I9" s="15"/>
      <c r="J9" s="15"/>
      <c r="K9" s="15"/>
      <c r="L9" s="15"/>
      <c r="M9" s="15"/>
      <c r="N9" s="15"/>
      <c r="O9" s="15"/>
      <c r="P9" s="15"/>
      <c r="Q9" s="15"/>
      <c r="R9" s="15"/>
      <c r="S9" s="15"/>
      <c r="T9" s="15"/>
      <c r="U9" s="15"/>
      <c r="V9" s="15"/>
      <c r="W9" s="15"/>
      <c r="X9" s="15"/>
      <c r="Y9" s="15"/>
      <c r="Z9" s="15"/>
    </row>
    <row r="10" spans="1:26" s="18" customFormat="1" ht="60" x14ac:dyDescent="0.25">
      <c r="A10" s="27" t="s">
        <v>58</v>
      </c>
      <c r="B10" s="16" t="str">
        <f t="shared" si="1"/>
        <v>Herregan Distributors Inc.</v>
      </c>
      <c r="C10" s="15" t="str">
        <f t="shared" si="0"/>
        <v>Herregan Distributors Inc.</v>
      </c>
      <c r="D10" s="1" t="s">
        <v>102</v>
      </c>
      <c r="E10" s="20">
        <f ca="1">IF(ISERROR(#REF!),TODAY(),#REF!)</f>
        <v>44536</v>
      </c>
      <c r="F10" s="15" t="s">
        <v>67</v>
      </c>
      <c r="G10" s="15"/>
      <c r="H10" s="21"/>
      <c r="I10" s="15"/>
      <c r="J10" s="15"/>
      <c r="K10" s="15"/>
      <c r="L10" s="15"/>
      <c r="M10" s="15"/>
      <c r="N10" s="15"/>
      <c r="O10" s="15"/>
      <c r="P10" s="15"/>
      <c r="Q10" s="15"/>
      <c r="R10" s="15"/>
      <c r="S10" s="15"/>
      <c r="T10" s="15"/>
      <c r="U10" s="15"/>
      <c r="V10" s="15"/>
      <c r="W10" s="15"/>
      <c r="X10" s="15"/>
      <c r="Y10" s="15"/>
      <c r="Z10" s="15"/>
    </row>
    <row r="11" spans="1:26" ht="30" x14ac:dyDescent="0.25">
      <c r="A11" s="34" t="s">
        <v>75</v>
      </c>
      <c r="B11" s="15" t="str">
        <f t="shared" si="1"/>
        <v>Home Depot Pro</v>
      </c>
      <c r="C11" s="15" t="str">
        <f t="shared" si="0"/>
        <v>Home Depot Pro</v>
      </c>
      <c r="D11" s="1" t="s">
        <v>103</v>
      </c>
      <c r="E11" s="20">
        <f ca="1">IF(ISERROR(#REF!),TODAY(),#REF!)</f>
        <v>44536</v>
      </c>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34" t="s">
        <v>79</v>
      </c>
      <c r="B12" s="15" t="str">
        <f t="shared" si="1"/>
        <v>Magna Closures</v>
      </c>
      <c r="C12" s="15" t="str">
        <f t="shared" si="0"/>
        <v>Magna Closures</v>
      </c>
      <c r="D12" s="15" t="s">
        <v>108</v>
      </c>
      <c r="E12" s="20">
        <f ca="1">IF(ISERROR(#REF!),TODAY(),#REF!)</f>
        <v>44536</v>
      </c>
      <c r="F12" t="s">
        <v>92</v>
      </c>
      <c r="G12" s="15"/>
      <c r="H12" s="21"/>
      <c r="I12" s="15"/>
      <c r="J12" s="15"/>
      <c r="K12" s="15"/>
      <c r="L12" s="15"/>
      <c r="M12" s="15"/>
      <c r="N12" s="15"/>
      <c r="O12" s="15"/>
      <c r="P12" s="15"/>
      <c r="Q12" s="15"/>
      <c r="R12" s="15"/>
      <c r="S12" s="15"/>
      <c r="T12" s="15"/>
      <c r="U12" s="15"/>
      <c r="V12" s="15"/>
      <c r="W12" s="15"/>
      <c r="X12" s="15"/>
      <c r="Y12" s="15"/>
      <c r="Z12" s="15"/>
    </row>
    <row r="13" spans="1:26" x14ac:dyDescent="0.25">
      <c r="A13" s="34" t="s">
        <v>89</v>
      </c>
      <c r="B13" s="15" t="str">
        <f t="shared" si="1"/>
        <v>Peg Perego</v>
      </c>
      <c r="C13" s="15" t="str">
        <f t="shared" si="0"/>
        <v>Peg Perego</v>
      </c>
      <c r="D13" s="15" t="s">
        <v>108</v>
      </c>
      <c r="E13" s="20">
        <f ca="1">IF(ISERROR(#REF!),TODAY(),#REF!)</f>
        <v>44536</v>
      </c>
      <c r="F13" t="s">
        <v>98</v>
      </c>
      <c r="G13" s="15"/>
      <c r="H13" s="21"/>
      <c r="I13" s="15"/>
      <c r="J13" s="15"/>
      <c r="K13" s="15"/>
      <c r="L13" s="15"/>
      <c r="M13" s="15"/>
      <c r="N13" s="15"/>
      <c r="O13" s="15"/>
      <c r="P13" s="15"/>
      <c r="Q13" s="15"/>
      <c r="R13" s="15"/>
      <c r="S13" s="15"/>
      <c r="T13" s="15"/>
      <c r="U13" s="15"/>
      <c r="V13" s="15"/>
      <c r="W13" s="15"/>
      <c r="X13" s="15"/>
      <c r="Y13" s="15"/>
      <c r="Z13" s="15"/>
    </row>
    <row r="14" spans="1:26" x14ac:dyDescent="0.25">
      <c r="A14" s="34" t="s">
        <v>85</v>
      </c>
      <c r="B14" s="15" t="str">
        <f t="shared" si="1"/>
        <v>Quadratec Vendor</v>
      </c>
      <c r="C14" s="15" t="str">
        <f t="shared" si="0"/>
        <v>Quadratec Vendor</v>
      </c>
      <c r="D14" s="15" t="s">
        <v>108</v>
      </c>
      <c r="E14" s="20">
        <f ca="1">IF(ISERROR(#REF!),TODAY(),#REF!)</f>
        <v>44536</v>
      </c>
      <c r="F14" t="s">
        <v>95</v>
      </c>
      <c r="G14" s="15"/>
      <c r="H14" s="21"/>
      <c r="I14" s="15"/>
      <c r="J14" s="15"/>
      <c r="K14" s="15"/>
      <c r="L14" s="15"/>
      <c r="M14" s="15"/>
      <c r="N14" s="15"/>
      <c r="O14" s="15"/>
      <c r="P14" s="15"/>
      <c r="Q14" s="15"/>
      <c r="R14" s="15"/>
      <c r="S14" s="15"/>
      <c r="T14" s="15"/>
      <c r="U14" s="15"/>
      <c r="V14" s="15"/>
      <c r="W14" s="15"/>
      <c r="X14" s="15"/>
      <c r="Y14" s="15"/>
      <c r="Z14" s="15"/>
    </row>
    <row r="15" spans="1:26" x14ac:dyDescent="0.25">
      <c r="A15" s="33" t="s">
        <v>83</v>
      </c>
      <c r="B15" s="15" t="str">
        <f t="shared" si="1"/>
        <v>Thoroughbred Diesel</v>
      </c>
      <c r="C15" s="15" t="str">
        <f t="shared" si="0"/>
        <v>Thoroughbred Diesel</v>
      </c>
      <c r="D15" s="15" t="s">
        <v>108</v>
      </c>
      <c r="E15" s="20">
        <f ca="1">IF(ISERROR(#REF!),TODAY(),#REF!)</f>
        <v>44536</v>
      </c>
      <c r="F15" t="s">
        <v>93</v>
      </c>
      <c r="G15" s="15"/>
      <c r="H15" s="21"/>
      <c r="I15" s="15"/>
      <c r="J15" s="15"/>
      <c r="K15" s="15"/>
      <c r="L15" s="15"/>
      <c r="M15" s="15"/>
      <c r="N15" s="15"/>
      <c r="O15" s="15"/>
      <c r="P15" s="15"/>
      <c r="Q15" s="15"/>
      <c r="R15" s="15"/>
      <c r="S15" s="15"/>
      <c r="T15" s="15"/>
      <c r="U15" s="15"/>
      <c r="V15" s="15"/>
      <c r="W15" s="15"/>
      <c r="X15" s="15"/>
      <c r="Y15" s="15"/>
      <c r="Z15" s="15"/>
    </row>
    <row r="16" spans="1:26" s="19" customFormat="1" ht="45" x14ac:dyDescent="0.25">
      <c r="A16" s="27" t="s">
        <v>60</v>
      </c>
      <c r="B16" s="16" t="str">
        <f t="shared" si="1"/>
        <v>Tower Automotive - Bellevue</v>
      </c>
      <c r="C16" s="15" t="str">
        <f t="shared" si="0"/>
        <v>Tower Automotive - Bellevue</v>
      </c>
      <c r="D16" s="1" t="s">
        <v>104</v>
      </c>
      <c r="E16" s="20">
        <f ca="1">IF(ISERROR(#REF!),TODAY(),#REF!)</f>
        <v>44536</v>
      </c>
      <c r="F16" s="15" t="s">
        <v>70</v>
      </c>
      <c r="G16" s="15"/>
      <c r="H16" s="21"/>
      <c r="I16" s="15"/>
      <c r="J16" s="15"/>
      <c r="K16" s="15"/>
      <c r="L16" s="15"/>
      <c r="M16" s="15"/>
      <c r="N16" s="15"/>
      <c r="O16" s="15"/>
      <c r="P16" s="15"/>
      <c r="Q16" s="15"/>
      <c r="R16" s="15"/>
      <c r="S16" s="15"/>
      <c r="T16" s="15"/>
      <c r="U16" s="15"/>
      <c r="V16" s="15"/>
      <c r="W16" s="15"/>
      <c r="X16" s="15"/>
      <c r="Y16" s="15"/>
      <c r="Z16" s="15"/>
    </row>
    <row r="17" spans="1:26" ht="150.75" thickBot="1" x14ac:dyDescent="0.3">
      <c r="A17" s="27" t="s">
        <v>46</v>
      </c>
      <c r="B17" s="16" t="str">
        <f t="shared" si="1"/>
        <v>Trenton Cold Storage</v>
      </c>
      <c r="C17" s="16" t="str">
        <f t="shared" si="0"/>
        <v>Trenton Cold Storage</v>
      </c>
      <c r="D17" s="25" t="s">
        <v>106</v>
      </c>
      <c r="E17" s="20">
        <f ca="1">IF(ISERROR(#REF!),TODAY(),#REF!)</f>
        <v>44536</v>
      </c>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31" t="s">
        <v>88</v>
      </c>
      <c r="B18" s="15" t="str">
        <f t="shared" si="1"/>
        <v>Uppa Baby</v>
      </c>
      <c r="C18" s="15" t="str">
        <f t="shared" si="0"/>
        <v>Uppa Baby</v>
      </c>
      <c r="D18" s="15" t="s">
        <v>108</v>
      </c>
      <c r="E18" s="20">
        <f ca="1">IF(ISERROR(#REF!),TODAY(),#REF!)</f>
        <v>44536</v>
      </c>
      <c r="F18" t="s">
        <v>97</v>
      </c>
      <c r="G18" s="15"/>
      <c r="H18" s="21"/>
      <c r="I18" s="15"/>
      <c r="J18" s="15"/>
      <c r="K18" s="15"/>
      <c r="L18" s="15"/>
      <c r="M18" s="15"/>
      <c r="N18" s="15"/>
      <c r="O18" s="15"/>
      <c r="P18" s="15"/>
      <c r="Q18" s="15"/>
      <c r="R18" s="15"/>
      <c r="S18" s="15"/>
      <c r="T18" s="15"/>
      <c r="U18" s="15"/>
      <c r="V18" s="15"/>
      <c r="W18" s="15"/>
      <c r="X18" s="15"/>
      <c r="Y18" s="15"/>
      <c r="Z18" s="15"/>
    </row>
    <row r="19" spans="1:26" s="4" customFormat="1" ht="45" x14ac:dyDescent="0.25">
      <c r="A19" s="35" t="s">
        <v>64</v>
      </c>
      <c r="B19" s="16" t="str">
        <f t="shared" si="1"/>
        <v>Valley Bakers</v>
      </c>
      <c r="C19" s="15" t="str">
        <f t="shared" si="0"/>
        <v>Valley Bakers</v>
      </c>
      <c r="D19" s="1" t="s">
        <v>105</v>
      </c>
      <c r="E19" s="20">
        <f ca="1">IF(ISERROR(#REF!),TODAY(),#REF!)</f>
        <v>44536</v>
      </c>
      <c r="F19" s="15" t="s">
        <v>72</v>
      </c>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34" t="s">
        <v>78</v>
      </c>
      <c r="B20" s="15" t="str">
        <f t="shared" si="1"/>
        <v>Windsor Modules</v>
      </c>
      <c r="C20" s="15" t="str">
        <f t="shared" si="0"/>
        <v>Windsor Modules</v>
      </c>
      <c r="D20" s="15" t="s">
        <v>108</v>
      </c>
      <c r="E20" s="20">
        <f ca="1">IF(ISERROR(#REF!),TODAY(),#REF!)</f>
        <v>44536</v>
      </c>
      <c r="F20" t="s">
        <v>91</v>
      </c>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33" t="s">
        <v>110</v>
      </c>
      <c r="B21" s="15" t="str">
        <f t="shared" si="1"/>
        <v>Cymbio</v>
      </c>
      <c r="C21" s="15" t="str">
        <f t="shared" si="0"/>
        <v>Cymbio</v>
      </c>
      <c r="D21" s="15" t="s">
        <v>108</v>
      </c>
      <c r="E21" s="20">
        <f ca="1">IF(ISERROR(#REF!),TODAY(),#REF!)</f>
        <v>44536</v>
      </c>
      <c r="F21" s="15"/>
      <c r="G21" s="15"/>
      <c r="H21" s="21"/>
      <c r="I21" s="15"/>
      <c r="J21" s="15"/>
      <c r="K21" s="15"/>
      <c r="L21" s="15"/>
      <c r="M21" s="15"/>
      <c r="N21" s="15"/>
      <c r="O21" s="15"/>
      <c r="P21" s="15"/>
      <c r="Q21" s="15"/>
      <c r="R21" s="15"/>
      <c r="S21" s="15"/>
      <c r="T21" s="15"/>
      <c r="U21" s="15"/>
      <c r="V21" s="15"/>
      <c r="W21" s="15"/>
      <c r="X21" s="15"/>
      <c r="Y21" s="15"/>
      <c r="Z21" s="15"/>
    </row>
    <row r="22" spans="1:26" s="23" customFormat="1" ht="60" x14ac:dyDescent="0.25">
      <c r="A22" s="27" t="s">
        <v>63</v>
      </c>
      <c r="B22" s="16" t="str">
        <f t="shared" si="1"/>
        <v>Georges Music XML</v>
      </c>
      <c r="C22" s="15" t="str">
        <f t="shared" si="0"/>
        <v>Georges Music XML</v>
      </c>
      <c r="D22" s="1" t="s">
        <v>115</v>
      </c>
      <c r="E22" s="20">
        <f ca="1">IF(ISERROR(#REF!),TODAY(),#REF!)</f>
        <v>44536</v>
      </c>
      <c r="F22" s="15" t="s">
        <v>51</v>
      </c>
      <c r="G22" s="15"/>
      <c r="H22" s="21"/>
      <c r="I22" s="15"/>
      <c r="J22" s="15"/>
      <c r="K22" s="15"/>
      <c r="L22" s="15"/>
      <c r="M22" s="15"/>
      <c r="N22" s="15"/>
      <c r="O22" s="15"/>
      <c r="P22" s="15"/>
      <c r="Q22" s="15"/>
      <c r="R22" s="15"/>
      <c r="S22" s="15"/>
      <c r="T22" s="15"/>
      <c r="U22" s="15"/>
      <c r="V22" s="15"/>
      <c r="W22" s="15"/>
      <c r="X22" s="15"/>
      <c r="Y22" s="15"/>
      <c r="Z22" s="15"/>
    </row>
    <row r="23" spans="1:26" ht="30" x14ac:dyDescent="0.25">
      <c r="A23" s="34" t="s">
        <v>81</v>
      </c>
      <c r="B23" s="15" t="str">
        <f t="shared" si="1"/>
        <v>Lear Montgomery AL</v>
      </c>
      <c r="C23" s="15" t="str">
        <f t="shared" si="0"/>
        <v>Lear Montgomery AL</v>
      </c>
      <c r="D23" s="1" t="s">
        <v>111</v>
      </c>
      <c r="E23" s="20">
        <f ca="1">IF(ISERROR(#REF!),TODAY(),#REF!)</f>
        <v>44536</v>
      </c>
      <c r="F23" t="s">
        <v>51</v>
      </c>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thickBot="1" x14ac:dyDescent="0.3">
      <c r="A24" s="34" t="s">
        <v>80</v>
      </c>
      <c r="B24" s="15" t="str">
        <f t="shared" si="1"/>
        <v>Magna Seating Vendor</v>
      </c>
      <c r="C24" s="15" t="str">
        <f t="shared" si="0"/>
        <v>Magna Seating Vendor</v>
      </c>
      <c r="D24" s="15" t="s">
        <v>112</v>
      </c>
      <c r="E24" s="20">
        <f ca="1">IF(ISERROR(#REF!),TODAY(),#REF!)</f>
        <v>44536</v>
      </c>
      <c r="F24" t="s">
        <v>90</v>
      </c>
      <c r="G24" s="15"/>
      <c r="H24" s="21"/>
      <c r="I24" s="15"/>
      <c r="J24" s="15"/>
      <c r="K24" s="15"/>
      <c r="L24" s="15"/>
      <c r="M24" s="15"/>
      <c r="N24" s="15"/>
      <c r="O24" s="15"/>
      <c r="P24" s="15"/>
      <c r="Q24" s="15"/>
      <c r="R24" s="15"/>
      <c r="S24" s="15"/>
      <c r="T24" s="15"/>
      <c r="U24" s="15"/>
      <c r="V24" s="15"/>
      <c r="W24" s="15"/>
      <c r="X24" s="15"/>
      <c r="Y24" s="15"/>
      <c r="Z24" s="15"/>
    </row>
    <row r="25" spans="1:26" ht="30" x14ac:dyDescent="0.25">
      <c r="A25" s="31" t="s">
        <v>76</v>
      </c>
      <c r="B25" s="15" t="str">
        <f t="shared" si="1"/>
        <v>Malouf</v>
      </c>
      <c r="C25" s="15" t="str">
        <f t="shared" si="0"/>
        <v>Malouf</v>
      </c>
      <c r="D25" s="1" t="s">
        <v>113</v>
      </c>
      <c r="E25" s="20">
        <f ca="1">IF(ISERROR(#REF!),TODAY(),#REF!)</f>
        <v>44536</v>
      </c>
      <c r="F25" t="s">
        <v>51</v>
      </c>
      <c r="G25" s="15"/>
      <c r="H25" s="21"/>
      <c r="I25" s="15"/>
      <c r="J25" s="15"/>
      <c r="K25" s="15"/>
      <c r="L25" s="15"/>
      <c r="M25" s="15"/>
      <c r="N25" s="15"/>
      <c r="O25" s="15"/>
      <c r="P25" s="15"/>
      <c r="Q25" s="15"/>
      <c r="R25" s="15"/>
      <c r="S25" s="15"/>
      <c r="T25" s="15"/>
      <c r="U25" s="15"/>
      <c r="V25" s="15"/>
      <c r="W25" s="15"/>
      <c r="X25" s="15"/>
      <c r="Y25" s="15"/>
      <c r="Z25" s="15"/>
    </row>
    <row r="26" spans="1:26" x14ac:dyDescent="0.25">
      <c r="A26" s="30" t="s">
        <v>82</v>
      </c>
      <c r="B26" s="15" t="str">
        <f t="shared" si="1"/>
        <v>Robertson</v>
      </c>
      <c r="C26" s="15" t="str">
        <f t="shared" si="0"/>
        <v>Robertson</v>
      </c>
      <c r="D26" s="15" t="s">
        <v>112</v>
      </c>
      <c r="E26" s="20">
        <f ca="1">IF(ISERROR(#REF!),TODAY(),#REF!)</f>
        <v>44536</v>
      </c>
      <c r="F26" t="s">
        <v>90</v>
      </c>
      <c r="G26" s="15"/>
      <c r="H26" s="21"/>
      <c r="I26" s="15"/>
      <c r="J26" s="15"/>
      <c r="K26" s="15"/>
      <c r="L26" s="15"/>
      <c r="M26" s="15"/>
      <c r="N26" s="15"/>
      <c r="O26" s="15"/>
      <c r="P26" s="15"/>
      <c r="Q26" s="15"/>
      <c r="R26" s="15"/>
      <c r="S26" s="15"/>
      <c r="T26" s="15"/>
      <c r="U26" s="15"/>
      <c r="V26" s="15"/>
      <c r="W26" s="15"/>
      <c r="X26" s="15"/>
      <c r="Y26" s="15"/>
      <c r="Z26" s="15"/>
    </row>
    <row r="27" spans="1:26" ht="120" x14ac:dyDescent="0.25">
      <c r="A27" s="27" t="s">
        <v>52</v>
      </c>
      <c r="B27" s="15" t="str">
        <f t="shared" si="1"/>
        <v>Pure Country West</v>
      </c>
      <c r="C27" s="15" t="str">
        <f t="shared" si="0"/>
        <v>Pure Country West</v>
      </c>
      <c r="D27" s="1" t="s">
        <v>114</v>
      </c>
      <c r="E27" s="20">
        <f ca="1">IF(ISERROR(#REF!),TODAY(),#REF!)</f>
        <v>44536</v>
      </c>
      <c r="F27" s="29" t="s">
        <v>53</v>
      </c>
      <c r="G27" s="15"/>
      <c r="H27" s="21"/>
      <c r="I27" s="15"/>
      <c r="J27" s="15"/>
      <c r="K27" s="15"/>
      <c r="L27" s="15"/>
      <c r="M27" s="15"/>
      <c r="N27" s="15"/>
      <c r="O27" s="15"/>
      <c r="P27" s="15"/>
      <c r="Q27" s="15"/>
      <c r="R27" s="15"/>
      <c r="S27" s="15"/>
      <c r="T27" s="15"/>
      <c r="U27" s="15"/>
      <c r="V27" s="15"/>
      <c r="W27" s="15"/>
      <c r="X27" s="15"/>
      <c r="Y27" s="15"/>
      <c r="Z27" s="15"/>
    </row>
    <row r="28" spans="1:26" ht="60" x14ac:dyDescent="0.25">
      <c r="A28" s="27" t="s">
        <v>66</v>
      </c>
      <c r="B28" s="15" t="str">
        <f t="shared" si="1"/>
        <v>Stego Germany</v>
      </c>
      <c r="C28" s="15" t="str">
        <f t="shared" si="0"/>
        <v>Stego Germany</v>
      </c>
      <c r="D28" s="1" t="s">
        <v>116</v>
      </c>
      <c r="E28" s="20">
        <f ca="1">IF(ISERROR(#REF!),TODAY(),#REF!)</f>
        <v>44536</v>
      </c>
      <c r="F28" s="15" t="s">
        <v>74</v>
      </c>
      <c r="G28" s="15"/>
      <c r="H28" s="21"/>
      <c r="I28" s="15"/>
      <c r="J28" s="15"/>
      <c r="K28" s="15"/>
      <c r="L28" s="15"/>
      <c r="M28" s="15"/>
      <c r="N28" s="15"/>
      <c r="O28" s="15"/>
      <c r="P28" s="15"/>
      <c r="Q28" s="15"/>
      <c r="R28" s="15"/>
      <c r="S28" s="15"/>
      <c r="T28" s="15"/>
      <c r="U28" s="15"/>
      <c r="V28" s="15"/>
      <c r="W28" s="15"/>
      <c r="X28" s="15"/>
      <c r="Y28" s="15"/>
      <c r="Z28" s="15"/>
    </row>
    <row r="29" spans="1:26" ht="60.75" thickBot="1" x14ac:dyDescent="0.3">
      <c r="A29" s="27" t="s">
        <v>65</v>
      </c>
      <c r="B29" s="16" t="str">
        <f t="shared" si="1"/>
        <v>Del Mar Fans</v>
      </c>
      <c r="C29" s="15" t="str">
        <f t="shared" si="0"/>
        <v>Del Mar Fans</v>
      </c>
      <c r="D29" s="1" t="s">
        <v>117</v>
      </c>
      <c r="E29" s="20">
        <f ca="1">IF(ISERROR(#REF!),TODAY(),#REF!)</f>
        <v>44536</v>
      </c>
      <c r="F29" s="15" t="s">
        <v>73</v>
      </c>
      <c r="G29" s="15"/>
      <c r="H29" s="21"/>
      <c r="I29" s="15"/>
      <c r="J29" s="15"/>
      <c r="K29" s="15"/>
      <c r="L29" s="15"/>
      <c r="M29" s="15"/>
      <c r="N29" s="15"/>
      <c r="O29" s="15"/>
      <c r="P29" s="15"/>
      <c r="Q29" s="15"/>
      <c r="R29" s="15"/>
      <c r="S29" s="15"/>
      <c r="T29" s="15"/>
      <c r="U29" s="15"/>
      <c r="V29" s="15"/>
      <c r="W29" s="15"/>
      <c r="X29" s="15"/>
      <c r="Y29" s="15"/>
      <c r="Z29" s="15"/>
    </row>
    <row r="30" spans="1:26" s="7" customFormat="1" ht="60" x14ac:dyDescent="0.25">
      <c r="A30" s="27" t="s">
        <v>62</v>
      </c>
      <c r="B30" s="16" t="str">
        <f t="shared" si="1"/>
        <v>Guitar Center - XML Trading Partner</v>
      </c>
      <c r="C30" s="15" t="str">
        <f t="shared" si="0"/>
        <v>Guitar Center - XML Trading Partner</v>
      </c>
      <c r="D30" s="1" t="s">
        <v>118</v>
      </c>
      <c r="E30" s="20">
        <f ca="1">IF(ISERROR(#REF!),TODAY(),#REF!)</f>
        <v>44536</v>
      </c>
      <c r="F30" s="15" t="s">
        <v>71</v>
      </c>
      <c r="G30" s="15"/>
      <c r="H30" s="21"/>
      <c r="I30" s="15"/>
      <c r="J30" s="15"/>
      <c r="K30" s="15"/>
      <c r="L30" s="15"/>
      <c r="M30" s="15"/>
      <c r="N30" s="15"/>
      <c r="O30" s="15"/>
      <c r="P30" s="15"/>
      <c r="Q30" s="15"/>
      <c r="R30" s="15"/>
      <c r="S30" s="15"/>
      <c r="T30" s="15"/>
      <c r="U30" s="15"/>
      <c r="V30" s="15"/>
      <c r="W30" s="15"/>
      <c r="X30" s="15"/>
      <c r="Y30" s="15"/>
      <c r="Z30" s="15"/>
    </row>
    <row r="31" spans="1:26" ht="60.75" thickBot="1" x14ac:dyDescent="0.3">
      <c r="A31" s="27" t="s">
        <v>61</v>
      </c>
      <c r="B31" s="16" t="str">
        <f t="shared" si="1"/>
        <v>Rhenus Contract Logistics - VSC</v>
      </c>
      <c r="C31" s="15" t="str">
        <f t="shared" si="0"/>
        <v>Rhenus Contract Logistics - VSC</v>
      </c>
      <c r="D31" s="1" t="s">
        <v>119</v>
      </c>
      <c r="E31" s="20">
        <f ca="1">IF(ISERROR(#REF!),TODAY(),#REF!)</f>
        <v>44536</v>
      </c>
      <c r="F31" s="15" t="s">
        <v>51</v>
      </c>
      <c r="G31" s="15"/>
      <c r="H31" s="21"/>
      <c r="I31" s="15"/>
      <c r="J31" s="15"/>
      <c r="K31" s="15"/>
      <c r="L31" s="15"/>
      <c r="M31" s="15"/>
      <c r="N31" s="15"/>
      <c r="O31" s="15"/>
      <c r="P31" s="15"/>
      <c r="Q31" s="15"/>
      <c r="R31" s="15"/>
      <c r="S31" s="15"/>
      <c r="T31" s="15"/>
      <c r="U31" s="15"/>
      <c r="V31" s="15"/>
      <c r="W31" s="15"/>
      <c r="X31" s="15"/>
      <c r="Y31" s="15"/>
      <c r="Z31" s="15"/>
    </row>
    <row r="32" spans="1:26" ht="45" x14ac:dyDescent="0.25">
      <c r="A32" s="28" t="s">
        <v>59</v>
      </c>
      <c r="B32" s="16" t="str">
        <f t="shared" si="1"/>
        <v>Wormser Corporation-Jaguar Freight XML</v>
      </c>
      <c r="C32" s="15" t="str">
        <f t="shared" si="0"/>
        <v>Wormser Corporation-Jaguar Freight XML</v>
      </c>
      <c r="D32" s="1" t="s">
        <v>99</v>
      </c>
      <c r="E32" s="20">
        <f ca="1">IF(ISERROR(#REF!),TODAY(),#REF!)</f>
        <v>44536</v>
      </c>
      <c r="F32" s="15" t="s">
        <v>68</v>
      </c>
      <c r="G32" s="15" t="s">
        <v>69</v>
      </c>
      <c r="H32" s="21"/>
      <c r="I32" s="15"/>
      <c r="J32" s="15"/>
      <c r="K32" s="15"/>
      <c r="L32" s="15"/>
      <c r="M32" s="15"/>
      <c r="N32" s="15"/>
      <c r="O32" s="15"/>
      <c r="P32" s="15"/>
      <c r="Q32" s="15"/>
      <c r="R32" s="15"/>
      <c r="S32" s="15"/>
      <c r="T32" s="15"/>
      <c r="U32" s="15"/>
      <c r="V32" s="15"/>
      <c r="W32" s="15"/>
      <c r="X32" s="15"/>
      <c r="Y32" s="15"/>
      <c r="Z32" s="15"/>
    </row>
    <row r="33" spans="2:26" x14ac:dyDescent="0.25">
      <c r="B33" s="15" t="e">
        <f t="shared" si="1"/>
        <v>#VALUE!</v>
      </c>
      <c r="C33" s="15" t="e">
        <f t="shared" si="0"/>
        <v>#VALUE!</v>
      </c>
      <c r="D33" s="15"/>
      <c r="E33" s="20">
        <f ca="1">IF(ISERROR(#REF!),TODAY(),#REF!)</f>
        <v>44536</v>
      </c>
      <c r="F33" s="15"/>
      <c r="G33" s="15"/>
      <c r="H33" s="21"/>
      <c r="I33" s="15"/>
      <c r="J33" s="15"/>
      <c r="K33" s="15"/>
      <c r="L33" s="15"/>
      <c r="M33" s="15"/>
      <c r="N33" s="15"/>
      <c r="O33" s="15"/>
      <c r="P33" s="15"/>
      <c r="Q33" s="15"/>
      <c r="R33" s="15"/>
      <c r="S33" s="15"/>
      <c r="T33" s="15"/>
      <c r="U33" s="15"/>
      <c r="V33" s="15"/>
      <c r="W33" s="15"/>
      <c r="X33" s="15"/>
      <c r="Y33" s="15"/>
      <c r="Z33" s="15"/>
    </row>
    <row r="34" spans="2:26" x14ac:dyDescent="0.25">
      <c r="B34" s="15" t="e">
        <f t="shared" si="1"/>
        <v>#VALUE!</v>
      </c>
      <c r="C34" s="15" t="e">
        <f t="shared" ref="C34:C65" si="2" xml:space="preserve"> MID(A34,SEARCH(":",A34)+2,SEARCH(":",A34,SEARCH(":",A34)+1)-SEARCH(":",A34)-3)</f>
        <v>#VALUE!</v>
      </c>
      <c r="D34" s="15"/>
      <c r="E34" s="20">
        <f ca="1">IF(ISERROR(#REF!),TODAY(),#REF!)</f>
        <v>44536</v>
      </c>
      <c r="F34" s="15"/>
      <c r="G34" s="15"/>
      <c r="H34" s="21"/>
      <c r="I34" s="15"/>
      <c r="J34" s="15"/>
      <c r="K34" s="15"/>
      <c r="L34" s="15"/>
      <c r="M34" s="15"/>
      <c r="N34" s="15"/>
      <c r="O34" s="15"/>
      <c r="P34" s="15"/>
      <c r="Q34" s="15"/>
      <c r="R34" s="15"/>
      <c r="S34" s="15"/>
      <c r="T34" s="15"/>
      <c r="U34" s="15"/>
      <c r="V34" s="15"/>
      <c r="W34" s="15"/>
      <c r="X34" s="15"/>
      <c r="Y34" s="15"/>
      <c r="Z34" s="15"/>
    </row>
    <row r="35" spans="2:26" x14ac:dyDescent="0.25">
      <c r="B35" s="15" t="e">
        <f t="shared" si="1"/>
        <v>#VALUE!</v>
      </c>
      <c r="C35" s="15" t="e">
        <f t="shared" si="2"/>
        <v>#VALUE!</v>
      </c>
      <c r="D35" s="15"/>
      <c r="E35" s="20">
        <f ca="1">IF(ISERROR(#REF!),TODAY(),#REF!)</f>
        <v>44536</v>
      </c>
      <c r="F35" s="15"/>
      <c r="G35" s="15"/>
      <c r="H35" s="21"/>
      <c r="I35" s="15"/>
      <c r="J35" s="15"/>
      <c r="K35" s="15"/>
      <c r="L35" s="15"/>
      <c r="M35" s="15"/>
      <c r="N35" s="15"/>
      <c r="O35" s="15"/>
      <c r="P35" s="15"/>
      <c r="Q35" s="15"/>
      <c r="R35" s="15"/>
      <c r="S35" s="15"/>
      <c r="T35" s="15"/>
      <c r="U35" s="15"/>
      <c r="V35" s="15"/>
      <c r="W35" s="15"/>
      <c r="X35" s="15"/>
      <c r="Y35" s="15"/>
      <c r="Z35" s="15"/>
    </row>
    <row r="36" spans="2:26" x14ac:dyDescent="0.25">
      <c r="B36" s="15" t="e">
        <f t="shared" si="1"/>
        <v>#VALUE!</v>
      </c>
      <c r="C36" s="15" t="e">
        <f t="shared" si="2"/>
        <v>#VALUE!</v>
      </c>
      <c r="D36" s="15"/>
      <c r="E36" s="20">
        <f ca="1">IF(ISERROR(#REF!),TODAY(),#REF!)</f>
        <v>44536</v>
      </c>
      <c r="F36" s="15"/>
      <c r="G36" s="15"/>
      <c r="H36" s="21"/>
      <c r="I36" s="15"/>
      <c r="J36" s="15"/>
      <c r="K36" s="15"/>
      <c r="L36" s="15"/>
      <c r="M36" s="15"/>
      <c r="N36" s="15"/>
      <c r="O36" s="15"/>
      <c r="P36" s="15"/>
      <c r="Q36" s="15"/>
      <c r="R36" s="15"/>
      <c r="S36" s="15"/>
      <c r="T36" s="15"/>
      <c r="U36" s="15"/>
      <c r="V36" s="15"/>
      <c r="W36" s="15"/>
      <c r="X36" s="15"/>
      <c r="Y36" s="15"/>
      <c r="Z36" s="15"/>
    </row>
    <row r="37" spans="2:26" x14ac:dyDescent="0.25">
      <c r="B37" s="15" t="e">
        <f t="shared" si="1"/>
        <v>#VALUE!</v>
      </c>
      <c r="C37" s="15" t="e">
        <f t="shared" si="2"/>
        <v>#VALUE!</v>
      </c>
      <c r="D37" s="15"/>
      <c r="E37" s="20">
        <f ca="1">IF(ISERROR(#REF!),TODAY(),#REF!)</f>
        <v>44536</v>
      </c>
      <c r="F37" s="15"/>
      <c r="G37" s="15"/>
      <c r="H37" s="21"/>
      <c r="I37" s="15"/>
      <c r="J37" s="15"/>
      <c r="K37" s="15"/>
      <c r="L37" s="15"/>
      <c r="M37" s="15"/>
      <c r="N37" s="15"/>
      <c r="O37" s="15"/>
      <c r="P37" s="15"/>
      <c r="Q37" s="15"/>
      <c r="R37" s="15"/>
      <c r="S37" s="15"/>
      <c r="T37" s="15"/>
      <c r="U37" s="15"/>
      <c r="V37" s="15"/>
      <c r="W37" s="15"/>
      <c r="X37" s="15"/>
      <c r="Y37" s="15"/>
      <c r="Z37" s="15"/>
    </row>
    <row r="38" spans="2:26" x14ac:dyDescent="0.25">
      <c r="B38" s="15" t="e">
        <f t="shared" si="1"/>
        <v>#VALUE!</v>
      </c>
      <c r="C38" s="15" t="e">
        <f t="shared" si="2"/>
        <v>#VALUE!</v>
      </c>
      <c r="D38" s="15"/>
      <c r="E38" s="20">
        <f ca="1">IF(ISERROR(#REF!),TODAY(),#REF!)</f>
        <v>44536</v>
      </c>
      <c r="F38" s="15"/>
      <c r="G38" s="15"/>
      <c r="H38" s="21"/>
      <c r="I38" s="15"/>
      <c r="J38" s="15"/>
      <c r="K38" s="15"/>
      <c r="L38" s="15"/>
      <c r="M38" s="15"/>
      <c r="N38" s="15"/>
      <c r="O38" s="15"/>
      <c r="P38" s="15"/>
      <c r="Q38" s="15"/>
      <c r="R38" s="15"/>
      <c r="S38" s="15"/>
      <c r="T38" s="15"/>
      <c r="U38" s="15"/>
      <c r="V38" s="15"/>
      <c r="W38" s="15"/>
      <c r="X38" s="15"/>
      <c r="Y38" s="15"/>
      <c r="Z38" s="15"/>
    </row>
    <row r="39" spans="2:26" x14ac:dyDescent="0.25">
      <c r="B39" s="15" t="e">
        <f t="shared" si="1"/>
        <v>#VALUE!</v>
      </c>
      <c r="C39" s="15" t="e">
        <f t="shared" si="2"/>
        <v>#VALUE!</v>
      </c>
      <c r="D39" s="15"/>
      <c r="E39" s="20">
        <f ca="1">IF(ISERROR(#REF!),TODAY(),#REF!)</f>
        <v>44536</v>
      </c>
      <c r="F39" s="15"/>
      <c r="G39" s="15"/>
      <c r="H39" s="21"/>
      <c r="I39" s="15"/>
      <c r="J39" s="15"/>
      <c r="K39" s="15"/>
      <c r="L39" s="15"/>
      <c r="M39" s="15"/>
      <c r="N39" s="15"/>
      <c r="O39" s="15"/>
      <c r="P39" s="15"/>
      <c r="Q39" s="15"/>
      <c r="R39" s="15"/>
      <c r="S39" s="15"/>
      <c r="T39" s="15"/>
      <c r="U39" s="15"/>
      <c r="V39" s="15"/>
      <c r="W39" s="15"/>
      <c r="X39" s="15"/>
      <c r="Y39" s="15"/>
      <c r="Z39" s="15"/>
    </row>
    <row r="40" spans="2:26" x14ac:dyDescent="0.25">
      <c r="B40" s="15" t="e">
        <f t="shared" si="1"/>
        <v>#VALUE!</v>
      </c>
      <c r="C40" s="15" t="e">
        <f t="shared" si="2"/>
        <v>#VALUE!</v>
      </c>
      <c r="D40" s="15"/>
      <c r="E40" s="20">
        <f ca="1">IF(ISERROR(#REF!),TODAY(),#REF!)</f>
        <v>44536</v>
      </c>
      <c r="F40" s="15"/>
      <c r="G40" s="15"/>
      <c r="H40" s="21"/>
      <c r="I40" s="15"/>
      <c r="J40" s="15"/>
      <c r="K40" s="15"/>
      <c r="L40" s="15"/>
      <c r="M40" s="15"/>
      <c r="N40" s="15"/>
      <c r="O40" s="15"/>
      <c r="P40" s="15"/>
      <c r="Q40" s="15"/>
      <c r="R40" s="15"/>
      <c r="S40" s="15"/>
      <c r="T40" s="15"/>
      <c r="U40" s="15"/>
      <c r="V40" s="15"/>
      <c r="W40" s="15"/>
      <c r="X40" s="15"/>
      <c r="Y40" s="15"/>
      <c r="Z40" s="15"/>
    </row>
    <row r="41" spans="2:26" x14ac:dyDescent="0.25">
      <c r="B41" s="15" t="e">
        <f t="shared" si="1"/>
        <v>#VALUE!</v>
      </c>
      <c r="C41" s="15" t="e">
        <f t="shared" si="2"/>
        <v>#VALUE!</v>
      </c>
      <c r="D41" s="15"/>
      <c r="E41" s="20">
        <f ca="1">IF(ISERROR(#REF!),TODAY(),#REF!)</f>
        <v>44536</v>
      </c>
      <c r="F41" s="15"/>
      <c r="G41" s="15"/>
      <c r="H41" s="21"/>
      <c r="I41" s="15"/>
      <c r="J41" s="15"/>
      <c r="K41" s="15"/>
      <c r="L41" s="15"/>
      <c r="M41" s="15"/>
      <c r="N41" s="15"/>
      <c r="O41" s="15"/>
      <c r="P41" s="15"/>
      <c r="Q41" s="15"/>
      <c r="R41" s="15"/>
      <c r="S41" s="15"/>
      <c r="T41" s="15"/>
      <c r="U41" s="15"/>
      <c r="V41" s="15"/>
      <c r="W41" s="15"/>
      <c r="X41" s="15"/>
      <c r="Y41" s="15"/>
      <c r="Z41" s="15"/>
    </row>
    <row r="42" spans="2:26" x14ac:dyDescent="0.25">
      <c r="B42" s="15" t="e">
        <f t="shared" si="1"/>
        <v>#VALUE!</v>
      </c>
      <c r="C42" s="15" t="e">
        <f t="shared" si="2"/>
        <v>#VALUE!</v>
      </c>
      <c r="D42" s="15"/>
      <c r="E42" s="20">
        <f ca="1">IF(ISERROR(#REF!),TODAY(),#REF!)</f>
        <v>44536</v>
      </c>
      <c r="F42" s="15"/>
      <c r="G42" s="15"/>
      <c r="H42" s="21"/>
      <c r="I42" s="15"/>
      <c r="J42" s="15"/>
      <c r="K42" s="15"/>
      <c r="L42" s="15"/>
      <c r="M42" s="15"/>
      <c r="N42" s="15"/>
      <c r="O42" s="15"/>
      <c r="P42" s="15"/>
      <c r="Q42" s="15"/>
      <c r="R42" s="15"/>
      <c r="S42" s="15"/>
      <c r="T42" s="15"/>
      <c r="U42" s="15"/>
      <c r="V42" s="15"/>
      <c r="W42" s="15"/>
      <c r="X42" s="15"/>
      <c r="Y42" s="15"/>
      <c r="Z42" s="15"/>
    </row>
    <row r="43" spans="2:26" x14ac:dyDescent="0.25">
      <c r="B43" s="15" t="e">
        <f t="shared" si="1"/>
        <v>#VALUE!</v>
      </c>
      <c r="C43" s="15" t="e">
        <f t="shared" si="2"/>
        <v>#VALUE!</v>
      </c>
      <c r="D43" s="15"/>
      <c r="E43" s="20">
        <f ca="1">IF(ISERROR(#REF!),TODAY(),#REF!)</f>
        <v>44536</v>
      </c>
      <c r="F43" s="15"/>
      <c r="G43" s="15"/>
      <c r="H43" s="21"/>
      <c r="I43" s="15"/>
      <c r="J43" s="15"/>
      <c r="K43" s="15"/>
      <c r="L43" s="15"/>
      <c r="M43" s="15"/>
      <c r="N43" s="15"/>
      <c r="O43" s="15"/>
      <c r="P43" s="15"/>
      <c r="Q43" s="15"/>
      <c r="R43" s="15"/>
      <c r="S43" s="15"/>
      <c r="T43" s="15"/>
      <c r="U43" s="15"/>
      <c r="V43" s="15"/>
      <c r="W43" s="15"/>
      <c r="X43" s="15"/>
      <c r="Y43" s="15"/>
      <c r="Z43" s="15"/>
    </row>
    <row r="44" spans="2:26" x14ac:dyDescent="0.25">
      <c r="B44" s="15" t="e">
        <f t="shared" si="1"/>
        <v>#VALUE!</v>
      </c>
      <c r="C44" s="15" t="e">
        <f t="shared" si="2"/>
        <v>#VALUE!</v>
      </c>
      <c r="D44" s="15"/>
      <c r="E44" s="20">
        <f ca="1">IF(ISERROR(#REF!),TODAY(),#REF!)</f>
        <v>44536</v>
      </c>
      <c r="F44" s="15"/>
      <c r="G44" s="15"/>
      <c r="H44" s="21"/>
      <c r="I44" s="15"/>
      <c r="J44" s="15"/>
      <c r="K44" s="15"/>
      <c r="L44" s="15"/>
      <c r="M44" s="15"/>
      <c r="N44" s="15"/>
      <c r="O44" s="15"/>
      <c r="P44" s="15"/>
      <c r="Q44" s="15"/>
      <c r="R44" s="15"/>
      <c r="S44" s="15"/>
      <c r="T44" s="15"/>
      <c r="U44" s="15"/>
      <c r="V44" s="15"/>
      <c r="W44" s="15"/>
      <c r="X44" s="15"/>
      <c r="Y44" s="15"/>
      <c r="Z44" s="15"/>
    </row>
    <row r="45" spans="2:26" x14ac:dyDescent="0.25">
      <c r="B45" s="15" t="e">
        <f t="shared" si="1"/>
        <v>#VALUE!</v>
      </c>
      <c r="C45" s="15" t="e">
        <f t="shared" si="2"/>
        <v>#VALUE!</v>
      </c>
      <c r="D45" s="15"/>
      <c r="E45" s="20">
        <f ca="1">IF(ISERROR(#REF!),TODAY(),#REF!)</f>
        <v>44536</v>
      </c>
      <c r="F45" s="15"/>
      <c r="G45" s="15"/>
      <c r="H45" s="21"/>
      <c r="I45" s="15"/>
      <c r="J45" s="15"/>
      <c r="K45" s="15"/>
      <c r="L45" s="15"/>
      <c r="M45" s="15"/>
      <c r="N45" s="15"/>
      <c r="O45" s="15"/>
      <c r="P45" s="15"/>
      <c r="Q45" s="15"/>
      <c r="R45" s="15"/>
      <c r="S45" s="15"/>
      <c r="T45" s="15"/>
      <c r="U45" s="15"/>
      <c r="V45" s="15"/>
      <c r="W45" s="15"/>
      <c r="X45" s="15"/>
      <c r="Y45" s="15"/>
      <c r="Z45" s="15"/>
    </row>
    <row r="46" spans="2:26" x14ac:dyDescent="0.25">
      <c r="B46" s="15" t="e">
        <f t="shared" si="1"/>
        <v>#VALUE!</v>
      </c>
      <c r="C46" s="15" t="e">
        <f t="shared" si="2"/>
        <v>#VALUE!</v>
      </c>
      <c r="D46" s="15"/>
      <c r="E46" s="20">
        <f ca="1">IF(ISERROR(#REF!),TODAY(),#REF!)</f>
        <v>44536</v>
      </c>
      <c r="F46" s="15"/>
      <c r="G46" s="15"/>
      <c r="H46" s="21"/>
      <c r="I46" s="15"/>
      <c r="J46" s="15"/>
      <c r="K46" s="15"/>
      <c r="L46" s="15"/>
      <c r="M46" s="15"/>
      <c r="N46" s="15"/>
      <c r="O46" s="15"/>
      <c r="P46" s="15"/>
      <c r="Q46" s="15"/>
      <c r="R46" s="15"/>
      <c r="S46" s="15"/>
      <c r="T46" s="15"/>
      <c r="U46" s="15"/>
      <c r="V46" s="15"/>
      <c r="W46" s="15"/>
      <c r="X46" s="15"/>
      <c r="Y46" s="15"/>
      <c r="Z46" s="15"/>
    </row>
    <row r="47" spans="2:26" x14ac:dyDescent="0.25">
      <c r="B47" s="15" t="e">
        <f t="shared" si="1"/>
        <v>#VALUE!</v>
      </c>
      <c r="C47" s="15" t="e">
        <f t="shared" si="2"/>
        <v>#VALUE!</v>
      </c>
      <c r="D47" s="15"/>
      <c r="E47" s="20">
        <f ca="1">IF(ISERROR(#REF!),TODAY(),#REF!)</f>
        <v>44536</v>
      </c>
      <c r="F47" s="15"/>
      <c r="G47" s="15"/>
      <c r="H47" s="21"/>
      <c r="I47" s="15"/>
      <c r="J47" s="15"/>
      <c r="K47" s="15"/>
      <c r="L47" s="15"/>
      <c r="M47" s="15"/>
      <c r="N47" s="15"/>
      <c r="O47" s="15"/>
      <c r="P47" s="15"/>
      <c r="Q47" s="15"/>
      <c r="R47" s="15"/>
      <c r="S47" s="15"/>
      <c r="T47" s="15"/>
      <c r="U47" s="15"/>
      <c r="V47" s="15"/>
      <c r="W47" s="15"/>
      <c r="X47" s="15"/>
      <c r="Y47" s="15"/>
      <c r="Z47" s="15"/>
    </row>
    <row r="48" spans="2:26" x14ac:dyDescent="0.25">
      <c r="B48" s="15" t="e">
        <f t="shared" si="1"/>
        <v>#VALUE!</v>
      </c>
      <c r="C48" s="15" t="e">
        <f t="shared" si="2"/>
        <v>#VALUE!</v>
      </c>
      <c r="D48" s="15"/>
      <c r="E48" s="20">
        <f ca="1">IF(ISERROR(#REF!),TODAY(),#REF!)</f>
        <v>44536</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1"/>
        <v>#VALUE!</v>
      </c>
      <c r="C49" s="15" t="e">
        <f t="shared" si="2"/>
        <v>#VALUE!</v>
      </c>
      <c r="D49" s="15"/>
      <c r="E49" s="20">
        <f ca="1">IF(ISERROR(#REF!),TODAY(),#REF!)</f>
        <v>44536</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1"/>
        <v>#VALUE!</v>
      </c>
      <c r="C50" s="15" t="e">
        <f t="shared" si="2"/>
        <v>#VALUE!</v>
      </c>
      <c r="D50" s="15"/>
      <c r="E50" s="20">
        <f ca="1">IF(ISERROR(#REF!),TODAY(),#REF!)</f>
        <v>44536</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1"/>
        <v>#VALUE!</v>
      </c>
      <c r="C51" s="15" t="e">
        <f t="shared" si="2"/>
        <v>#VALUE!</v>
      </c>
      <c r="D51" s="15"/>
      <c r="E51" s="20">
        <f ca="1">IF(ISERROR(#REF!),TODAY(),#REF!)</f>
        <v>44536</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1"/>
        <v>#VALUE!</v>
      </c>
      <c r="C52" s="15" t="e">
        <f t="shared" si="2"/>
        <v>#VALUE!</v>
      </c>
      <c r="D52" s="15"/>
      <c r="E52" s="20">
        <f ca="1">IF(ISERROR(#REF!),TODAY(),#REF!)</f>
        <v>44536</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1"/>
        <v>#VALUE!</v>
      </c>
      <c r="C53" s="15" t="e">
        <f t="shared" si="2"/>
        <v>#VALUE!</v>
      </c>
      <c r="D53" s="15"/>
      <c r="E53" s="20">
        <f ca="1">IF(ISERROR(#REF!),TODAY(),#REF!)</f>
        <v>44536</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1"/>
        <v>#VALUE!</v>
      </c>
      <c r="C54" s="15" t="e">
        <f t="shared" si="2"/>
        <v>#VALUE!</v>
      </c>
      <c r="D54" s="15"/>
      <c r="E54" s="20">
        <f ca="1">IF(ISERROR(#REF!),TODAY(),#REF!)</f>
        <v>44536</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1"/>
        <v>#VALUE!</v>
      </c>
      <c r="C55" s="15" t="e">
        <f t="shared" si="2"/>
        <v>#VALUE!</v>
      </c>
      <c r="D55" s="15"/>
      <c r="E55" s="20">
        <f ca="1">IF(ISERROR(#REF!),TODAY(),#REF!)</f>
        <v>44536</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1"/>
        <v>#VALUE!</v>
      </c>
      <c r="C56" s="15" t="e">
        <f t="shared" si="2"/>
        <v>#VALUE!</v>
      </c>
      <c r="D56" s="15"/>
      <c r="E56" s="20">
        <f ca="1">IF(ISERROR(#REF!),TODAY(),#REF!)</f>
        <v>44536</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1"/>
        <v>#VALUE!</v>
      </c>
      <c r="C57" s="15" t="e">
        <f t="shared" si="2"/>
        <v>#VALUE!</v>
      </c>
      <c r="D57" s="15"/>
      <c r="E57" s="20">
        <f ca="1">IF(ISERROR(#REF!),TODAY(),#REF!)</f>
        <v>44536</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1"/>
        <v>#VALUE!</v>
      </c>
      <c r="C58" s="15" t="e">
        <f t="shared" si="2"/>
        <v>#VALUE!</v>
      </c>
      <c r="D58" s="15"/>
      <c r="E58" s="20">
        <f ca="1">IF(ISERROR(#REF!),TODAY(),#REF!)</f>
        <v>44536</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1"/>
        <v>#VALUE!</v>
      </c>
      <c r="C59" s="15" t="e">
        <f t="shared" si="2"/>
        <v>#VALUE!</v>
      </c>
      <c r="D59" s="15"/>
      <c r="E59" s="20">
        <f ca="1">IF(ISERROR(#REF!),TODAY(),#REF!)</f>
        <v>44536</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1"/>
        <v>#VALUE!</v>
      </c>
      <c r="C60" s="15" t="e">
        <f t="shared" si="2"/>
        <v>#VALUE!</v>
      </c>
      <c r="D60" s="15"/>
      <c r="E60" s="20">
        <f ca="1">IF(ISERROR(#REF!),TODAY(),#REF!)</f>
        <v>44536</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1"/>
        <v>#VALUE!</v>
      </c>
      <c r="C61" s="15" t="e">
        <f t="shared" si="2"/>
        <v>#VALUE!</v>
      </c>
      <c r="D61" s="15"/>
      <c r="E61" s="20">
        <f ca="1">IF(ISERROR(#REF!),TODAY(),#REF!)</f>
        <v>44536</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1"/>
        <v>#VALUE!</v>
      </c>
      <c r="C62" s="15" t="e">
        <f t="shared" si="2"/>
        <v>#VALUE!</v>
      </c>
      <c r="D62" s="15"/>
      <c r="E62" s="20">
        <f ca="1">IF(ISERROR(#REF!),TODAY(),#REF!)</f>
        <v>44536</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1"/>
        <v>#VALUE!</v>
      </c>
      <c r="C63" s="15" t="e">
        <f t="shared" si="2"/>
        <v>#VALUE!</v>
      </c>
      <c r="D63" s="15"/>
      <c r="E63" s="20">
        <f ca="1">IF(ISERROR(#REF!),TODAY(),#REF!)</f>
        <v>44536</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1"/>
        <v>#VALUE!</v>
      </c>
      <c r="C64" s="15" t="e">
        <f t="shared" si="2"/>
        <v>#VALUE!</v>
      </c>
      <c r="D64" s="15"/>
      <c r="E64" s="20">
        <f ca="1">IF(ISERROR(#REF!),TODAY(),#REF!)</f>
        <v>44536</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1"/>
        <v>#VALUE!</v>
      </c>
      <c r="C65" s="15" t="e">
        <f t="shared" si="2"/>
        <v>#VALUE!</v>
      </c>
      <c r="D65" s="15"/>
      <c r="E65" s="20">
        <f ca="1">IF(ISERROR(#REF!),TODAY(),#REF!)</f>
        <v>44536</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3" xml:space="preserve"> MID(A66,SEARCH(":",A66)+2,SEARCH(":",A66,SEARCH(":",A66)+1)-SEARCH(":",A66)-3)</f>
        <v>#VALUE!</v>
      </c>
      <c r="C66" s="15" t="e">
        <f t="shared" ref="C66:C97" si="4" xml:space="preserve"> MID(A66,SEARCH(":",A66)+2,SEARCH(":",A66,SEARCH(":",A66)+1)-SEARCH(":",A66)-3)</f>
        <v>#VALUE!</v>
      </c>
      <c r="D66" s="15"/>
      <c r="E66" s="20">
        <f ca="1">IF(ISERROR(#REF!),TODAY(),#REF!)</f>
        <v>44536</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3"/>
        <v>#VALUE!</v>
      </c>
      <c r="C67" s="15" t="e">
        <f t="shared" si="4"/>
        <v>#VALUE!</v>
      </c>
      <c r="D67" s="15"/>
      <c r="E67" s="20">
        <f ca="1">IF(ISERROR(#REF!),TODAY(),#REF!)</f>
        <v>44536</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3"/>
        <v>#VALUE!</v>
      </c>
      <c r="C68" s="15" t="e">
        <f t="shared" si="4"/>
        <v>#VALUE!</v>
      </c>
      <c r="D68" s="15"/>
      <c r="E68" s="20">
        <f ca="1">IF(ISERROR(#REF!),TODAY(),#REF!)</f>
        <v>44536</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3"/>
        <v>#VALUE!</v>
      </c>
      <c r="C69" s="15" t="e">
        <f t="shared" si="4"/>
        <v>#VALUE!</v>
      </c>
      <c r="D69" s="15"/>
      <c r="E69" s="20">
        <f ca="1">IF(ISERROR(#REF!),TODAY(),#REF!)</f>
        <v>44536</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3"/>
        <v>#VALUE!</v>
      </c>
      <c r="C70" s="15" t="e">
        <f t="shared" si="4"/>
        <v>#VALUE!</v>
      </c>
      <c r="D70" s="15"/>
      <c r="E70" s="20">
        <f ca="1">IF(ISERROR(#REF!),TODAY(),#REF!)</f>
        <v>44536</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3"/>
        <v>#VALUE!</v>
      </c>
      <c r="C71" s="15" t="e">
        <f t="shared" si="4"/>
        <v>#VALUE!</v>
      </c>
      <c r="D71" s="15"/>
      <c r="E71" s="20">
        <f ca="1">IF(ISERROR(#REF!),TODAY(),#REF!)</f>
        <v>44536</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3"/>
        <v>#VALUE!</v>
      </c>
      <c r="C72" s="15" t="e">
        <f t="shared" si="4"/>
        <v>#VALUE!</v>
      </c>
      <c r="D72" s="15"/>
      <c r="E72" s="20">
        <f ca="1">IF(ISERROR(#REF!),TODAY(),#REF!)</f>
        <v>44536</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3"/>
        <v>#VALUE!</v>
      </c>
      <c r="C73" s="15" t="e">
        <f t="shared" si="4"/>
        <v>#VALUE!</v>
      </c>
      <c r="D73" s="15"/>
      <c r="E73" s="20">
        <f ca="1">IF(ISERROR(#REF!),TODAY(),#REF!)</f>
        <v>44536</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3"/>
        <v>#VALUE!</v>
      </c>
      <c r="C74" s="15" t="e">
        <f t="shared" si="4"/>
        <v>#VALUE!</v>
      </c>
      <c r="D74" s="15"/>
      <c r="E74" s="20">
        <f ca="1">IF(ISERROR(#REF!),TODAY(),#REF!)</f>
        <v>44536</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3"/>
        <v>#VALUE!</v>
      </c>
      <c r="C75" s="15" t="e">
        <f t="shared" si="4"/>
        <v>#VALUE!</v>
      </c>
      <c r="D75" s="15"/>
      <c r="E75" s="20">
        <f ca="1">IF(ISERROR(#REF!),TODAY(),#REF!)</f>
        <v>44536</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3"/>
        <v>#VALUE!</v>
      </c>
      <c r="C76" s="15" t="e">
        <f t="shared" si="4"/>
        <v>#VALUE!</v>
      </c>
      <c r="D76" s="15"/>
      <c r="E76" s="20">
        <f ca="1">IF(ISERROR(#REF!),TODAY(),#REF!)</f>
        <v>44536</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3"/>
        <v>#VALUE!</v>
      </c>
      <c r="C77" s="15" t="e">
        <f t="shared" si="4"/>
        <v>#VALUE!</v>
      </c>
      <c r="D77" s="15"/>
      <c r="E77" s="20">
        <f ca="1">IF(ISERROR(#REF!),TODAY(),#REF!)</f>
        <v>44536</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3"/>
        <v>#VALUE!</v>
      </c>
      <c r="C78" s="15" t="e">
        <f t="shared" si="4"/>
        <v>#VALUE!</v>
      </c>
      <c r="D78" s="15"/>
      <c r="E78" s="20">
        <f ca="1">IF(ISERROR(#REF!),TODAY(),#REF!)</f>
        <v>44536</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3"/>
        <v>#VALUE!</v>
      </c>
      <c r="C79" s="15" t="e">
        <f t="shared" si="4"/>
        <v>#VALUE!</v>
      </c>
      <c r="D79" s="15"/>
      <c r="E79" s="20">
        <f ca="1">IF(ISERROR(#REF!),TODAY(),#REF!)</f>
        <v>44536</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3"/>
        <v>#VALUE!</v>
      </c>
      <c r="C80" s="15" t="e">
        <f t="shared" si="4"/>
        <v>#VALUE!</v>
      </c>
      <c r="D80" s="15"/>
      <c r="E80" s="20">
        <f ca="1">IF(ISERROR(#REF!),TODAY(),#REF!)</f>
        <v>44536</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3"/>
        <v>#VALUE!</v>
      </c>
      <c r="C81" s="15" t="e">
        <f t="shared" si="4"/>
        <v>#VALUE!</v>
      </c>
      <c r="D81" s="15"/>
      <c r="E81" s="20">
        <f ca="1">IF(ISERROR(#REF!),TODAY(),#REF!)</f>
        <v>44536</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3"/>
        <v>#VALUE!</v>
      </c>
      <c r="C82" s="15" t="e">
        <f t="shared" si="4"/>
        <v>#VALUE!</v>
      </c>
      <c r="D82" s="15"/>
      <c r="E82" s="20">
        <f ca="1">IF(ISERROR(#REF!),TODAY(),#REF!)</f>
        <v>44536</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3"/>
        <v>#VALUE!</v>
      </c>
      <c r="C83" s="15" t="e">
        <f t="shared" si="4"/>
        <v>#VALUE!</v>
      </c>
      <c r="D83" s="15"/>
      <c r="E83" s="20">
        <f ca="1">IF(ISERROR(#REF!),TODAY(),#REF!)</f>
        <v>44536</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3"/>
        <v>#VALUE!</v>
      </c>
      <c r="C84" s="15" t="e">
        <f t="shared" si="4"/>
        <v>#VALUE!</v>
      </c>
      <c r="D84" s="15"/>
      <c r="E84" s="20">
        <f ca="1">IF(ISERROR(#REF!),TODAY(),#REF!)</f>
        <v>44536</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3"/>
        <v>#VALUE!</v>
      </c>
      <c r="C85" s="15" t="e">
        <f t="shared" si="4"/>
        <v>#VALUE!</v>
      </c>
      <c r="D85" s="15"/>
      <c r="E85" s="20">
        <f ca="1">IF(ISERROR(#REF!),TODAY(),#REF!)</f>
        <v>44536</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3"/>
        <v>#VALUE!</v>
      </c>
      <c r="C86" s="15" t="e">
        <f t="shared" si="4"/>
        <v>#VALUE!</v>
      </c>
      <c r="D86" s="15"/>
      <c r="E86" s="20">
        <f ca="1">IF(ISERROR(#REF!),TODAY(),#REF!)</f>
        <v>44536</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3"/>
        <v>#VALUE!</v>
      </c>
      <c r="C87" s="15" t="e">
        <f t="shared" si="4"/>
        <v>#VALUE!</v>
      </c>
      <c r="D87" s="15"/>
      <c r="E87" s="20">
        <f ca="1">IF(ISERROR(#REF!),TODAY(),#REF!)</f>
        <v>44536</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3"/>
        <v>#VALUE!</v>
      </c>
      <c r="C88" s="15" t="e">
        <f t="shared" si="4"/>
        <v>#VALUE!</v>
      </c>
      <c r="D88" s="15"/>
      <c r="E88" s="20">
        <f ca="1">IF(ISERROR(#REF!),TODAY(),#REF!)</f>
        <v>44536</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3"/>
        <v>#VALUE!</v>
      </c>
      <c r="C89" s="15" t="e">
        <f t="shared" si="4"/>
        <v>#VALUE!</v>
      </c>
      <c r="D89" s="15"/>
      <c r="E89" s="20">
        <f ca="1">IF(ISERROR(#REF!),TODAY(),#REF!)</f>
        <v>44536</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3"/>
        <v>#VALUE!</v>
      </c>
      <c r="C90" s="15" t="e">
        <f t="shared" si="4"/>
        <v>#VALUE!</v>
      </c>
      <c r="D90" s="15"/>
      <c r="E90" s="20">
        <f ca="1">IF(ISERROR(#REF!),TODAY(),#REF!)</f>
        <v>44536</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3"/>
        <v>#VALUE!</v>
      </c>
      <c r="C91" s="15" t="e">
        <f t="shared" si="4"/>
        <v>#VALUE!</v>
      </c>
      <c r="D91" s="15"/>
      <c r="E91" s="20">
        <f ca="1">IF(ISERROR(#REF!),TODAY(),#REF!)</f>
        <v>44536</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3"/>
        <v>#VALUE!</v>
      </c>
      <c r="C92" s="15" t="e">
        <f t="shared" si="4"/>
        <v>#VALUE!</v>
      </c>
      <c r="D92" s="15"/>
      <c r="E92" s="20">
        <f ca="1">IF(ISERROR(#REF!),TODAY(),#REF!)</f>
        <v>44536</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3"/>
        <v>#VALUE!</v>
      </c>
      <c r="C93" s="15" t="e">
        <f t="shared" si="4"/>
        <v>#VALUE!</v>
      </c>
      <c r="D93" s="15"/>
      <c r="E93" s="20">
        <f ca="1">IF(ISERROR(#REF!),TODAY(),#REF!)</f>
        <v>44536</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3"/>
        <v>#VALUE!</v>
      </c>
      <c r="C94" s="15" t="e">
        <f t="shared" si="4"/>
        <v>#VALUE!</v>
      </c>
      <c r="D94" s="15"/>
      <c r="E94" s="20">
        <f ca="1">IF(ISERROR(#REF!),TODAY(),#REF!)</f>
        <v>44536</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3"/>
        <v>#VALUE!</v>
      </c>
      <c r="C95" s="15" t="e">
        <f t="shared" si="4"/>
        <v>#VALUE!</v>
      </c>
      <c r="D95" s="15"/>
      <c r="E95" s="20">
        <f ca="1">IF(ISERROR(#REF!),TODAY(),#REF!)</f>
        <v>44536</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3"/>
        <v>#VALUE!</v>
      </c>
      <c r="C96" s="15" t="e">
        <f t="shared" si="4"/>
        <v>#VALUE!</v>
      </c>
      <c r="D96" s="15"/>
      <c r="E96" s="20">
        <f ca="1">IF(ISERROR(#REF!),TODAY(),#REF!)</f>
        <v>44536</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3"/>
        <v>#VALUE!</v>
      </c>
      <c r="C97" s="15" t="e">
        <f t="shared" si="4"/>
        <v>#VALUE!</v>
      </c>
      <c r="D97" s="15"/>
      <c r="E97" s="20">
        <f ca="1">IF(ISERROR(#REF!),TODAY(),#REF!)</f>
        <v>44536</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3"/>
        <v>#VALUE!</v>
      </c>
      <c r="C98" s="15" t="e">
        <f t="shared" ref="C98:C129" si="5" xml:space="preserve"> MID(A98,SEARCH(":",A98)+2,SEARCH(":",A98,SEARCH(":",A98)+1)-SEARCH(":",A98)-3)</f>
        <v>#VALUE!</v>
      </c>
      <c r="D98" s="15"/>
      <c r="E98" s="20">
        <f ca="1">IF(ISERROR(#REF!),TODAY(),#REF!)</f>
        <v>44536</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3"/>
        <v>#VALUE!</v>
      </c>
      <c r="C99" s="15" t="e">
        <f t="shared" si="5"/>
        <v>#VALUE!</v>
      </c>
      <c r="D99" s="15"/>
      <c r="E99" s="20">
        <f ca="1">IF(ISERROR(#REF!),TODAY(),#REF!)</f>
        <v>44536</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3"/>
        <v>#VALUE!</v>
      </c>
      <c r="C100" s="15" t="e">
        <f t="shared" si="5"/>
        <v>#VALUE!</v>
      </c>
      <c r="D100" s="15"/>
      <c r="E100" s="20">
        <f ca="1">IF(ISERROR(#REF!),TODAY(),#REF!)</f>
        <v>44536</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3"/>
        <v>#VALUE!</v>
      </c>
      <c r="C101" s="15" t="e">
        <f t="shared" si="5"/>
        <v>#VALUE!</v>
      </c>
      <c r="D101" s="15"/>
      <c r="E101" s="20">
        <f ca="1">IF(ISERROR(#REF!),TODAY(),#REF!)</f>
        <v>44536</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3"/>
        <v>#VALUE!</v>
      </c>
      <c r="C102" s="15" t="e">
        <f t="shared" si="5"/>
        <v>#VALUE!</v>
      </c>
      <c r="D102" s="15"/>
      <c r="E102" s="20">
        <f ca="1">IF(ISERROR(#REF!),TODAY(),#REF!)</f>
        <v>44536</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3"/>
        <v>#VALUE!</v>
      </c>
      <c r="C103" s="15" t="e">
        <f t="shared" si="5"/>
        <v>#VALUE!</v>
      </c>
      <c r="D103" s="15"/>
      <c r="E103" s="20">
        <f ca="1">IF(ISERROR(#REF!),TODAY(),#REF!)</f>
        <v>44536</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3"/>
        <v>#VALUE!</v>
      </c>
      <c r="C104" s="15" t="e">
        <f t="shared" si="5"/>
        <v>#VALUE!</v>
      </c>
      <c r="D104" s="15"/>
      <c r="E104" s="20">
        <f ca="1">IF(ISERROR(#REF!),TODAY(),#REF!)</f>
        <v>44536</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3"/>
        <v>#VALUE!</v>
      </c>
      <c r="C105" s="15" t="e">
        <f t="shared" si="5"/>
        <v>#VALUE!</v>
      </c>
      <c r="D105" s="15"/>
      <c r="E105" s="20">
        <f ca="1">IF(ISERROR(#REF!),TODAY(),#REF!)</f>
        <v>44536</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3"/>
        <v>#VALUE!</v>
      </c>
      <c r="C106" s="15" t="e">
        <f t="shared" si="5"/>
        <v>#VALUE!</v>
      </c>
      <c r="D106" s="15"/>
      <c r="E106" s="20">
        <f ca="1">IF(ISERROR(#REF!),TODAY(),#REF!)</f>
        <v>44536</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3"/>
        <v>#VALUE!</v>
      </c>
      <c r="C107" s="15" t="e">
        <f t="shared" si="5"/>
        <v>#VALUE!</v>
      </c>
      <c r="D107" s="15"/>
      <c r="E107" s="20">
        <f ca="1">IF(ISERROR(#REF!),TODAY(),#REF!)</f>
        <v>44536</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3"/>
        <v>#VALUE!</v>
      </c>
      <c r="C108" s="15" t="e">
        <f t="shared" si="5"/>
        <v>#VALUE!</v>
      </c>
      <c r="D108" s="15"/>
      <c r="E108" s="20">
        <f ca="1">IF(ISERROR(#REF!),TODAY(),#REF!)</f>
        <v>44536</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3"/>
        <v>#VALUE!</v>
      </c>
      <c r="C109" s="15" t="e">
        <f t="shared" si="5"/>
        <v>#VALUE!</v>
      </c>
      <c r="D109" s="15"/>
      <c r="E109" s="20">
        <f ca="1">IF(ISERROR(#REF!),TODAY(),#REF!)</f>
        <v>44536</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3"/>
        <v>#VALUE!</v>
      </c>
      <c r="C110" s="15" t="e">
        <f t="shared" si="5"/>
        <v>#VALUE!</v>
      </c>
      <c r="D110" s="15"/>
      <c r="E110" s="20">
        <f ca="1">IF(ISERROR(#REF!),TODAY(),#REF!)</f>
        <v>44536</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3"/>
        <v>#VALUE!</v>
      </c>
      <c r="C111" s="15" t="e">
        <f t="shared" si="5"/>
        <v>#VALUE!</v>
      </c>
      <c r="D111" s="15"/>
      <c r="E111" s="20">
        <f ca="1">IF(ISERROR(#REF!),TODAY(),#REF!)</f>
        <v>44536</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3"/>
        <v>#VALUE!</v>
      </c>
      <c r="C112" s="15" t="e">
        <f t="shared" si="5"/>
        <v>#VALUE!</v>
      </c>
      <c r="D112" s="15"/>
      <c r="E112" s="20">
        <f ca="1">IF(ISERROR(#REF!),TODAY(),#REF!)</f>
        <v>44536</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3"/>
        <v>#VALUE!</v>
      </c>
      <c r="C113" s="15" t="e">
        <f t="shared" si="5"/>
        <v>#VALUE!</v>
      </c>
      <c r="D113" s="15"/>
      <c r="E113" s="20">
        <f ca="1">IF(ISERROR(#REF!),TODAY(),#REF!)</f>
        <v>44536</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3"/>
        <v>#VALUE!</v>
      </c>
      <c r="C114" s="15" t="e">
        <f t="shared" si="5"/>
        <v>#VALUE!</v>
      </c>
      <c r="D114" s="15"/>
      <c r="E114" s="20">
        <f ca="1">IF(ISERROR(#REF!),TODAY(),#REF!)</f>
        <v>44536</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3"/>
        <v>#VALUE!</v>
      </c>
      <c r="C115" s="15" t="e">
        <f t="shared" si="5"/>
        <v>#VALUE!</v>
      </c>
      <c r="D115" s="15"/>
      <c r="E115" s="20">
        <f ca="1">IF(ISERROR(#REF!),TODAY(),#REF!)</f>
        <v>44536</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3"/>
        <v>#VALUE!</v>
      </c>
      <c r="C116" s="15" t="e">
        <f t="shared" si="5"/>
        <v>#VALUE!</v>
      </c>
      <c r="D116" s="15"/>
      <c r="E116" s="20">
        <f ca="1">IF(ISERROR(#REF!),TODAY(),#REF!)</f>
        <v>44536</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3"/>
        <v>#VALUE!</v>
      </c>
      <c r="C117" s="15" t="e">
        <f t="shared" si="5"/>
        <v>#VALUE!</v>
      </c>
      <c r="D117" s="15"/>
      <c r="E117" s="20">
        <f ca="1">IF(ISERROR(#REF!),TODAY(),#REF!)</f>
        <v>44536</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3"/>
        <v>#VALUE!</v>
      </c>
      <c r="C118" s="15" t="e">
        <f t="shared" si="5"/>
        <v>#VALUE!</v>
      </c>
      <c r="D118" s="15"/>
      <c r="E118" s="20">
        <f ca="1">IF(ISERROR(#REF!),TODAY(),#REF!)</f>
        <v>44536</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3"/>
        <v>#VALUE!</v>
      </c>
      <c r="C119" s="15" t="e">
        <f t="shared" si="5"/>
        <v>#VALUE!</v>
      </c>
      <c r="D119" s="15"/>
      <c r="E119" s="20">
        <f ca="1">IF(ISERROR(#REF!),TODAY(),#REF!)</f>
        <v>44536</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3"/>
        <v>#VALUE!</v>
      </c>
      <c r="C120" s="15" t="e">
        <f t="shared" si="5"/>
        <v>#VALUE!</v>
      </c>
      <c r="D120" s="15"/>
      <c r="E120" s="20">
        <f ca="1">IF(ISERROR(#REF!),TODAY(),#REF!)</f>
        <v>44536</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3"/>
        <v>#VALUE!</v>
      </c>
      <c r="C121" s="15" t="e">
        <f t="shared" si="5"/>
        <v>#VALUE!</v>
      </c>
      <c r="D121" s="15"/>
      <c r="E121" s="20">
        <f ca="1">IF(ISERROR(#REF!),TODAY(),#REF!)</f>
        <v>44536</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3"/>
        <v>#VALUE!</v>
      </c>
      <c r="C122" s="15" t="e">
        <f t="shared" si="5"/>
        <v>#VALUE!</v>
      </c>
      <c r="D122" s="15"/>
      <c r="E122" s="20">
        <f ca="1">IF(ISERROR(#REF!),TODAY(),#REF!)</f>
        <v>44536</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3"/>
        <v>#VALUE!</v>
      </c>
      <c r="C123" s="15" t="e">
        <f t="shared" si="5"/>
        <v>#VALUE!</v>
      </c>
      <c r="D123" s="15"/>
      <c r="E123" s="20">
        <f ca="1">IF(ISERROR(#REF!),TODAY(),#REF!)</f>
        <v>44536</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3"/>
        <v>#VALUE!</v>
      </c>
      <c r="C124" s="15" t="e">
        <f t="shared" si="5"/>
        <v>#VALUE!</v>
      </c>
      <c r="D124" s="15"/>
      <c r="E124" s="20">
        <f ca="1">IF(ISERROR(#REF!),TODAY(),#REF!)</f>
        <v>44536</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3"/>
        <v>#VALUE!</v>
      </c>
      <c r="C125" s="15" t="e">
        <f t="shared" si="5"/>
        <v>#VALUE!</v>
      </c>
      <c r="D125" s="15"/>
      <c r="E125" s="20">
        <f ca="1">IF(ISERROR(#REF!),TODAY(),#REF!)</f>
        <v>44536</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3"/>
        <v>#VALUE!</v>
      </c>
      <c r="C126" s="15" t="e">
        <f t="shared" si="5"/>
        <v>#VALUE!</v>
      </c>
      <c r="D126" s="15"/>
      <c r="E126" s="20">
        <f ca="1">IF(ISERROR(#REF!),TODAY(),#REF!)</f>
        <v>44536</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3"/>
        <v>#VALUE!</v>
      </c>
      <c r="C127" s="15" t="e">
        <f t="shared" si="5"/>
        <v>#VALUE!</v>
      </c>
      <c r="D127" s="15"/>
      <c r="E127" s="20">
        <f ca="1">IF(ISERROR(#REF!),TODAY(),#REF!)</f>
        <v>44536</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3"/>
        <v>#VALUE!</v>
      </c>
      <c r="C128" s="15" t="e">
        <f t="shared" si="5"/>
        <v>#VALUE!</v>
      </c>
      <c r="D128" s="15"/>
      <c r="E128" s="20">
        <f ca="1">IF(ISERROR(#REF!),TODAY(),#REF!)</f>
        <v>44536</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3"/>
        <v>#VALUE!</v>
      </c>
      <c r="C129" s="15" t="e">
        <f t="shared" si="5"/>
        <v>#VALUE!</v>
      </c>
      <c r="D129" s="15"/>
      <c r="E129" s="20">
        <f ca="1">IF(ISERROR(#REF!),TODAY(),#REF!)</f>
        <v>44536</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6" xml:space="preserve"> MID(A130,SEARCH(":",A130)+2,SEARCH(":",A130,SEARCH(":",A130)+1)-SEARCH(":",A130)-3)</f>
        <v>#VALUE!</v>
      </c>
      <c r="C130" s="15" t="e">
        <f t="shared" ref="C130:C136" si="7" xml:space="preserve"> MID(A130,SEARCH(":",A130)+2,SEARCH(":",A130,SEARCH(":",A130)+1)-SEARCH(":",A130)-3)</f>
        <v>#VALUE!</v>
      </c>
      <c r="D130" s="15"/>
      <c r="E130" s="20">
        <f ca="1">IF(ISERROR(#REF!),TODAY(),#REF!)</f>
        <v>44536</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6"/>
        <v>#VALUE!</v>
      </c>
      <c r="C131" s="15" t="e">
        <f t="shared" si="7"/>
        <v>#VALUE!</v>
      </c>
      <c r="D131" s="15"/>
      <c r="E131" s="20">
        <f ca="1">IF(ISERROR(#REF!),TODAY(),#REF!)</f>
        <v>44536</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6"/>
        <v>#VALUE!</v>
      </c>
      <c r="C132" s="15" t="e">
        <f t="shared" si="7"/>
        <v>#VALUE!</v>
      </c>
      <c r="D132" s="15"/>
      <c r="E132" s="20">
        <f ca="1">IF(ISERROR(#REF!),TODAY(),#REF!)</f>
        <v>44536</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6"/>
        <v>#VALUE!</v>
      </c>
      <c r="C133" s="15" t="e">
        <f t="shared" si="7"/>
        <v>#VALUE!</v>
      </c>
      <c r="D133" s="15"/>
      <c r="E133" s="20">
        <f ca="1">IF(ISERROR(#REF!),TODAY(),#REF!)</f>
        <v>44536</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6"/>
        <v>#VALUE!</v>
      </c>
      <c r="C134" s="15" t="e">
        <f t="shared" si="7"/>
        <v>#VALUE!</v>
      </c>
      <c r="D134" s="15"/>
      <c r="E134" s="20">
        <f ca="1">IF(ISERROR(#REF!),TODAY(),#REF!)</f>
        <v>44536</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6"/>
        <v>#VALUE!</v>
      </c>
      <c r="C135" s="15" t="e">
        <f t="shared" si="7"/>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6"/>
        <v>#VALUE!</v>
      </c>
      <c r="C136" s="15" t="e">
        <f t="shared" si="7"/>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E1 G137:G1048576 E3:E136">
    <cfRule type="expression" dxfId="34" priority="6">
      <formula>TODAY()-E1&gt;=7</formula>
    </cfRule>
    <cfRule type="expression" dxfId="33" priority="7">
      <formula>TODAY()-E1&gt;=5</formula>
    </cfRule>
    <cfRule type="expression" dxfId="32" priority="8">
      <formula>TODAY()-E1&gt;=3</formula>
    </cfRule>
  </conditionalFormatting>
  <conditionalFormatting sqref="D1 D3:D1048576">
    <cfRule type="expression" dxfId="31" priority="5">
      <formula>ISBLANK(D1)</formula>
    </cfRule>
  </conditionalFormatting>
  <conditionalFormatting sqref="E2">
    <cfRule type="expression" dxfId="30" priority="2">
      <formula>TODAY()-E2&gt;=7</formula>
    </cfRule>
    <cfRule type="expression" dxfId="29" priority="3">
      <formula>TODAY()-E2&gt;=5</formula>
    </cfRule>
    <cfRule type="expression" dxfId="28" priority="4">
      <formula>TODAY()-E2&gt;=3</formula>
    </cfRule>
  </conditionalFormatting>
  <hyperlinks>
    <hyperlink ref="F27" r:id="rId1" display="mailto:rebeccab@purecountry.com" xr:uid="{00000000-0004-0000-0200-000000000000}"/>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21"/>
  <sheetViews>
    <sheetView topLeftCell="A7" workbookViewId="0">
      <selection activeCell="B30" sqref="B30"/>
    </sheetView>
  </sheetViews>
  <sheetFormatPr defaultRowHeight="15" x14ac:dyDescent="0.25"/>
  <cols>
    <col min="1" max="1" width="28.28515625" customWidth="1"/>
    <col min="2" max="2" width="140.42578125" customWidth="1"/>
  </cols>
  <sheetData>
    <row r="1" spans="1:7" x14ac:dyDescent="0.25">
      <c r="A1" s="40" t="s">
        <v>35</v>
      </c>
      <c r="B1" s="41"/>
      <c r="C1" s="41"/>
      <c r="D1" s="41"/>
      <c r="E1" s="41"/>
      <c r="F1" s="41"/>
      <c r="G1" s="41"/>
    </row>
    <row r="2" spans="1:7" x14ac:dyDescent="0.25">
      <c r="A2" s="41"/>
      <c r="B2" s="41"/>
      <c r="C2" s="41"/>
      <c r="D2" s="41"/>
      <c r="E2" s="41"/>
      <c r="F2" s="41"/>
      <c r="G2" s="41"/>
    </row>
    <row r="3" spans="1:7" x14ac:dyDescent="0.25">
      <c r="A3" s="41"/>
      <c r="B3" s="41"/>
      <c r="C3" s="41"/>
      <c r="D3" s="41"/>
      <c r="E3" s="41"/>
      <c r="F3" s="41"/>
      <c r="G3" s="41"/>
    </row>
    <row r="4" spans="1:7" x14ac:dyDescent="0.25">
      <c r="A4" s="41"/>
      <c r="B4" s="41"/>
      <c r="C4" s="41"/>
      <c r="D4" s="41"/>
      <c r="E4" s="41"/>
      <c r="F4" s="41"/>
      <c r="G4" s="41"/>
    </row>
    <row r="5" spans="1:7" x14ac:dyDescent="0.25">
      <c r="A5" s="41"/>
      <c r="B5" s="41"/>
      <c r="C5" s="41"/>
      <c r="D5" s="41"/>
      <c r="E5" s="41"/>
      <c r="F5" s="41"/>
      <c r="G5" s="41"/>
    </row>
    <row r="6" spans="1:7" x14ac:dyDescent="0.25">
      <c r="A6" s="41"/>
      <c r="B6" s="41"/>
      <c r="C6" s="41"/>
      <c r="D6" s="41"/>
      <c r="E6" s="41"/>
      <c r="F6" s="41"/>
      <c r="G6" s="41"/>
    </row>
    <row r="7" spans="1:7" x14ac:dyDescent="0.25">
      <c r="A7" s="41"/>
      <c r="B7" s="41"/>
      <c r="C7" s="41"/>
      <c r="D7" s="41"/>
      <c r="E7" s="41"/>
      <c r="F7" s="41"/>
      <c r="G7" s="41"/>
    </row>
    <row r="8" spans="1:7" x14ac:dyDescent="0.25">
      <c r="A8" s="41"/>
      <c r="B8" s="41"/>
      <c r="C8" s="41"/>
      <c r="D8" s="41"/>
      <c r="E8" s="41"/>
      <c r="F8" s="41"/>
      <c r="G8" s="41"/>
    </row>
    <row r="9" spans="1:7" x14ac:dyDescent="0.25">
      <c r="A9" s="41"/>
      <c r="B9" s="41"/>
      <c r="C9" s="41"/>
      <c r="D9" s="41"/>
      <c r="E9" s="41"/>
      <c r="F9" s="41"/>
      <c r="G9" s="41"/>
    </row>
    <row r="10" spans="1:7" x14ac:dyDescent="0.25">
      <c r="A10" s="41"/>
      <c r="B10" s="41"/>
      <c r="C10" s="41"/>
      <c r="D10" s="41"/>
      <c r="E10" s="41"/>
      <c r="F10" s="41"/>
      <c r="G10" s="41"/>
    </row>
    <row r="11" spans="1:7" x14ac:dyDescent="0.25">
      <c r="A11" s="41"/>
      <c r="B11" s="41"/>
      <c r="C11" s="41"/>
      <c r="D11" s="41"/>
      <c r="E11" s="41"/>
      <c r="F11" s="41"/>
      <c r="G11" s="41"/>
    </row>
    <row r="12" spans="1:7" x14ac:dyDescent="0.25">
      <c r="A12" s="41"/>
      <c r="B12" s="41"/>
      <c r="C12" s="41"/>
      <c r="D12" s="41"/>
      <c r="E12" s="41"/>
      <c r="F12" s="41"/>
      <c r="G12" s="41"/>
    </row>
    <row r="13" spans="1:7" x14ac:dyDescent="0.25">
      <c r="A13" s="41"/>
      <c r="B13" s="41"/>
      <c r="C13" s="41"/>
      <c r="D13" s="41"/>
      <c r="E13" s="41"/>
      <c r="F13" s="41"/>
      <c r="G13" s="41"/>
    </row>
    <row r="14" spans="1:7" x14ac:dyDescent="0.25">
      <c r="A14" s="41"/>
      <c r="B14" s="41"/>
      <c r="C14" s="41"/>
      <c r="D14" s="41"/>
      <c r="E14" s="41"/>
      <c r="F14" s="41"/>
      <c r="G14" s="41"/>
    </row>
    <row r="15" spans="1:7" x14ac:dyDescent="0.25">
      <c r="A15" s="41"/>
      <c r="B15" s="41"/>
      <c r="C15" s="41"/>
      <c r="D15" s="41"/>
      <c r="E15" s="41"/>
      <c r="F15" s="41"/>
      <c r="G15" s="41"/>
    </row>
    <row r="16" spans="1:7" x14ac:dyDescent="0.25">
      <c r="B16" s="12" t="s">
        <v>41</v>
      </c>
    </row>
    <row r="17" spans="2:2" x14ac:dyDescent="0.25">
      <c r="B17" t="s">
        <v>42</v>
      </c>
    </row>
    <row r="18" spans="2:2" x14ac:dyDescent="0.25">
      <c r="B18" t="s">
        <v>44</v>
      </c>
    </row>
    <row r="19" spans="2:2" x14ac:dyDescent="0.25">
      <c r="B19" t="s">
        <v>45</v>
      </c>
    </row>
    <row r="20" spans="2:2" ht="15.75" thickBot="1" x14ac:dyDescent="0.3">
      <c r="B20" s="26" t="str">
        <f ca="1" xml:space="preserve"> IF(E1="done",TEXT(TODAY(),"m.d.yy")&amp;" Reach out to trading partner",TEXT(TODAY(),"m.d.yy")&amp;" "&amp;F1)</f>
        <v xml:space="preserve">12.6.21 </v>
      </c>
    </row>
    <row r="21" spans="2:2" x14ac:dyDescent="0.25">
      <c r="B21" s="17" t="e">
        <f xml:space="preserve"> MID(A21,SEARCH(":",A21)+2,SEARCH(":",A21,SEARCH(":",A21)+1)-SEARCH(":",A21)-3)</f>
        <v>#VALUE!</v>
      </c>
    </row>
  </sheetData>
  <mergeCells count="1">
    <mergeCell ref="A1:G15"/>
  </mergeCells>
  <hyperlinks>
    <hyperlink ref="B16" r:id="rId1" xr:uid="{00000000-0004-0000-0300-000000000000}"/>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customWidth="1"/>
    <col min="4" max="4" width="27.28515625" customWidth="1"/>
    <col min="5" max="6" width="29.28515625" customWidth="1"/>
  </cols>
  <sheetData>
    <row r="1" spans="1:6" x14ac:dyDescent="0.25">
      <c r="A1" t="s">
        <v>30</v>
      </c>
      <c r="B1" t="s">
        <v>31</v>
      </c>
      <c r="C1" t="s">
        <v>29</v>
      </c>
      <c r="D1" t="s">
        <v>34</v>
      </c>
      <c r="E1" t="s">
        <v>32</v>
      </c>
      <c r="F1" t="s">
        <v>33</v>
      </c>
    </row>
    <row r="2" spans="1:6" x14ac:dyDescent="0.25">
      <c r="A2" t="s">
        <v>18</v>
      </c>
      <c r="B2" t="str">
        <f t="shared" ref="B2:B28" si="0">MID(A2,SEARCH("LogId",A2)+6,10)</f>
        <v>1050778398</v>
      </c>
      <c r="C2" t="str">
        <f t="shared" ref="C2:C31" si="1">MID(A2,SEARCH(":",A2)+2,SEARCH(" To ",A2)-SEARCH(":",A2)-2)</f>
        <v>Burlington Coat Factory Unknown</v>
      </c>
      <c r="D2" t="e">
        <f t="shared" ref="D2:D31" ca="1" si="2">LEFT(C2,LEN(C2)-SEARCH(" ",Reverse(C2)))</f>
        <v>#NAME?</v>
      </c>
      <c r="E2" t="e">
        <f t="shared" ref="E2:E35" ca="1" si="3">RIGHT(C2,SEARCH(" ",Reverse(C2))-1)</f>
        <v>#NAME?</v>
      </c>
      <c r="F2" t="str">
        <f t="shared" ref="F2:F32" si="4">MID(A2,SEARCH(" TO ",A2)+4,SEARCH(" LogId ",A2)-SEARCH(" TO ",A2)-4)</f>
        <v>Unknown</v>
      </c>
    </row>
    <row r="3" spans="1:6" x14ac:dyDescent="0.25">
      <c r="A3" t="s">
        <v>19</v>
      </c>
      <c r="B3" t="str">
        <f t="shared" si="0"/>
        <v>1050778399</v>
      </c>
      <c r="C3" t="str">
        <f t="shared" si="1"/>
        <v>Burlington Coat Factory Unknown</v>
      </c>
      <c r="D3" t="e">
        <f t="shared" ca="1" si="2"/>
        <v>#NAME?</v>
      </c>
      <c r="E3" t="e">
        <f t="shared" ca="1" si="3"/>
        <v>#NAME?</v>
      </c>
      <c r="F3" t="str">
        <f t="shared" si="4"/>
        <v>Unknown</v>
      </c>
    </row>
    <row r="4" spans="1:6" x14ac:dyDescent="0.25">
      <c r="A4" t="s">
        <v>20</v>
      </c>
      <c r="B4" t="str">
        <f t="shared" si="0"/>
        <v>1050778400</v>
      </c>
      <c r="C4" t="str">
        <f t="shared" si="1"/>
        <v>Burlington Coat Factory Unknown</v>
      </c>
      <c r="D4" t="e">
        <f t="shared" ca="1" si="2"/>
        <v>#NAME?</v>
      </c>
      <c r="E4" t="e">
        <f t="shared" ca="1" si="3"/>
        <v>#NAME?</v>
      </c>
      <c r="F4" t="str">
        <f t="shared" si="4"/>
        <v>Unknown</v>
      </c>
    </row>
    <row r="5" spans="1:6" x14ac:dyDescent="0.25">
      <c r="A5" t="s">
        <v>21</v>
      </c>
      <c r="B5" t="str">
        <f t="shared" si="0"/>
        <v>1050778401</v>
      </c>
      <c r="C5" t="str">
        <f t="shared" si="1"/>
        <v>Burlington Coat Factory Unknown</v>
      </c>
      <c r="D5" t="e">
        <f t="shared" ca="1" si="2"/>
        <v>#NAME?</v>
      </c>
      <c r="E5" t="e">
        <f t="shared" ca="1" si="3"/>
        <v>#NAME?</v>
      </c>
      <c r="F5" t="str">
        <f t="shared" si="4"/>
        <v>Unknown</v>
      </c>
    </row>
    <row r="6" spans="1:6" x14ac:dyDescent="0.25">
      <c r="A6" t="s">
        <v>22</v>
      </c>
      <c r="B6" t="str">
        <f t="shared" si="0"/>
        <v>1050778402</v>
      </c>
      <c r="C6" t="str">
        <f t="shared" si="1"/>
        <v>Burlington Coat Factory Unknown</v>
      </c>
      <c r="D6" t="e">
        <f t="shared" ca="1" si="2"/>
        <v>#NAME?</v>
      </c>
      <c r="E6" t="e">
        <f t="shared" ca="1" si="3"/>
        <v>#NAME?</v>
      </c>
      <c r="F6" t="str">
        <f t="shared" si="4"/>
        <v>Unknown</v>
      </c>
    </row>
    <row r="7" spans="1:6" x14ac:dyDescent="0.25">
      <c r="A7" t="s">
        <v>23</v>
      </c>
      <c r="B7" t="str">
        <f t="shared" si="0"/>
        <v>1050778403</v>
      </c>
      <c r="C7" t="str">
        <f t="shared" si="1"/>
        <v>Burlington Coat Factory Unknown</v>
      </c>
      <c r="D7" t="e">
        <f t="shared" ca="1" si="2"/>
        <v>#NAME?</v>
      </c>
      <c r="E7" t="e">
        <f t="shared" ca="1" si="3"/>
        <v>#NAME?</v>
      </c>
      <c r="F7" t="str">
        <f t="shared" si="4"/>
        <v>Unknown</v>
      </c>
    </row>
    <row r="8" spans="1:6" x14ac:dyDescent="0.25">
      <c r="A8" t="s">
        <v>24</v>
      </c>
      <c r="B8" t="str">
        <f t="shared" si="0"/>
        <v>1050778404</v>
      </c>
      <c r="C8" t="str">
        <f t="shared" si="1"/>
        <v>Burlington Coat Factory Unknown</v>
      </c>
      <c r="D8" t="e">
        <f t="shared" ca="1" si="2"/>
        <v>#NAME?</v>
      </c>
      <c r="E8" t="e">
        <f t="shared" ca="1" si="3"/>
        <v>#NAME?</v>
      </c>
      <c r="F8" t="str">
        <f t="shared" si="4"/>
        <v>Unknown</v>
      </c>
    </row>
    <row r="9" spans="1:6" x14ac:dyDescent="0.25">
      <c r="A9" t="s">
        <v>25</v>
      </c>
      <c r="B9" t="str">
        <f t="shared" si="0"/>
        <v>1050778405</v>
      </c>
      <c r="C9" t="str">
        <f t="shared" si="1"/>
        <v>Burlington Coat Factory Unknown</v>
      </c>
      <c r="D9" t="e">
        <f t="shared" ca="1" si="2"/>
        <v>#NAME?</v>
      </c>
      <c r="E9" t="e">
        <f t="shared" ca="1" si="3"/>
        <v>#NAME?</v>
      </c>
      <c r="F9" t="str">
        <f t="shared" si="4"/>
        <v>Unknown</v>
      </c>
    </row>
    <row r="10" spans="1:6" x14ac:dyDescent="0.25">
      <c r="A10" t="s">
        <v>26</v>
      </c>
      <c r="B10" t="str">
        <f t="shared" si="0"/>
        <v>1050778406</v>
      </c>
      <c r="C10" t="str">
        <f t="shared" si="1"/>
        <v>Burlington Coat Factory Unknown</v>
      </c>
      <c r="D10" t="e">
        <f t="shared" ca="1" si="2"/>
        <v>#NAME?</v>
      </c>
      <c r="E10" t="e">
        <f t="shared" ca="1" si="3"/>
        <v>#NAME?</v>
      </c>
      <c r="F10" t="str">
        <f t="shared" si="4"/>
        <v>Unknown</v>
      </c>
    </row>
    <row r="11" spans="1:6" x14ac:dyDescent="0.25">
      <c r="A11" t="s">
        <v>27</v>
      </c>
      <c r="B11" t="str">
        <f t="shared" si="0"/>
        <v>1050778407</v>
      </c>
      <c r="C11" t="str">
        <f t="shared" si="1"/>
        <v>Burlington Coat Factory Unknown</v>
      </c>
      <c r="D11" t="e">
        <f t="shared" ca="1" si="2"/>
        <v>#NAME?</v>
      </c>
      <c r="E11" t="e">
        <f t="shared" ca="1" si="3"/>
        <v>#NAME?</v>
      </c>
      <c r="F11" t="str">
        <f t="shared" si="4"/>
        <v>Unknown</v>
      </c>
    </row>
    <row r="12" spans="1:6" x14ac:dyDescent="0.25">
      <c r="A12" t="s">
        <v>28</v>
      </c>
      <c r="B12" t="str">
        <f t="shared" si="0"/>
        <v>1050778408</v>
      </c>
      <c r="C12" t="str">
        <f t="shared" si="1"/>
        <v>Burlington Coat Factory Unknown</v>
      </c>
      <c r="D12" t="e">
        <f t="shared" ca="1" si="2"/>
        <v>#NAME?</v>
      </c>
      <c r="E12" t="e">
        <f t="shared" ca="1" si="3"/>
        <v>#NAME?</v>
      </c>
      <c r="F12" t="str">
        <f t="shared" si="4"/>
        <v>Unknown</v>
      </c>
    </row>
    <row r="13" spans="1:6" x14ac:dyDescent="0.25">
      <c r="B13" t="e">
        <f t="shared" si="0"/>
        <v>#VALUE!</v>
      </c>
      <c r="C13" t="e">
        <f t="shared" si="1"/>
        <v>#VALUE!</v>
      </c>
      <c r="D13" t="e">
        <f t="shared" ca="1" si="2"/>
        <v>#VALUE!</v>
      </c>
      <c r="E13" t="e">
        <f t="shared" ca="1" si="3"/>
        <v>#VALUE!</v>
      </c>
      <c r="F13" t="e">
        <f t="shared" si="4"/>
        <v>#VALUE!</v>
      </c>
    </row>
    <row r="14" spans="1:6" x14ac:dyDescent="0.25">
      <c r="B14" t="e">
        <f t="shared" si="0"/>
        <v>#VALUE!</v>
      </c>
      <c r="C14" t="e">
        <f t="shared" si="1"/>
        <v>#VALUE!</v>
      </c>
      <c r="D14" t="e">
        <f t="shared" ca="1" si="2"/>
        <v>#VALUE!</v>
      </c>
      <c r="E14" t="e">
        <f t="shared" ca="1" si="3"/>
        <v>#VALUE!</v>
      </c>
      <c r="F14" t="e">
        <f t="shared" si="4"/>
        <v>#VALUE!</v>
      </c>
    </row>
    <row r="15" spans="1:6" x14ac:dyDescent="0.25">
      <c r="B15" t="e">
        <f t="shared" si="0"/>
        <v>#VALUE!</v>
      </c>
      <c r="C15" t="e">
        <f t="shared" si="1"/>
        <v>#VALUE!</v>
      </c>
      <c r="D15" t="e">
        <f t="shared" ca="1" si="2"/>
        <v>#VALUE!</v>
      </c>
      <c r="E15" t="e">
        <f t="shared" ca="1" si="3"/>
        <v>#VALUE!</v>
      </c>
      <c r="F15" t="e">
        <f t="shared" si="4"/>
        <v>#VALUE!</v>
      </c>
    </row>
    <row r="16" spans="1:6" x14ac:dyDescent="0.25">
      <c r="B16" t="e">
        <f t="shared" si="0"/>
        <v>#VALUE!</v>
      </c>
      <c r="C16" t="e">
        <f t="shared" si="1"/>
        <v>#VALUE!</v>
      </c>
      <c r="D16" t="e">
        <f t="shared" ca="1" si="2"/>
        <v>#VALUE!</v>
      </c>
      <c r="E16" t="e">
        <f t="shared" ca="1" si="3"/>
        <v>#VALUE!</v>
      </c>
      <c r="F16" t="e">
        <f t="shared" si="4"/>
        <v>#VALUE!</v>
      </c>
    </row>
    <row r="17" spans="2:6" x14ac:dyDescent="0.25">
      <c r="B17" t="e">
        <f t="shared" si="0"/>
        <v>#VALUE!</v>
      </c>
      <c r="C17" t="e">
        <f t="shared" si="1"/>
        <v>#VALUE!</v>
      </c>
      <c r="D17" t="e">
        <f t="shared" ca="1" si="2"/>
        <v>#VALUE!</v>
      </c>
      <c r="E17" t="e">
        <f t="shared" ca="1" si="3"/>
        <v>#VALUE!</v>
      </c>
      <c r="F17" t="e">
        <f t="shared" si="4"/>
        <v>#VALUE!</v>
      </c>
    </row>
    <row r="18" spans="2:6" x14ac:dyDescent="0.25">
      <c r="B18" t="e">
        <f t="shared" si="0"/>
        <v>#VALUE!</v>
      </c>
      <c r="C18" t="e">
        <f t="shared" si="1"/>
        <v>#VALUE!</v>
      </c>
      <c r="D18" t="e">
        <f t="shared" ca="1" si="2"/>
        <v>#VALUE!</v>
      </c>
      <c r="E18" t="e">
        <f t="shared" ca="1" si="3"/>
        <v>#VALUE!</v>
      </c>
      <c r="F18" t="e">
        <f t="shared" si="4"/>
        <v>#VALUE!</v>
      </c>
    </row>
    <row r="19" spans="2:6" x14ac:dyDescent="0.25">
      <c r="B19" t="e">
        <f t="shared" si="0"/>
        <v>#VALUE!</v>
      </c>
      <c r="C19" t="e">
        <f t="shared" si="1"/>
        <v>#VALUE!</v>
      </c>
      <c r="D19" t="e">
        <f t="shared" ca="1" si="2"/>
        <v>#VALUE!</v>
      </c>
      <c r="E19" t="e">
        <f t="shared" ca="1" si="3"/>
        <v>#VALUE!</v>
      </c>
      <c r="F19" t="e">
        <f t="shared" si="4"/>
        <v>#VALUE!</v>
      </c>
    </row>
    <row r="20" spans="2:6" x14ac:dyDescent="0.25">
      <c r="B20" t="e">
        <f t="shared" si="0"/>
        <v>#VALUE!</v>
      </c>
      <c r="C20" t="e">
        <f t="shared" si="1"/>
        <v>#VALUE!</v>
      </c>
      <c r="D20" t="e">
        <f t="shared" ca="1" si="2"/>
        <v>#VALUE!</v>
      </c>
      <c r="E20" t="e">
        <f t="shared" ca="1" si="3"/>
        <v>#VALUE!</v>
      </c>
      <c r="F20" t="e">
        <f t="shared" si="4"/>
        <v>#VALUE!</v>
      </c>
    </row>
    <row r="21" spans="2:6" x14ac:dyDescent="0.25">
      <c r="B21" t="e">
        <f t="shared" si="0"/>
        <v>#VALUE!</v>
      </c>
      <c r="C21" t="e">
        <f t="shared" si="1"/>
        <v>#VALUE!</v>
      </c>
      <c r="D21" t="e">
        <f t="shared" ca="1" si="2"/>
        <v>#VALUE!</v>
      </c>
      <c r="E21" t="e">
        <f t="shared" ca="1" si="3"/>
        <v>#VALUE!</v>
      </c>
      <c r="F21" t="e">
        <f t="shared" si="4"/>
        <v>#VALUE!</v>
      </c>
    </row>
    <row r="22" spans="2:6" x14ac:dyDescent="0.25">
      <c r="B22" t="e">
        <f t="shared" si="0"/>
        <v>#VALUE!</v>
      </c>
      <c r="C22" t="e">
        <f t="shared" si="1"/>
        <v>#VALUE!</v>
      </c>
      <c r="D22" t="e">
        <f t="shared" ca="1" si="2"/>
        <v>#VALUE!</v>
      </c>
      <c r="E22" t="e">
        <f t="shared" ca="1" si="3"/>
        <v>#VALUE!</v>
      </c>
      <c r="F22" t="e">
        <f t="shared" si="4"/>
        <v>#VALUE!</v>
      </c>
    </row>
    <row r="23" spans="2:6" x14ac:dyDescent="0.25">
      <c r="B23" t="e">
        <f t="shared" si="0"/>
        <v>#VALUE!</v>
      </c>
      <c r="C23" t="e">
        <f t="shared" si="1"/>
        <v>#VALUE!</v>
      </c>
      <c r="D23" t="e">
        <f t="shared" ca="1" si="2"/>
        <v>#VALUE!</v>
      </c>
      <c r="E23" t="e">
        <f t="shared" ca="1" si="3"/>
        <v>#VALUE!</v>
      </c>
      <c r="F23" t="e">
        <f t="shared" si="4"/>
        <v>#VALUE!</v>
      </c>
    </row>
    <row r="24" spans="2:6" x14ac:dyDescent="0.25">
      <c r="B24" t="e">
        <f t="shared" si="0"/>
        <v>#VALUE!</v>
      </c>
      <c r="C24" t="e">
        <f t="shared" si="1"/>
        <v>#VALUE!</v>
      </c>
      <c r="D24" t="e">
        <f t="shared" ca="1" si="2"/>
        <v>#VALUE!</v>
      </c>
      <c r="E24" t="e">
        <f t="shared" ca="1" si="3"/>
        <v>#VALUE!</v>
      </c>
      <c r="F24" t="e">
        <f t="shared" si="4"/>
        <v>#VALUE!</v>
      </c>
    </row>
    <row r="25" spans="2:6" x14ac:dyDescent="0.25">
      <c r="B25" t="e">
        <f t="shared" si="0"/>
        <v>#VALUE!</v>
      </c>
      <c r="C25" t="e">
        <f t="shared" si="1"/>
        <v>#VALUE!</v>
      </c>
      <c r="D25" t="e">
        <f t="shared" ca="1" si="2"/>
        <v>#VALUE!</v>
      </c>
      <c r="E25" t="e">
        <f t="shared" ca="1" si="3"/>
        <v>#VALUE!</v>
      </c>
      <c r="F25" t="e">
        <f t="shared" si="4"/>
        <v>#VALUE!</v>
      </c>
    </row>
    <row r="26" spans="2:6" x14ac:dyDescent="0.25">
      <c r="B26" t="e">
        <f t="shared" si="0"/>
        <v>#VALUE!</v>
      </c>
      <c r="C26" t="e">
        <f t="shared" si="1"/>
        <v>#VALUE!</v>
      </c>
      <c r="D26" t="e">
        <f t="shared" ca="1" si="2"/>
        <v>#VALUE!</v>
      </c>
      <c r="E26" t="e">
        <f t="shared" ca="1" si="3"/>
        <v>#VALUE!</v>
      </c>
      <c r="F26" t="e">
        <f t="shared" si="4"/>
        <v>#VALUE!</v>
      </c>
    </row>
    <row r="27" spans="2:6" x14ac:dyDescent="0.25">
      <c r="B27" t="e">
        <f t="shared" si="0"/>
        <v>#VALUE!</v>
      </c>
      <c r="C27" t="e">
        <f t="shared" si="1"/>
        <v>#VALUE!</v>
      </c>
      <c r="D27" t="e">
        <f t="shared" ca="1" si="2"/>
        <v>#VALUE!</v>
      </c>
      <c r="E27" t="e">
        <f t="shared" ca="1" si="3"/>
        <v>#VALUE!</v>
      </c>
      <c r="F27" t="e">
        <f t="shared" si="4"/>
        <v>#VALUE!</v>
      </c>
    </row>
    <row r="28" spans="2:6" x14ac:dyDescent="0.25">
      <c r="B28" t="e">
        <f t="shared" si="0"/>
        <v>#VALUE!</v>
      </c>
      <c r="C28" t="e">
        <f t="shared" si="1"/>
        <v>#VALUE!</v>
      </c>
      <c r="D28" t="e">
        <f t="shared" ca="1" si="2"/>
        <v>#VALUE!</v>
      </c>
      <c r="E28" t="e">
        <f t="shared" ca="1" si="3"/>
        <v>#VALUE!</v>
      </c>
      <c r="F28" t="e">
        <f t="shared" si="4"/>
        <v>#VALUE!</v>
      </c>
    </row>
    <row r="29" spans="2:6" x14ac:dyDescent="0.25">
      <c r="C29" t="e">
        <f t="shared" si="1"/>
        <v>#VALUE!</v>
      </c>
      <c r="D29" t="e">
        <f t="shared" ca="1" si="2"/>
        <v>#VALUE!</v>
      </c>
      <c r="E29" t="e">
        <f t="shared" ca="1" si="3"/>
        <v>#VALUE!</v>
      </c>
      <c r="F29" t="e">
        <f t="shared" si="4"/>
        <v>#VALUE!</v>
      </c>
    </row>
    <row r="30" spans="2:6" x14ac:dyDescent="0.25">
      <c r="C30" t="e">
        <f t="shared" si="1"/>
        <v>#VALUE!</v>
      </c>
      <c r="D30" t="e">
        <f t="shared" ca="1" si="2"/>
        <v>#VALUE!</v>
      </c>
      <c r="E30" t="e">
        <f t="shared" ca="1" si="3"/>
        <v>#VALUE!</v>
      </c>
      <c r="F30" t="e">
        <f t="shared" si="4"/>
        <v>#VALUE!</v>
      </c>
    </row>
    <row r="31" spans="2:6" x14ac:dyDescent="0.25">
      <c r="C31" t="e">
        <f t="shared" si="1"/>
        <v>#VALUE!</v>
      </c>
      <c r="D31" t="e">
        <f t="shared" ca="1" si="2"/>
        <v>#VALUE!</v>
      </c>
      <c r="E31" t="e">
        <f t="shared" ca="1" si="3"/>
        <v>#VALUE!</v>
      </c>
      <c r="F31" t="e">
        <f t="shared" si="4"/>
        <v>#VALUE!</v>
      </c>
    </row>
    <row r="32" spans="2:6" x14ac:dyDescent="0.25">
      <c r="E32" t="e">
        <f t="shared" ca="1" si="3"/>
        <v>#NAME?</v>
      </c>
      <c r="F32" t="e">
        <f t="shared" si="4"/>
        <v>#VALUE!</v>
      </c>
    </row>
    <row r="33" spans="5:5" x14ac:dyDescent="0.25">
      <c r="E33" t="e">
        <f t="shared" ca="1" si="3"/>
        <v>#NAME?</v>
      </c>
    </row>
    <row r="34" spans="5:5" x14ac:dyDescent="0.25">
      <c r="E34" t="e">
        <f t="shared" ca="1" si="3"/>
        <v>#NAME?</v>
      </c>
    </row>
    <row r="35" spans="5:5" x14ac:dyDescent="0.25">
      <c r="E35" t="e">
        <f t="shared" ca="1" si="3"/>
        <v>#NAME?</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189"/>
  <sheetViews>
    <sheetView workbookViewId="0">
      <selection activeCell="A12" sqref="A12"/>
    </sheetView>
  </sheetViews>
  <sheetFormatPr defaultRowHeight="15" x14ac:dyDescent="0.25"/>
  <cols>
    <col min="1" max="1" width="62.85546875" style="15" customWidth="1"/>
  </cols>
  <sheetData>
    <row r="1" spans="1:1" x14ac:dyDescent="0.25">
      <c r="A1" s="1" t="s">
        <v>11</v>
      </c>
    </row>
    <row r="2" spans="1:1" x14ac:dyDescent="0.25">
      <c r="A2" t="s">
        <v>48</v>
      </c>
    </row>
    <row r="3" spans="1:1" x14ac:dyDescent="0.25">
      <c r="A3" t="s">
        <v>56</v>
      </c>
    </row>
    <row r="4" spans="1:1" x14ac:dyDescent="0.25">
      <c r="A4" t="s">
        <v>86</v>
      </c>
    </row>
    <row r="5" spans="1:1" x14ac:dyDescent="0.25">
      <c r="A5" t="s">
        <v>84</v>
      </c>
    </row>
    <row r="6" spans="1:1" x14ac:dyDescent="0.25">
      <c r="A6" t="s">
        <v>77</v>
      </c>
    </row>
    <row r="7" spans="1:1" x14ac:dyDescent="0.25">
      <c r="A7" t="s">
        <v>49</v>
      </c>
    </row>
    <row r="8" spans="1:1" x14ac:dyDescent="0.25">
      <c r="A8" t="s">
        <v>110</v>
      </c>
    </row>
    <row r="9" spans="1:1" x14ac:dyDescent="0.25">
      <c r="A9" t="s">
        <v>65</v>
      </c>
    </row>
    <row r="10" spans="1:1" x14ac:dyDescent="0.25">
      <c r="A10" t="s">
        <v>87</v>
      </c>
    </row>
    <row r="11" spans="1:1" x14ac:dyDescent="0.25">
      <c r="A11" t="s">
        <v>63</v>
      </c>
    </row>
    <row r="12" spans="1:1" x14ac:dyDescent="0.25">
      <c r="A12" t="s">
        <v>62</v>
      </c>
    </row>
    <row r="13" spans="1:1" x14ac:dyDescent="0.25">
      <c r="A13" t="s">
        <v>58</v>
      </c>
    </row>
    <row r="14" spans="1:1" x14ac:dyDescent="0.25">
      <c r="A14" t="s">
        <v>75</v>
      </c>
    </row>
    <row r="15" spans="1:1" x14ac:dyDescent="0.25">
      <c r="A15" t="s">
        <v>81</v>
      </c>
    </row>
    <row r="16" spans="1:1" x14ac:dyDescent="0.25">
      <c r="A16" t="s">
        <v>79</v>
      </c>
    </row>
    <row r="17" spans="1:1" x14ac:dyDescent="0.25">
      <c r="A17" t="s">
        <v>80</v>
      </c>
    </row>
    <row r="18" spans="1:1" x14ac:dyDescent="0.25">
      <c r="A18" t="s">
        <v>76</v>
      </c>
    </row>
    <row r="19" spans="1:1" x14ac:dyDescent="0.25">
      <c r="A19" t="s">
        <v>89</v>
      </c>
    </row>
    <row r="20" spans="1:1" x14ac:dyDescent="0.25">
      <c r="A20" t="s">
        <v>52</v>
      </c>
    </row>
    <row r="21" spans="1:1" x14ac:dyDescent="0.25">
      <c r="A21" t="s">
        <v>85</v>
      </c>
    </row>
    <row r="22" spans="1:1" x14ac:dyDescent="0.25">
      <c r="A22" t="s">
        <v>54</v>
      </c>
    </row>
    <row r="23" spans="1:1" x14ac:dyDescent="0.25">
      <c r="A23" t="s">
        <v>61</v>
      </c>
    </row>
    <row r="24" spans="1:1" x14ac:dyDescent="0.25">
      <c r="A24" t="s">
        <v>82</v>
      </c>
    </row>
    <row r="25" spans="1:1" x14ac:dyDescent="0.25">
      <c r="A25" t="s">
        <v>66</v>
      </c>
    </row>
    <row r="26" spans="1:1" x14ac:dyDescent="0.25">
      <c r="A26" t="s">
        <v>83</v>
      </c>
    </row>
    <row r="27" spans="1:1" x14ac:dyDescent="0.25">
      <c r="A27" t="s">
        <v>60</v>
      </c>
    </row>
    <row r="28" spans="1:1" x14ac:dyDescent="0.25">
      <c r="A28" t="s">
        <v>46</v>
      </c>
    </row>
    <row r="29" spans="1:1" x14ac:dyDescent="0.25">
      <c r="A29" t="s">
        <v>88</v>
      </c>
    </row>
    <row r="30" spans="1:1" x14ac:dyDescent="0.25">
      <c r="A30" t="s">
        <v>64</v>
      </c>
    </row>
    <row r="31" spans="1:1" x14ac:dyDescent="0.25">
      <c r="A31" t="s">
        <v>78</v>
      </c>
    </row>
    <row r="32" spans="1:1"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general</vt:lpstr>
      <vt:lpstr>in progress</vt:lpstr>
      <vt:lpstr>pending</vt:lpstr>
      <vt:lpstr>completed</vt:lpstr>
      <vt:lpstr>notes</vt:lpstr>
      <vt:lpstr>Sheet2</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2021-12-06T14:54:38Z</dcterms:modified>
</cp:coreProperties>
</file>