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workbookPr filterPrivacy="1" codeName="ThisWorkbook"/>
  <xr:revisionPtr revIDLastSave="0" documentId="13_ncr:1_{C2629D69-06C8-4A05-AE2F-C9CF6DF99335}" xr6:coauthVersionLast="47" xr6:coauthVersionMax="47" xr10:uidLastSave="{00000000-0000-0000-0000-000000000000}"/>
  <bookViews>
    <workbookView xWindow="-120" yWindow="-120" windowWidth="29040" windowHeight="15840" activeTab="1" xr2:uid="{00000000-000D-0000-FFFF-FFFF00000000}"/>
  </bookViews>
  <sheets>
    <sheet name="general" sheetId="10" r:id="rId1"/>
    <sheet name="in progress" sheetId="1" r:id="rId2"/>
    <sheet name="pending" sheetId="7" r:id="rId3"/>
    <sheet name="completed" sheetId="8" r:id="rId4"/>
    <sheet name="notes" sheetId="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10" l="1"/>
  <c r="F7" i="1"/>
  <c r="F32" i="1"/>
  <c r="F27" i="1"/>
  <c r="F28" i="1"/>
  <c r="F14" i="1"/>
  <c r="F26" i="1"/>
  <c r="F2" i="1"/>
  <c r="F4" i="1"/>
  <c r="F5" i="1"/>
  <c r="F33" i="1"/>
  <c r="F35" i="1"/>
  <c r="F36" i="1"/>
  <c r="F37" i="1"/>
  <c r="F38" i="1"/>
  <c r="F39" i="1"/>
  <c r="F40" i="1"/>
  <c r="F41" i="1"/>
  <c r="F42" i="1"/>
  <c r="F43" i="1"/>
  <c r="F44" i="1"/>
  <c r="F45" i="1"/>
  <c r="F46" i="1"/>
  <c r="F47" i="1"/>
  <c r="F48" i="1"/>
  <c r="F49" i="1"/>
  <c r="F50" i="1"/>
  <c r="F51" i="1"/>
  <c r="F52" i="1"/>
  <c r="F53" i="1"/>
  <c r="F54" i="1"/>
  <c r="F55" i="1"/>
  <c r="F56" i="1"/>
  <c r="B34" i="1"/>
  <c r="B15" i="1"/>
  <c r="B18" i="1"/>
  <c r="B19" i="1"/>
  <c r="B17" i="1"/>
  <c r="B20" i="1"/>
  <c r="B21" i="1"/>
  <c r="B22" i="1"/>
  <c r="B23" i="1"/>
  <c r="B16" i="1"/>
  <c r="B24" i="1"/>
  <c r="B33"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3" i="10"/>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31" i="1"/>
  <c r="F9" i="1"/>
  <c r="F13" i="1"/>
  <c r="F6" i="1"/>
  <c r="F11" i="1"/>
  <c r="F30" i="1"/>
  <c r="F12" i="1"/>
  <c r="F25" i="1"/>
  <c r="F3" i="1"/>
  <c r="F29" i="1"/>
  <c r="C25" i="1"/>
  <c r="C2"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E2" i="8"/>
  <c r="D2" i="8"/>
  <c r="C113" i="1" l="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F165" i="1"/>
  <c r="F166" i="1"/>
  <c r="B136" i="8"/>
  <c r="B135" i="8"/>
  <c r="E134" i="8"/>
  <c r="B134" i="8"/>
  <c r="E133" i="8"/>
  <c r="B133" i="8"/>
  <c r="E132" i="8"/>
  <c r="B132" i="8"/>
  <c r="E131" i="8"/>
  <c r="B131" i="8"/>
  <c r="E130" i="8"/>
  <c r="B130" i="8"/>
  <c r="E129" i="8"/>
  <c r="B129" i="8"/>
  <c r="E128" i="8"/>
  <c r="B128" i="8"/>
  <c r="E127" i="8"/>
  <c r="B127" i="8"/>
  <c r="E126" i="8"/>
  <c r="B126" i="8"/>
  <c r="E125" i="8"/>
  <c r="B125" i="8"/>
  <c r="E124" i="8"/>
  <c r="B124" i="8"/>
  <c r="E123" i="8"/>
  <c r="B123" i="8"/>
  <c r="E122" i="8"/>
  <c r="B122" i="8"/>
  <c r="E121" i="8"/>
  <c r="B121" i="8"/>
  <c r="E120" i="8"/>
  <c r="B120" i="8"/>
  <c r="E119" i="8"/>
  <c r="B119" i="8"/>
  <c r="E118" i="8"/>
  <c r="B118" i="8"/>
  <c r="E117" i="8"/>
  <c r="B117" i="8"/>
  <c r="E116" i="8"/>
  <c r="B116" i="8"/>
  <c r="E115" i="8"/>
  <c r="B115" i="8"/>
  <c r="E114" i="8"/>
  <c r="B114" i="8"/>
  <c r="E113" i="8"/>
  <c r="B113" i="8"/>
  <c r="E112" i="8"/>
  <c r="B112" i="8"/>
  <c r="E111" i="8"/>
  <c r="B111" i="8"/>
  <c r="E110" i="8"/>
  <c r="B110" i="8"/>
  <c r="E109" i="8"/>
  <c r="B109" i="8"/>
  <c r="E108" i="8"/>
  <c r="B108" i="8"/>
  <c r="E107" i="8"/>
  <c r="B107" i="8"/>
  <c r="E106" i="8"/>
  <c r="B106" i="8"/>
  <c r="E105" i="8"/>
  <c r="B105" i="8"/>
  <c r="E104" i="8"/>
  <c r="B104" i="8"/>
  <c r="E103" i="8"/>
  <c r="B103" i="8"/>
  <c r="E102" i="8"/>
  <c r="B102" i="8"/>
  <c r="E101" i="8"/>
  <c r="B101" i="8"/>
  <c r="E100" i="8"/>
  <c r="B100" i="8"/>
  <c r="E99" i="8"/>
  <c r="B99" i="8"/>
  <c r="E98" i="8"/>
  <c r="B98" i="8"/>
  <c r="E97" i="8"/>
  <c r="B97" i="8"/>
  <c r="E96" i="8"/>
  <c r="B96" i="8"/>
  <c r="E95" i="8"/>
  <c r="B95" i="8"/>
  <c r="E94" i="8"/>
  <c r="B94" i="8"/>
  <c r="E93" i="8"/>
  <c r="B93" i="8"/>
  <c r="E92" i="8"/>
  <c r="B92" i="8"/>
  <c r="E91" i="8"/>
  <c r="B91" i="8"/>
  <c r="E90" i="8"/>
  <c r="B90" i="8"/>
  <c r="E89" i="8"/>
  <c r="B89" i="8"/>
  <c r="E88" i="8"/>
  <c r="B88" i="8"/>
  <c r="E87" i="8"/>
  <c r="B87" i="8"/>
  <c r="E86" i="8"/>
  <c r="B86" i="8"/>
  <c r="E85" i="8"/>
  <c r="B85" i="8"/>
  <c r="E84" i="8"/>
  <c r="B84" i="8"/>
  <c r="E83" i="8"/>
  <c r="B83" i="8"/>
  <c r="E82" i="8"/>
  <c r="B82" i="8"/>
  <c r="E81" i="8"/>
  <c r="B81" i="8"/>
  <c r="E80" i="8"/>
  <c r="B80" i="8"/>
  <c r="E79" i="8"/>
  <c r="B79" i="8"/>
  <c r="E78" i="8"/>
  <c r="B78" i="8"/>
  <c r="E77" i="8"/>
  <c r="B77" i="8"/>
  <c r="E76" i="8"/>
  <c r="B76" i="8"/>
  <c r="E75" i="8"/>
  <c r="B75" i="8"/>
  <c r="E74" i="8"/>
  <c r="B74" i="8"/>
  <c r="E73" i="8"/>
  <c r="B73" i="8"/>
  <c r="E72" i="8"/>
  <c r="B72" i="8"/>
  <c r="E71" i="8"/>
  <c r="B71" i="8"/>
  <c r="E70" i="8"/>
  <c r="B70" i="8"/>
  <c r="E69" i="8"/>
  <c r="B69" i="8"/>
  <c r="E68" i="8"/>
  <c r="B68" i="8"/>
  <c r="E67" i="8"/>
  <c r="B67" i="8"/>
  <c r="E66" i="8"/>
  <c r="B66" i="8"/>
  <c r="E65" i="8"/>
  <c r="B65" i="8"/>
  <c r="E64" i="8"/>
  <c r="B64" i="8"/>
  <c r="E63" i="8"/>
  <c r="B63" i="8"/>
  <c r="E62" i="8"/>
  <c r="B62" i="8"/>
  <c r="E61" i="8"/>
  <c r="B61" i="8"/>
  <c r="E60" i="8"/>
  <c r="B60" i="8"/>
  <c r="E59" i="8"/>
  <c r="B59" i="8"/>
  <c r="E58" i="8"/>
  <c r="B58" i="8"/>
  <c r="E57" i="8"/>
  <c r="B57" i="8"/>
  <c r="E56" i="8"/>
  <c r="B56" i="8"/>
  <c r="E55" i="8"/>
  <c r="B55" i="8"/>
  <c r="E54" i="8"/>
  <c r="B54" i="8"/>
  <c r="E53" i="8"/>
  <c r="B53" i="8"/>
  <c r="E52" i="8"/>
  <c r="B52" i="8"/>
  <c r="E51" i="8"/>
  <c r="B51" i="8"/>
  <c r="E50" i="8"/>
  <c r="B50" i="8"/>
  <c r="E49" i="8"/>
  <c r="B49" i="8"/>
  <c r="E48" i="8"/>
  <c r="B48" i="8"/>
  <c r="E47" i="8"/>
  <c r="B47" i="8"/>
  <c r="E46" i="8"/>
  <c r="B46" i="8"/>
  <c r="E45" i="8"/>
  <c r="B45" i="8"/>
  <c r="E44" i="8"/>
  <c r="B44" i="8"/>
  <c r="E43" i="8"/>
  <c r="B43" i="8"/>
  <c r="E42" i="8"/>
  <c r="B42" i="8"/>
  <c r="E41" i="8"/>
  <c r="B41" i="8"/>
  <c r="E40" i="8"/>
  <c r="B40" i="8"/>
  <c r="E39" i="8"/>
  <c r="B39" i="8"/>
  <c r="E38" i="8"/>
  <c r="B38" i="8"/>
  <c r="E37" i="8"/>
  <c r="B37" i="8"/>
  <c r="E36" i="8"/>
  <c r="B36" i="8"/>
  <c r="E35" i="8"/>
  <c r="B35" i="8"/>
  <c r="E34" i="8"/>
  <c r="B34" i="8"/>
  <c r="E33" i="8"/>
  <c r="B33" i="8"/>
  <c r="E32" i="8"/>
  <c r="B32" i="8"/>
  <c r="E31" i="8"/>
  <c r="B31" i="8"/>
  <c r="E30" i="8"/>
  <c r="B30" i="8"/>
  <c r="E29" i="8"/>
  <c r="B29" i="8"/>
  <c r="E28" i="8"/>
  <c r="B28" i="8"/>
  <c r="E27" i="8"/>
  <c r="B27" i="8"/>
  <c r="E26" i="8"/>
  <c r="B26" i="8"/>
  <c r="E25" i="8"/>
  <c r="B25" i="8"/>
  <c r="E24" i="8"/>
  <c r="B24" i="8"/>
  <c r="E23" i="8"/>
  <c r="B23" i="8"/>
  <c r="E22" i="8"/>
  <c r="B22" i="8"/>
  <c r="E21" i="8"/>
  <c r="B21" i="8"/>
  <c r="E20" i="8"/>
  <c r="B20" i="8"/>
  <c r="E19" i="8"/>
  <c r="B19" i="8"/>
  <c r="E18" i="8"/>
  <c r="B18" i="8"/>
  <c r="E17" i="8"/>
  <c r="B17" i="8"/>
  <c r="E16" i="8"/>
  <c r="B16" i="8"/>
  <c r="E15" i="8"/>
  <c r="B15" i="8"/>
  <c r="E14" i="8"/>
  <c r="B14" i="8"/>
  <c r="E13" i="8"/>
  <c r="B13" i="8"/>
  <c r="E12" i="8"/>
  <c r="B12" i="8"/>
  <c r="E11" i="8"/>
  <c r="B11" i="8"/>
  <c r="E10" i="8"/>
  <c r="B10" i="8"/>
  <c r="E9" i="8"/>
  <c r="B9" i="8"/>
  <c r="E8" i="8"/>
  <c r="B8" i="8"/>
  <c r="E7" i="8"/>
  <c r="B7" i="8"/>
  <c r="E6" i="8"/>
  <c r="B6" i="8"/>
  <c r="E5" i="8"/>
  <c r="B5" i="8"/>
  <c r="E4" i="8"/>
  <c r="B4" i="8"/>
  <c r="E3" i="8"/>
  <c r="B3" i="8"/>
  <c r="D34" i="1"/>
  <c r="D15" i="1"/>
  <c r="D18" i="1"/>
  <c r="D19" i="1"/>
  <c r="D17" i="1"/>
  <c r="D20" i="1"/>
  <c r="D21" i="1"/>
  <c r="D22" i="1"/>
  <c r="D23" i="1"/>
  <c r="D16" i="1"/>
  <c r="D24" i="1"/>
  <c r="D33"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B136" i="7"/>
  <c r="B135" i="7"/>
  <c r="E134" i="7"/>
  <c r="B134" i="7"/>
  <c r="E133" i="7"/>
  <c r="B133" i="7"/>
  <c r="E132" i="7"/>
  <c r="B132" i="7"/>
  <c r="E131" i="7"/>
  <c r="B131" i="7"/>
  <c r="E130" i="7"/>
  <c r="B130" i="7"/>
  <c r="E129" i="7"/>
  <c r="B129" i="7"/>
  <c r="E128" i="7"/>
  <c r="B128" i="7"/>
  <c r="E127" i="7"/>
  <c r="B127" i="7"/>
  <c r="E126" i="7"/>
  <c r="B126" i="7"/>
  <c r="E125" i="7"/>
  <c r="B125" i="7"/>
  <c r="E124" i="7"/>
  <c r="B124" i="7"/>
  <c r="E123" i="7"/>
  <c r="B123" i="7"/>
  <c r="E122" i="7"/>
  <c r="B122" i="7"/>
  <c r="E121" i="7"/>
  <c r="B121" i="7"/>
  <c r="E120" i="7"/>
  <c r="B120" i="7"/>
  <c r="E119" i="7"/>
  <c r="B119" i="7"/>
  <c r="E118" i="7"/>
  <c r="B118" i="7"/>
  <c r="E117" i="7"/>
  <c r="B117" i="7"/>
  <c r="E116" i="7"/>
  <c r="B116" i="7"/>
  <c r="E115" i="7"/>
  <c r="B115" i="7"/>
  <c r="E114" i="7"/>
  <c r="B114" i="7"/>
  <c r="E113" i="7"/>
  <c r="B113" i="7"/>
  <c r="E112" i="7"/>
  <c r="B112" i="7"/>
  <c r="E111" i="7"/>
  <c r="B111" i="7"/>
  <c r="E110" i="7"/>
  <c r="B110" i="7"/>
  <c r="E109" i="7"/>
  <c r="B109" i="7"/>
  <c r="E108" i="7"/>
  <c r="B108" i="7"/>
  <c r="E107" i="7"/>
  <c r="B107" i="7"/>
  <c r="E106" i="7"/>
  <c r="B106" i="7"/>
  <c r="E105" i="7"/>
  <c r="B105" i="7"/>
  <c r="E104" i="7"/>
  <c r="B104" i="7"/>
  <c r="E103" i="7"/>
  <c r="B103" i="7"/>
  <c r="E102" i="7"/>
  <c r="B102" i="7"/>
  <c r="E101" i="7"/>
  <c r="B101" i="7"/>
  <c r="E100" i="7"/>
  <c r="B100" i="7"/>
  <c r="E99" i="7"/>
  <c r="B99" i="7"/>
  <c r="E98" i="7"/>
  <c r="B98" i="7"/>
  <c r="E97" i="7"/>
  <c r="B97" i="7"/>
  <c r="E96" i="7"/>
  <c r="B96" i="7"/>
  <c r="E95" i="7"/>
  <c r="B95" i="7"/>
  <c r="E94" i="7"/>
  <c r="B94" i="7"/>
  <c r="E93" i="7"/>
  <c r="B93" i="7"/>
  <c r="E92" i="7"/>
  <c r="B92" i="7"/>
  <c r="E91" i="7"/>
  <c r="B91" i="7"/>
  <c r="E90" i="7"/>
  <c r="B90" i="7"/>
  <c r="E89" i="7"/>
  <c r="B89" i="7"/>
  <c r="E88" i="7"/>
  <c r="B88" i="7"/>
  <c r="E87" i="7"/>
  <c r="B87" i="7"/>
  <c r="E86" i="7"/>
  <c r="B86" i="7"/>
  <c r="E85" i="7"/>
  <c r="B85" i="7"/>
  <c r="E84" i="7"/>
  <c r="B84" i="7"/>
  <c r="E83" i="7"/>
  <c r="B83" i="7"/>
  <c r="E82" i="7"/>
  <c r="B82" i="7"/>
  <c r="E81" i="7"/>
  <c r="B81" i="7"/>
  <c r="E80" i="7"/>
  <c r="B80" i="7"/>
  <c r="E79" i="7"/>
  <c r="B79" i="7"/>
  <c r="E78" i="7"/>
  <c r="B78" i="7"/>
  <c r="E77" i="7"/>
  <c r="B77" i="7"/>
  <c r="E76" i="7"/>
  <c r="B76" i="7"/>
  <c r="E75" i="7"/>
  <c r="B75" i="7"/>
  <c r="E74" i="7"/>
  <c r="B74" i="7"/>
  <c r="E73" i="7"/>
  <c r="B73" i="7"/>
  <c r="E72" i="7"/>
  <c r="B72" i="7"/>
  <c r="E71" i="7"/>
  <c r="B71" i="7"/>
  <c r="E70" i="7"/>
  <c r="B70" i="7"/>
  <c r="E69" i="7"/>
  <c r="B69" i="7"/>
  <c r="E68" i="7"/>
  <c r="B68" i="7"/>
  <c r="E67" i="7"/>
  <c r="B67" i="7"/>
  <c r="E66" i="7"/>
  <c r="B66" i="7"/>
  <c r="E65" i="7"/>
  <c r="B65" i="7"/>
  <c r="E64" i="7"/>
  <c r="B64" i="7"/>
  <c r="E63" i="7"/>
  <c r="B63" i="7"/>
  <c r="E62" i="7"/>
  <c r="B62" i="7"/>
  <c r="E61" i="7"/>
  <c r="B61" i="7"/>
  <c r="E60" i="7"/>
  <c r="B60" i="7"/>
  <c r="E59" i="7"/>
  <c r="B59" i="7"/>
  <c r="E58" i="7"/>
  <c r="B58" i="7"/>
  <c r="E57" i="7"/>
  <c r="B57" i="7"/>
  <c r="E56" i="7"/>
  <c r="B56" i="7"/>
  <c r="E55" i="7"/>
  <c r="B55" i="7"/>
  <c r="E54" i="7"/>
  <c r="B54" i="7"/>
  <c r="E53" i="7"/>
  <c r="B53" i="7"/>
  <c r="E52" i="7"/>
  <c r="B52" i="7"/>
  <c r="E51" i="7"/>
  <c r="B51" i="7"/>
  <c r="E50" i="7"/>
  <c r="B50" i="7"/>
  <c r="E49" i="7"/>
  <c r="B49" i="7"/>
  <c r="E48" i="7"/>
  <c r="B48" i="7"/>
  <c r="E47" i="7"/>
  <c r="B47" i="7"/>
  <c r="E46" i="7"/>
  <c r="B46" i="7"/>
  <c r="E45" i="7"/>
  <c r="B45" i="7"/>
  <c r="E44" i="7"/>
  <c r="B44" i="7"/>
  <c r="E43" i="7"/>
  <c r="B43" i="7"/>
  <c r="E42" i="7"/>
  <c r="B42" i="7"/>
  <c r="E41" i="7"/>
  <c r="B41" i="7"/>
  <c r="E40" i="7"/>
  <c r="B40" i="7"/>
  <c r="E39" i="7"/>
  <c r="B39" i="7"/>
  <c r="B20" i="3" l="1"/>
  <c r="C11" i="1" l="1"/>
  <c r="C26" i="1" l="1"/>
  <c r="C29" i="1" l="1"/>
  <c r="C12" i="1"/>
  <c r="C30" i="1"/>
  <c r="B21" i="3" l="1"/>
  <c r="C32" i="1" l="1"/>
  <c r="C6" i="1"/>
  <c r="C7" i="1"/>
  <c r="C27" i="1"/>
  <c r="C4" i="1"/>
  <c r="C13" i="1"/>
  <c r="C31" i="1"/>
  <c r="C9" i="1"/>
  <c r="C28" i="1"/>
  <c r="C3" i="1"/>
  <c r="C2" i="1"/>
  <c r="C14" i="1"/>
  <c r="C10" i="1"/>
  <c r="F10" i="1" s="1"/>
  <c r="C5" i="1"/>
  <c r="C8" i="1"/>
  <c r="F8" i="1" s="1"/>
  <c r="C34" i="1"/>
  <c r="F34" i="1" s="1"/>
  <c r="C15" i="1"/>
  <c r="F15" i="1" s="1"/>
  <c r="C18" i="1"/>
  <c r="F18" i="1" s="1"/>
  <c r="C19" i="1"/>
  <c r="F19" i="1" s="1"/>
  <c r="C17" i="1"/>
  <c r="F17" i="1" s="1"/>
  <c r="C20" i="1"/>
  <c r="F20" i="1" s="1"/>
  <c r="C21" i="1"/>
  <c r="F21" i="1" s="1"/>
  <c r="C22" i="1"/>
  <c r="F22" i="1" s="1"/>
  <c r="C23" i="1"/>
  <c r="F23" i="1" s="1"/>
  <c r="C16" i="1"/>
  <c r="F16" i="1" s="1"/>
  <c r="C24" i="1"/>
  <c r="F24" i="1" s="1"/>
  <c r="C33"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alcChain>
</file>

<file path=xl/sharedStrings.xml><?xml version="1.0" encoding="utf-8"?>
<sst xmlns="http://schemas.openxmlformats.org/spreadsheetml/2006/main" count="300" uniqueCount="204">
  <si>
    <t>Column10</t>
  </si>
  <si>
    <t>Column11</t>
  </si>
  <si>
    <t>Column12</t>
  </si>
  <si>
    <t>Column13</t>
  </si>
  <si>
    <t>Column14</t>
  </si>
  <si>
    <t>Column15</t>
  </si>
  <si>
    <t>Column16</t>
  </si>
  <si>
    <t>Column17</t>
  </si>
  <si>
    <t>Column18</t>
  </si>
  <si>
    <t>Column19</t>
  </si>
  <si>
    <t>Column20</t>
  </si>
  <si>
    <t>PSA Task Name</t>
  </si>
  <si>
    <t>Date</t>
  </si>
  <si>
    <t>Contact</t>
  </si>
  <si>
    <t>Email</t>
  </si>
  <si>
    <t>Column21</t>
  </si>
  <si>
    <t>Column22</t>
  </si>
  <si>
    <t>Column23</t>
  </si>
  <si>
    <t>SOPI: Pick and pack
SOIP: Standard
SOI: Pick and Pack No Pack
SOTPI: Pallet Pick and Pack
SOITP: Pallet Standard</t>
  </si>
  <si>
    <t>directions</t>
  </si>
  <si>
    <t>Specs</t>
  </si>
  <si>
    <t>EDI ID</t>
  </si>
  <si>
    <t>Van/AS2/FTP</t>
  </si>
  <si>
    <t>Column1</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</si>
  <si>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</si>
  <si>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</si>
  <si>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</si>
  <si>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</si>
  <si>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</si>
  <si>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</si>
  <si>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</si>
  <si>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Cosma - Bowling Green Metalforming : New Trading Partner Setup</t>
  </si>
  <si>
    <t>jana.iddings@magna.com</t>
  </si>
  <si>
    <t>No Contacts</t>
  </si>
  <si>
    <t>Testing : Pure Country West : New Trading Partner Setup</t>
  </si>
  <si>
    <t>rebeccab@purecountry.com</t>
  </si>
  <si>
    <t>Testing : Raynor Gaming : New Trading Partner Setup</t>
  </si>
  <si>
    <t>dgrossman@raynorgroup.com</t>
  </si>
  <si>
    <t>Testing : C2wireless SPS Vendor : New Trading Partner Setup</t>
  </si>
  <si>
    <t>Cstokes@c2wdistribution.com</t>
  </si>
  <si>
    <t>Testing : Herregan Distributors Inc. : New Trading Partner Setup</t>
  </si>
  <si>
    <t>Testing : Wormser Corporation-Jaguar Freight XML : New Trading Partner Setup</t>
  </si>
  <si>
    <t>Testing : Tower Automotive - Bellevue : New Trading Partner Setup</t>
  </si>
  <si>
    <t>Testing : Rhenus Contract Logistics - VSC : New Trading Partner Setup</t>
  </si>
  <si>
    <t>Testing : Guitar Center - XML Trading Partner : New Trading Partner Setup</t>
  </si>
  <si>
    <t>Testing : Georges Music XML : New Trading Partner Setup</t>
  </si>
  <si>
    <t>Testing : Valley Bakers : New Trading Partner Setup</t>
  </si>
  <si>
    <t>Testing : Del Mar Fans : New Trading Partner Setup</t>
  </si>
  <si>
    <t>Testing : Stego Germany : New Trading Partner Setup</t>
  </si>
  <si>
    <t>dgartman@gartman.com</t>
  </si>
  <si>
    <t>annmarie@wormsergroup.com</t>
  </si>
  <si>
    <t>Armin@jaguarfreight.com</t>
  </si>
  <si>
    <t>kseibel@autokiniton.com</t>
  </si>
  <si>
    <t>gc@gc.com</t>
  </si>
  <si>
    <t>Mike.Smith@valleybakers.com</t>
  </si>
  <si>
    <t>AshleyD@delmarfans.com</t>
  </si>
  <si>
    <t>ddeschner@Stego.de</t>
  </si>
  <si>
    <t>Testing : Home Depot Pro : New Trading Partner Setup</t>
  </si>
  <si>
    <t>Testing : Malouf : New Trading Partner Setup</t>
  </si>
  <si>
    <t>Testing : Coborn's Central Support Pharmacy : New Trading Partner Setup</t>
  </si>
  <si>
    <t>Testing : Windsor Modules : New Trading Partner Setup</t>
  </si>
  <si>
    <t>Testing : Magna Closures : New Trading Partner Setup</t>
  </si>
  <si>
    <t>Testing : Magna Seating Vendor : New Trading Partner Setup</t>
  </si>
  <si>
    <t>Testing : Lear Montgomery AL : New Trading Partner Setup</t>
  </si>
  <si>
    <t>Testing : Robertson : New Trading Partner Setup</t>
  </si>
  <si>
    <t>Testing : Thoroughbred Diesel : New Trading Partner Setup</t>
  </si>
  <si>
    <t>Testing : CJ Pony Parts - File Partner : New Trading Partner Setup</t>
  </si>
  <si>
    <t>Testing : Quadratec Vendor : New Trading Partner Setup</t>
  </si>
  <si>
    <t>Testing : Cameron Ashley Building Products, Inc. : New Trading Partner Setup</t>
  </si>
  <si>
    <t>Testing : Full Compass : New Trading Partner Setup</t>
  </si>
  <si>
    <t>Testing : Uppa Baby : New Trading Partner Setup</t>
  </si>
  <si>
    <t>Testing : Peg Perego : New Trading Partner Setup</t>
  </si>
  <si>
    <t>Multiple Records</t>
  </si>
  <si>
    <t>Stephan.Henze@ajiwin.com</t>
  </si>
  <si>
    <t>Everardo.Rodriguez@magna.com</t>
  </si>
  <si>
    <t>cody@viduus.org</t>
  </si>
  <si>
    <t>andy@cjponyparts.com</t>
  </si>
  <si>
    <t>andrew.basenfelder@quadratec.com</t>
  </si>
  <si>
    <t>compliance@dicentral.com</t>
  </si>
  <si>
    <t>brian@uppababy.com</t>
  </si>
  <si>
    <t>mike.palmer@pegperego.com</t>
  </si>
  <si>
    <t>`10.29.21 Reach out to Armin for samples
10.20.21 Waiting for XML sampls and solve of FTP login
10.9.21 Reach out to trading partner: 1</t>
  </si>
  <si>
    <t>11.4.21 Still need directions for these two transactions
10.25.21 Reach out to trading partner again for update
10.14.21 Waiting for the updates
10.8.21 Reach out to trading partner:2
9.27.21 Reaching out to trading partner</t>
  </si>
  <si>
    <t>11.4.21 Waiting for new contact from Brandon
10.25.21 Reach out to Cosma for details again:3
10.17.21 Reach out to Cosma for details again:2
10.8.21 Reach out to Cosma for details again
9.29.21 Wait for reply from Cosma
9.26.21 Reach out to Brandon and confirm again 
9.22.21 Reach out to new contact:2
9.10.21 Reach out to new contact
9.3.21 Reach out to Brandon Jones for a new Contact
8.27.21 Reach out to trading partner</t>
  </si>
  <si>
    <t>11.4.21 Waiting for the updates for connection methods 
10.25.21 Waiting for reply for TP
10.18.21 Reach out to trading partner: 2
10.9.21 Reach out to trading partner: 1</t>
  </si>
  <si>
    <t>11.4.21 Reach out to new contact:1
10.25.21 Reach out to Jodi for a new contact</t>
  </si>
  <si>
    <t>11.4.21 Reach out to trading partner: 3
10.25.21 Waiting for updates from Trading partner
10.16.21 Reach out to trading partner: 1</t>
  </si>
  <si>
    <t>11.4.21 Reach out to Hirono for the details from customer
10.25.21 Reach out to trading partner:2
10.16.21 Reach out to trading partner: 1</t>
  </si>
  <si>
    <t>11.4.21 Reach out to Lori for a new contact
10.26.21 Reach out to new contact:3
10.19.21 Reach out to new Contact:2
10.8.21 Reach out to new Contact
9.28.21 Reach out to IM Lori Stevens for a new contact:3
9.22.21 Reach out to IM Lori Stevens for a new contact:2
9.15.21 Reach out to IM Lori Stevens for a new contact
9.6.21 Reached out to trading partner:3
8.27.21 Reached out to trading partner:2
8.20.21 Reached out to trading partner</t>
  </si>
  <si>
    <t>11.4.21 Reach out to new contact
10.27.21 No Contacts</t>
  </si>
  <si>
    <t>11.4.21 Reach out to trading partner</t>
  </si>
  <si>
    <t>11.4.21 Reach out to Charlie for a new contact
10.27.21 No Contacts</t>
  </si>
  <si>
    <t>Testing : Cymbio : New Trading Partner Setup</t>
  </si>
  <si>
    <t>11.5.21 Reach out to Lori for a new contact
10.27.21 No Contacts</t>
  </si>
  <si>
    <t>11.5.21 Reach out to trading partner</t>
  </si>
  <si>
    <t>11.5.21 Reach out to  Lee for a new contact
10.27.21 No Contacts</t>
  </si>
  <si>
    <t>11.5.21 Reach out to Miguel for updates
10.29.21 Reach out to Bill again
10.22.21 Reach out to Bill agian
10.15.21 Reach out to Bill agian
10.8.21 Reach out to Bill again
9.28.21 Waiting for reply from Bill
9.22.21 Reach out to trading partenr:2
9.13.21 Reach out to trading partner</t>
  </si>
  <si>
    <t>11.5.21 Reach out to Aaron for help
10.28.21 Reach out to customer:1
10.20.21 waiting for contact from jodi
10.11.21 Reach out to trading partner: 1</t>
  </si>
  <si>
    <t>11.8.21 Assign a mapping case: 13987661
10.28.21 Reach out to Stego for the EDIfact samples
10.21.21 Waiting for trading partner's reply
10.11.21 Reach out to trading partner: 1</t>
  </si>
  <si>
    <t>11.8.21 Assign a mapping case:  13987765
10.29.21 Waiting for the reply
10.20.21 Reach out to trading partner: 2
10.11.21 Reach out to trading partner: 1</t>
  </si>
  <si>
    <t>11.8.21 Reach out to Aaron for help
10.29.21 Reach out to new contact
10.21.21 Wait for new contact from Jodi
10.11.21 Reach out to trading partner: 1</t>
  </si>
  <si>
    <t>11.8.21 Waiting for contacts from Brad
10.30.21 Wait for updates from Brad
10.21.21 Reach out to Brad for a contact and updates
10.11.21 Reach out to trading partner: 1</t>
  </si>
  <si>
    <t>11.3.21 Reach out to new contact:2
10.22.21 Reach out to the new contact
10.15.21 Ask Brad for a new contact
10.8.21 Reach out to TP:3
9.26.21 Reach out to TP:2
9.17.21 Reach out to trading partner</t>
  </si>
  <si>
    <t>Partner Name</t>
  </si>
  <si>
    <t>Contact1</t>
  </si>
  <si>
    <t>Contact2</t>
  </si>
  <si>
    <t>ID</t>
  </si>
  <si>
    <t>Implementation Specialist</t>
  </si>
  <si>
    <t>Testing : Ste Michelle Wine Estates : New Trading Partner Setup</t>
  </si>
  <si>
    <t>Testing : Grassmid Transport Inc. : New Trading Partner Setup</t>
  </si>
  <si>
    <t>In progress task number:</t>
  </si>
  <si>
    <t>Mishimoto</t>
  </si>
  <si>
    <t>Empire Distributors of NC</t>
  </si>
  <si>
    <t>Gator Cases, Inc</t>
  </si>
  <si>
    <t>Frank Brunckhorst Co, LLC</t>
  </si>
  <si>
    <t>Precision Flooring Products</t>
  </si>
  <si>
    <t>Southwest Indian Foundation</t>
  </si>
  <si>
    <t>Testing : Schoolisin : New Trading Partner Setup</t>
  </si>
  <si>
    <t>Testing : Quadratec - Mishimoto - P2P : New Trading Partner Setup</t>
  </si>
  <si>
    <t>Testing : Focus First Global Logistics : New Trading Partner Setup</t>
  </si>
  <si>
    <t>Testing : Dynamite Services : New Trading Partner Setup</t>
  </si>
  <si>
    <t>anjou@focusfirstglobal.com</t>
  </si>
  <si>
    <t>joshyingbusiness@gmail.com</t>
  </si>
  <si>
    <t>Bevin@dynamiteservices.com</t>
  </si>
  <si>
    <t>Testing : Akron Generics : New Trading Partner Setup</t>
  </si>
  <si>
    <t>Testing : Crutchfield : New Trading Partner Setup</t>
  </si>
  <si>
    <t>Testing : Dignity Health : New Trading Partner Setup</t>
  </si>
  <si>
    <t>Testing : Golden State Medical Supply : New Trading Partner Setup</t>
  </si>
  <si>
    <t>Testing : HTL-Strefa -P2P- Avmedical : New Trading Partner Setup</t>
  </si>
  <si>
    <t>Testing : Imperial Data Vendor : New Trading Partner Setup</t>
  </si>
  <si>
    <t>Testing : Le Mars Public Storage : New Trading Partner Setup</t>
  </si>
  <si>
    <t>Testing : Philips Products : New Trading Partner Setup</t>
  </si>
  <si>
    <t>Micro Labs USA, Inc.</t>
  </si>
  <si>
    <t>Boss Audio Systems</t>
  </si>
  <si>
    <t>Nephron Pharmaceuticals</t>
  </si>
  <si>
    <t>JH Specialties Inc.</t>
  </si>
  <si>
    <t>Princess Polly</t>
  </si>
  <si>
    <t>Amici Pharmaceuticals</t>
  </si>
  <si>
    <t>HTL-Strefa, Inc.</t>
  </si>
  <si>
    <t>Genuine Supply</t>
  </si>
  <si>
    <t>The Foreign Candy Co Inc</t>
  </si>
  <si>
    <t>Carewell</t>
  </si>
  <si>
    <t>Vcom IMC</t>
  </si>
  <si>
    <t>Interior Define</t>
  </si>
  <si>
    <t>170901564</t>
  </si>
  <si>
    <t>165975297</t>
  </si>
  <si>
    <t>171057145</t>
  </si>
  <si>
    <t>172250745</t>
  </si>
  <si>
    <t>169234325</t>
  </si>
  <si>
    <t>170053143</t>
  </si>
  <si>
    <t>164761814</t>
  </si>
  <si>
    <t>172071864</t>
  </si>
  <si>
    <t>166674194</t>
  </si>
  <si>
    <t>153022624</t>
  </si>
  <si>
    <t>170837436</t>
  </si>
  <si>
    <t>171688347</t>
  </si>
  <si>
    <t>170887330</t>
  </si>
  <si>
    <t>171819498</t>
  </si>
  <si>
    <t>161048210</t>
  </si>
  <si>
    <t>163403180</t>
  </si>
  <si>
    <t>170464367</t>
  </si>
  <si>
    <t>169791463</t>
  </si>
  <si>
    <t>165270972</t>
  </si>
  <si>
    <t>165975109</t>
  </si>
  <si>
    <t>170028751</t>
  </si>
  <si>
    <t>12.20.21 Reach out to new contact:3
12.13.21 Reach out to new contact:2
12.6.21 Reach out  to new contact
11.18.21 Reach out to trading partner:3
11.11.21 Reach out to trading partner:2
11.4.21 Reach out to trading partner</t>
  </si>
  <si>
    <t>12.20.21 submitted a mapping case: 14082304
12.13.21 Reaching out to Larry for contact from Crutchfield 
12.8.21 Reaching out to Larry for contact from Crutchfield</t>
  </si>
  <si>
    <t>12.20.21 Reach out to trading partner:3
12.14.21 Reach out to trading partner:2
12.7.21 Reach out to trading partner:1</t>
  </si>
  <si>
    <t>12.20.21 Reach out TP for updates
12.14.21 Reach out to TP for updates
12.7.21 Reach out to TP</t>
  </si>
  <si>
    <t>12.20.21 Reaching out to Neal again
12.6.21 waiting for the connection method
11.22.21 Reach out to new contact:2
11.16.21 Reach out to customer for contact
11.5.21 Reach out to Aaron for help
10.28.21 Reach out to customer:1
10.20.21 waiting for contact from jodi
10.11.21 Reach out to trading partner: 1</t>
  </si>
  <si>
    <t>12.20.21 Waiting for the updates from TP
12.13.21 Reach out to trading partner:3
12.6.21 Reach out to trading partner:2
11.19.21 Reach out to trading partner:1</t>
  </si>
  <si>
    <t>12.20.21 Reach out to David for updates:2
12.15.21 Reach out to David for updates
12.6.21 Reach out to trading partner again and also Brad for help
11.18.21 Waiting for the sample data for mapping
11.11.21 Waiting for the sample data for mapping
11.4.21 Waiting for the updates for connection methods 
10.25.21 Waiting for reply for TP
10.18.21 Reach out to trading partner: 2
10.9.21 Reach out to trading partner: 1</t>
  </si>
  <si>
    <t>12.20.21 submitted a mapping case: 14082414
12.15.21 waiting for transaction types from Jennifer</t>
  </si>
  <si>
    <t>12.20.21 Reach out to tracy and customer for updates
12.7.21 Waiting for IM</t>
  </si>
  <si>
    <t>12.20.21 Waiting for updates from customer
12.7.21 Reach out to IM for transaction types</t>
  </si>
  <si>
    <t>12.20.21 Need more information
12.6.21 Need Cory to inform the situation
11.26.21 Reach out  to trading partner:2
11.19.21 Reach out to trading partner:1</t>
  </si>
  <si>
    <t>12.20.21 Reach out to new contact:3
12.13.21 Reach our to new contact:2
12.6.21 Reach out  to new contact
11.18.21 Reach out to trading partner:3
11.11.21 Reach out to trading partner:2
11.4.21 Reach out to trading partner</t>
  </si>
  <si>
    <t>12.21.21 Waiting for updates from support team of Akron
12.13.21 Reach out to trading partner: 2
12.8.21 Reach out to trading partner: 1</t>
  </si>
  <si>
    <t>Testing : Thrifty White Stores Inc : New Trading Partner Setup</t>
  </si>
  <si>
    <t>Testing : King Drug : New Trading Partner Setup</t>
  </si>
  <si>
    <t>Testing : AFS Technologies : New Trading Partner Setup</t>
  </si>
  <si>
    <t>Testing : Bassett Mirror Vendor : New Trading Partner Setup</t>
  </si>
  <si>
    <t>Testing : Bestrx : New Trading Partner Setup</t>
  </si>
  <si>
    <t>Testing : Costco France - EDIFACT : New Trading Partner Setup</t>
  </si>
  <si>
    <t>Testing : Costco Spain - EDIFACT : New Trading Partner Setup</t>
  </si>
  <si>
    <t>Testing : Yavari LLC : New Trading Partner Setup</t>
  </si>
  <si>
    <t>Testing : Gorgio Gori Transportation : New Trading Partner Setup</t>
  </si>
  <si>
    <t>Testing : AMC : New Trading Partner Setup</t>
  </si>
  <si>
    <t>Testing : Evereve : New Trading Partner Setup</t>
  </si>
  <si>
    <t>12.21.21 Reach out to trading partner</t>
  </si>
  <si>
    <t>12.21.21 No Contacts</t>
  </si>
  <si>
    <t>12.21.21 Multiple Records</t>
  </si>
  <si>
    <t>Testing : Lewis Drug : New Trading Partner Setup</t>
  </si>
  <si>
    <t>Pending task number:</t>
  </si>
  <si>
    <t>Name:</t>
  </si>
  <si>
    <t>Paul</t>
  </si>
  <si>
    <t>12.23.21 Reach out to the right person
12.15.21 Reach out to the right person from Migual
12.6.21 Reach out to the right person from Migual
11.23.21 Schedule a meeting with trading partner
11.16.21 Reach out to EDI support from Pure Country West
11.5.21 Reach out to Miguel for updates
10.29.21 Reach out to Bill again
10.22.21 Reach out to Bill agian
10.15.21 Reach out to Bill agian
10.8.21 Reach out to Bill again
9.28.21 Waiting for reply from Bill
9.22.21 Reach out to trading partenr:2
9.13.21 Reach out to trading partner</t>
  </si>
  <si>
    <t>12.23.21 Reach out to SPS to add a test portal
12.15.21 Reach out to IM Ryan Radlosky for  a TP contact
12.7.21 Reach out to IM Ryan Radlosky for  a TP contact</t>
  </si>
  <si>
    <t>12.27.21 Reach out to TP:2
12.17.21 Reach out to trading partner:1</t>
  </si>
  <si>
    <t>12.27.21 Reach out to TP:2
12.17.21 Reach out to TP: 1</t>
  </si>
  <si>
    <t>12.27.21 Reach out to TP:2
12.21.21 Reach out to trading partner</t>
  </si>
  <si>
    <t>12.27.21 Reach out to TP:1</t>
  </si>
  <si>
    <t>12.27.21 Need a new EDI ID
12.17.21 Reach out to TP:1</t>
  </si>
  <si>
    <t>12.27.21 Reach out to TP:2
12.17.21 Reach out to TP:1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</si>
</sst>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quot;Yes&quot;;&quot;Yes&quot;;&quot;No&quot;"/>
  </numFmts>
  <fonts count="11"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1"/>
      <color rgb="FF7030A0"/>
      <name val="Calibri"/>
      <family val="2"/>
      <scheme val="minor"/>
    </font>
    <font>
      <sz val="11"/>
      <name val="Calibri"/>
      <family val="2"/>
      <scheme val="minor"/>
    </font>
    <font>
      <sz val="8"/>
      <name val="Calibri"/>
      <family val="2"/>
      <scheme val="minor"/>
    </font>
    <font>
      <sz val="9"/>
      <color rgb="FF333333"/>
      <name val="Open Sans"/>
      <family val="2"/>
    </font>
  </fonts>
  <fills count="10">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
      <patternFill patternType="solid">
        <fgColor rgb="FFEFF1F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49">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7" fillId="4" borderId="0" xfId="4" applyFont="1"/>
    <xf numFmtId="0" fontId="8"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165" fontId="0" fillId="0" borderId="0" xfId="0" applyNumberFormat="1" applyAlignment="1">
      <alignment vertical="top"/>
    </xf>
    <xf numFmtId="165" fontId="0" fillId="0" borderId="0" xfId="0" applyNumberFormat="1" applyBorder="1" applyAlignment="1">
      <alignment vertical="top"/>
    </xf>
    <xf numFmtId="0" fontId="6" fillId="5" borderId="0" xfId="5" applyAlignment="1">
      <alignment vertical="top" wrapText="1"/>
    </xf>
    <xf numFmtId="0" fontId="0" fillId="8" borderId="0" xfId="0" applyFill="1"/>
    <xf numFmtId="0" fontId="0" fillId="0" borderId="0" xfId="0" applyBorder="1" applyAlignment="1">
      <alignment vertical="top" wrapText="1"/>
    </xf>
    <xf numFmtId="0" fontId="0" fillId="0" borderId="0" xfId="0" applyNumberFormat="1"/>
    <xf numFmtId="0" fontId="2" fillId="0" borderId="0" xfId="0" applyFont="1" applyBorder="1" applyAlignment="1">
      <alignment vertical="top"/>
    </xf>
    <xf numFmtId="0" fontId="2" fillId="0" borderId="2" xfId="0" applyFont="1" applyBorder="1" applyAlignment="1">
      <alignment vertical="top"/>
    </xf>
    <xf numFmtId="0" fontId="4" fillId="0" borderId="0" xfId="3" applyAlignment="1">
      <alignment vertical="top"/>
    </xf>
    <xf numFmtId="0" fontId="2" fillId="0" borderId="0" xfId="0" applyFont="1"/>
    <xf numFmtId="0" fontId="2" fillId="0" borderId="2" xfId="0" applyFont="1" applyBorder="1"/>
    <xf numFmtId="0" fontId="2" fillId="9" borderId="0" xfId="0" applyFont="1" applyFill="1" applyBorder="1" applyAlignment="1">
      <alignment horizontal="left" vertical="center" wrapText="1" indent="1"/>
    </xf>
    <xf numFmtId="0" fontId="2" fillId="6" borderId="0" xfId="0" applyFont="1" applyFill="1" applyBorder="1" applyAlignment="1">
      <alignment horizontal="left" vertical="center" wrapText="1" indent="1"/>
    </xf>
    <xf numFmtId="0" fontId="2" fillId="0" borderId="0" xfId="0" applyFont="1" applyBorder="1"/>
    <xf numFmtId="0" fontId="2" fillId="6" borderId="0" xfId="0" applyFont="1" applyFill="1" applyBorder="1" applyAlignment="1">
      <alignment horizontal="left" vertical="top"/>
    </xf>
    <xf numFmtId="0" fontId="0" fillId="0" borderId="0" xfId="0" applyAlignment="1">
      <alignment wrapText="1"/>
    </xf>
    <xf numFmtId="14" fontId="0" fillId="0" borderId="0" xfId="0" applyNumberFormat="1" applyAlignment="1">
      <alignment vertical="top" wrapText="1"/>
    </xf>
    <xf numFmtId="14" fontId="0" fillId="0" borderId="0" xfId="0" applyNumberFormat="1"/>
    <xf numFmtId="0" fontId="0" fillId="0" borderId="0" xfId="0" applyAlignment="1">
      <alignment horizontal="left" vertical="top"/>
    </xf>
    <xf numFmtId="14" fontId="0" fillId="0" borderId="0" xfId="0" applyNumberFormat="1" applyAlignment="1">
      <alignment horizontal="left" vertical="top"/>
    </xf>
    <xf numFmtId="0" fontId="2" fillId="0" borderId="0" xfId="0" applyFont="1" applyAlignment="1">
      <alignment vertical="top"/>
    </xf>
    <xf numFmtId="0" fontId="10" fillId="0" borderId="0" xfId="0" applyFont="1"/>
    <xf numFmtId="0" fontId="10" fillId="9" borderId="0" xfId="0" applyFont="1" applyFill="1" applyBorder="1" applyAlignment="1">
      <alignment horizontal="left" vertical="center" wrapText="1" indent="1"/>
    </xf>
    <xf numFmtId="0" fontId="10" fillId="0" borderId="0" xfId="0" applyFont="1" applyBorder="1"/>
    <xf numFmtId="0" fontId="0" fillId="0" borderId="0" xfId="0" applyAlignment="1">
      <alignment horizontal="right"/>
    </xf>
    <xf numFmtId="0" fontId="0" fillId="0" borderId="0" xfId="0" applyAlignment="1">
      <alignment horizontal="center" wrapText="1"/>
    </xf>
    <xf numFmtId="0" fontId="0" fillId="0" borderId="0" xfId="0" applyAlignment="1">
      <alignment horizontal="center"/>
    </xf>
    <xf numFmtId="0" fontId="0" fillId="0" borderId="0" xfId="0" applyAlignment="1">
      <alignment horizontal="left" vertical="top" wrapText="1"/>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101">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19" formatCode="m/d/yyyy"/>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general" textRotation="0" wrapText="1" indent="0" justifyLastLine="0" shrinkToFit="0" readingOrder="0"/>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AA166" totalsRowShown="0" headerRowDxfId="95" dataDxfId="94" headerRowCellStyle="Check Cell" dataCellStyle="Normal">
  <autoFilter ref="A1:AA166" xr:uid="{00000000-0009-0000-0100-000002000000}"/>
  <sortState xmlns:xlrd2="http://schemas.microsoft.com/office/spreadsheetml/2017/richdata2" ref="A2:AA166">
    <sortCondition ref="E1:E166"/>
  </sortState>
  <tableColumns count="27">
    <tableColumn id="1" xr3:uid="{00000000-0010-0000-0000-000001000000}" name="PSA Task Name" dataDxfId="93" dataCellStyle="Normal"/>
    <tableColumn id="30" xr3:uid="{00000000-0010-0000-0000-00001E000000}" name="ID" dataDxfId="92" dataCellStyle="Normal">
      <calculatedColumnFormula>COUNTA('in progress'!A:A)-1</calculatedColumnFormula>
    </tableColumn>
    <tableColumn id="2" xr3:uid="{00000000-0010-0000-0000-000002000000}" name="Partner Name" dataDxfId="91" dataCellStyle="Normal">
      <calculatedColumnFormula xml:space="preserve"> MID(A2,SEARCH(":",A2)+2,SEARCH(":",A2,SEARCH(":",A2)+1)-SEARCH(":",A2)-3)</calculatedColumnFormula>
    </tableColumn>
    <tableColumn id="3" xr3:uid="{00000000-0010-0000-0000-000003000000}" name="Customer  Name" dataDxfId="90" dataCellStyle="Normal">
      <calculatedColumnFormula>"partner:"&amp;MID(A2,SEARCH(":",A2)+1,SEARCH(":",A2,SEARCH(":",A2)+1)-SEARCH(":",A2)-1)</calculatedColumnFormula>
    </tableColumn>
    <tableColumn id="29" xr3:uid="{00000000-0010-0000-0000-00001D000000}" name="Notes" dataDxfId="89" dataCellStyle="Normal"/>
    <tableColumn id="6" xr3:uid="{00000000-0010-0000-0000-000006000000}" name="Date" dataDxfId="88" dataCellStyle="Normal">
      <calculatedColumnFormula>DATEVALUE(SUBSTITUTE(LEFT(#REF!,SEARCH(" ",#REF!)-1),".","/"))</calculatedColumnFormula>
    </tableColumn>
    <tableColumn id="7" xr3:uid="{00000000-0010-0000-0000-000007000000}" name="Contact1" dataDxfId="87" dataCellStyle="Normal"/>
    <tableColumn id="8" xr3:uid="{00000000-0010-0000-0000-000008000000}" name="Contact2" dataDxfId="86" dataCellStyle="Normal"/>
    <tableColumn id="9" xr3:uid="{00000000-0010-0000-0000-000009000000}" name="Implementation Specialist" dataDxfId="85" dataCellStyle="Normal"/>
    <tableColumn id="10" xr3:uid="{00000000-0010-0000-0000-00000A000000}" name="directions" dataDxfId="84" dataCellStyle="Normal"/>
    <tableColumn id="11" xr3:uid="{00000000-0010-0000-0000-00000B000000}" name="Specs" dataDxfId="83" dataCellStyle="Normal"/>
    <tableColumn id="12" xr3:uid="{00000000-0010-0000-0000-00000C000000}" name="EDI ID" dataDxfId="82" dataCellStyle="Normal"/>
    <tableColumn id="13" xr3:uid="{00000000-0010-0000-0000-00000D000000}" name="Van/AS2/FTP" dataDxfId="81" dataCellStyle="Normal"/>
    <tableColumn id="14" xr3:uid="{00000000-0010-0000-0000-00000E000000}" name="Column10" dataDxfId="80" dataCellStyle="Normal"/>
    <tableColumn id="15" xr3:uid="{00000000-0010-0000-0000-00000F000000}" name="Column11" dataDxfId="79" dataCellStyle="Normal"/>
    <tableColumn id="16" xr3:uid="{00000000-0010-0000-0000-000010000000}" name="Column12" dataDxfId="78" dataCellStyle="Normal"/>
    <tableColumn id="17" xr3:uid="{00000000-0010-0000-0000-000011000000}" name="Column13" dataDxfId="77" dataCellStyle="Normal"/>
    <tableColumn id="18" xr3:uid="{00000000-0010-0000-0000-000012000000}" name="Column14" dataDxfId="76" dataCellStyle="Normal"/>
    <tableColumn id="19" xr3:uid="{00000000-0010-0000-0000-000013000000}" name="Column15" dataDxfId="75" dataCellStyle="Normal"/>
    <tableColumn id="20" xr3:uid="{00000000-0010-0000-0000-000014000000}" name="Column16" dataDxfId="74" dataCellStyle="Normal"/>
    <tableColumn id="21" xr3:uid="{00000000-0010-0000-0000-000015000000}" name="Column17" dataDxfId="73" dataCellStyle="Normal"/>
    <tableColumn id="22" xr3:uid="{00000000-0010-0000-0000-000016000000}" name="Column18" dataDxfId="72" dataCellStyle="Normal"/>
    <tableColumn id="23" xr3:uid="{00000000-0010-0000-0000-000017000000}" name="Column19" dataDxfId="71" dataCellStyle="Normal"/>
    <tableColumn id="24" xr3:uid="{00000000-0010-0000-0000-000018000000}" name="Column20" dataDxfId="70" dataCellStyle="Normal"/>
    <tableColumn id="25" xr3:uid="{00000000-0010-0000-0000-000019000000}" name="Column21" dataDxfId="69" dataCellStyle="Normal"/>
    <tableColumn id="26" xr3:uid="{00000000-0010-0000-0000-00001A000000}" name="Column22" dataDxfId="68" dataCellStyle="Normal"/>
    <tableColumn id="27" xr3:uid="{00000000-0010-0000-0000-00001B000000}" name="Column23" dataDxfId="67" dataCellStyle="Normal"/>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22" displayName="Table22" ref="A1:Z136" totalsRowShown="0" headerRowDxfId="62" dataDxfId="61" headerRowCellStyle="Check Cell" dataCellStyle="Normal">
  <autoFilter ref="A1:Z136" xr:uid="{00000000-0009-0000-0100-000001000000}"/>
  <sortState xmlns:xlrd2="http://schemas.microsoft.com/office/spreadsheetml/2017/richdata2" ref="A2:Z136">
    <sortCondition ref="E1:E136"/>
  </sortState>
  <tableColumns count="26">
    <tableColumn id="1" xr3:uid="{00000000-0010-0000-0100-000001000000}" name="PSA Task Name" dataDxfId="60" dataCellStyle="Normal"/>
    <tableColumn id="2" xr3:uid="{00000000-0010-0000-0100-000002000000}" name="Customer  Name" dataDxfId="59" dataCellStyle="Normal">
      <calculatedColumnFormula xml:space="preserve"> MID(A2,SEARCH(":",A2)+2,SEARCH(":",A2,SEARCH(":",A2)+1)-SEARCH(":",A2)-3)</calculatedColumnFormula>
    </tableColumn>
    <tableColumn id="3" xr3:uid="{00000000-0010-0000-0100-000003000000}" name="Partner Name" dataDxfId="58" dataCellStyle="Normal">
      <calculatedColumnFormula>"partner:"&amp;MID(A2,SEARCH(":",A2)+1,SEARCH(":",A2,SEARCH(":",A2)+1)-SEARCH(":",A2)-1)</calculatedColumnFormula>
    </tableColumn>
    <tableColumn id="29" xr3:uid="{00000000-0010-0000-0100-00001D000000}" name="Notes" dataDxfId="57"/>
    <tableColumn id="6" xr3:uid="{00000000-0010-0000-0100-000006000000}" name="Date" dataDxfId="56" dataCellStyle="Normal"/>
    <tableColumn id="7" xr3:uid="{00000000-0010-0000-0100-000007000000}" name="Contact" dataDxfId="55" dataCellStyle="Normal"/>
    <tableColumn id="8" xr3:uid="{00000000-0010-0000-0100-000008000000}" name="Email" dataDxfId="54" dataCellStyle="Normal"/>
    <tableColumn id="9" xr3:uid="{00000000-0010-0000-0100-000009000000}" name="Column1" dataDxfId="53" dataCellStyle="Normal"/>
    <tableColumn id="10" xr3:uid="{00000000-0010-0000-0100-00000A000000}" name="directions" dataDxfId="52" dataCellStyle="Normal"/>
    <tableColumn id="11" xr3:uid="{00000000-0010-0000-0100-00000B000000}" name="Specs" dataDxfId="51" dataCellStyle="Normal"/>
    <tableColumn id="12" xr3:uid="{00000000-0010-0000-0100-00000C000000}" name="EDI ID" dataDxfId="50" dataCellStyle="Normal"/>
    <tableColumn id="13" xr3:uid="{00000000-0010-0000-0100-00000D000000}" name="Van/AS2/FTP" dataDxfId="49" dataCellStyle="Normal"/>
    <tableColumn id="14" xr3:uid="{00000000-0010-0000-0100-00000E000000}" name="Column10" dataDxfId="48" dataCellStyle="Normal"/>
    <tableColumn id="15" xr3:uid="{00000000-0010-0000-0100-00000F000000}" name="Column11" dataDxfId="47" dataCellStyle="Normal"/>
    <tableColumn id="16" xr3:uid="{00000000-0010-0000-0100-000010000000}" name="Column12" dataDxfId="46" dataCellStyle="Normal"/>
    <tableColumn id="17" xr3:uid="{00000000-0010-0000-0100-000011000000}" name="Column13" dataDxfId="45" dataCellStyle="Normal"/>
    <tableColumn id="18" xr3:uid="{00000000-0010-0000-0100-000012000000}" name="Column14" dataDxfId="44" dataCellStyle="Normal"/>
    <tableColumn id="19" xr3:uid="{00000000-0010-0000-0100-000013000000}" name="Column15" dataDxfId="43" dataCellStyle="Normal"/>
    <tableColumn id="20" xr3:uid="{00000000-0010-0000-0100-000014000000}" name="Column16" dataDxfId="42" dataCellStyle="Normal"/>
    <tableColumn id="21" xr3:uid="{00000000-0010-0000-0100-000015000000}" name="Column17" dataDxfId="41" dataCellStyle="Normal"/>
    <tableColumn id="22" xr3:uid="{00000000-0010-0000-0100-000016000000}" name="Column18" dataDxfId="40" dataCellStyle="Normal"/>
    <tableColumn id="23" xr3:uid="{00000000-0010-0000-0100-000017000000}" name="Column19" dataDxfId="39" dataCellStyle="Normal"/>
    <tableColumn id="24" xr3:uid="{00000000-0010-0000-0100-000018000000}" name="Column20" dataDxfId="38" dataCellStyle="Normal"/>
    <tableColumn id="25" xr3:uid="{00000000-0010-0000-0100-000019000000}" name="Column21" dataDxfId="37" dataCellStyle="Normal"/>
    <tableColumn id="26" xr3:uid="{00000000-0010-0000-0100-00001A000000}" name="Column22" dataDxfId="36" dataCellStyle="Normal"/>
    <tableColumn id="27" xr3:uid="{00000000-0010-0000-0100-00001B000000}" name="Column23" dataDxfId="35" dataCellStyle="Normal"/>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25" displayName="Table25" ref="A1:Z136" totalsRowShown="0" headerRowDxfId="27" dataDxfId="26" headerRowCellStyle="Check Cell" dataCellStyle="Normal">
  <autoFilter ref="A1:Z136" xr:uid="{00000000-0009-0000-0100-000004000000}"/>
  <sortState xmlns:xlrd2="http://schemas.microsoft.com/office/spreadsheetml/2017/richdata2" ref="A2:Z136">
    <sortCondition ref="E1:E136"/>
  </sortState>
  <tableColumns count="26">
    <tableColumn id="1" xr3:uid="{00000000-0010-0000-0200-000001000000}" name="PSA Task Name" dataDxfId="25" dataCellStyle="Normal"/>
    <tableColumn id="2" xr3:uid="{00000000-0010-0000-0200-000002000000}" name="Customer  Name" dataDxfId="24" dataCellStyle="Normal">
      <calculatedColumnFormula xml:space="preserve"> MID(A2,SEARCH(":",A2)+2,SEARCH(":",A2,SEARCH(":",A2)+1)-SEARCH(":",A2)-3)</calculatedColumnFormula>
    </tableColumn>
    <tableColumn id="3" xr3:uid="{00000000-0010-0000-0200-000003000000}" name="Partner Name" dataDxfId="23" dataCellStyle="Normal">
      <calculatedColumnFormula xml:space="preserve"> MID(A2,SEARCH(":",A2)+2,SEARCH(":",A2,SEARCH(":",A2)+1)-SEARCH(":",A2)-3)</calculatedColumnFormula>
    </tableColumn>
    <tableColumn id="29" xr3:uid="{00000000-0010-0000-0200-00001D000000}" name="Notes" dataDxfId="22"/>
    <tableColumn id="6" xr3:uid="{00000000-0010-0000-0200-000006000000}" name="Date" dataDxfId="21" dataCellStyle="Normal"/>
    <tableColumn id="7" xr3:uid="{00000000-0010-0000-0200-000007000000}" name="Contact" dataDxfId="20" dataCellStyle="Normal"/>
    <tableColumn id="8" xr3:uid="{00000000-0010-0000-0200-000008000000}" name="Email" dataDxfId="19" dataCellStyle="Normal"/>
    <tableColumn id="9" xr3:uid="{00000000-0010-0000-0200-000009000000}" name="Column1" dataDxfId="18" dataCellStyle="Normal"/>
    <tableColumn id="10" xr3:uid="{00000000-0010-0000-0200-00000A000000}" name="directions" dataDxfId="17" dataCellStyle="Normal"/>
    <tableColumn id="11" xr3:uid="{00000000-0010-0000-0200-00000B000000}" name="Specs" dataDxfId="16" dataCellStyle="Normal"/>
    <tableColumn id="12" xr3:uid="{00000000-0010-0000-0200-00000C000000}" name="EDI ID" dataDxfId="15" dataCellStyle="Normal"/>
    <tableColumn id="13" xr3:uid="{00000000-0010-0000-0200-00000D000000}" name="Van/AS2/FTP" dataDxfId="14" dataCellStyle="Normal"/>
    <tableColumn id="14" xr3:uid="{00000000-0010-0000-0200-00000E000000}" name="Column10" dataDxfId="13" dataCellStyle="Normal"/>
    <tableColumn id="15" xr3:uid="{00000000-0010-0000-0200-00000F000000}" name="Column11" dataDxfId="12" dataCellStyle="Normal"/>
    <tableColumn id="16" xr3:uid="{00000000-0010-0000-0200-000010000000}" name="Column12" dataDxfId="11" dataCellStyle="Normal"/>
    <tableColumn id="17" xr3:uid="{00000000-0010-0000-0200-000011000000}" name="Column13" dataDxfId="10" dataCellStyle="Normal"/>
    <tableColumn id="18" xr3:uid="{00000000-0010-0000-0200-000012000000}" name="Column14" dataDxfId="9" dataCellStyle="Normal"/>
    <tableColumn id="19" xr3:uid="{00000000-0010-0000-0200-000013000000}" name="Column15" dataDxfId="8" dataCellStyle="Normal"/>
    <tableColumn id="20" xr3:uid="{00000000-0010-0000-0200-000014000000}" name="Column16" dataDxfId="7" dataCellStyle="Normal"/>
    <tableColumn id="21" xr3:uid="{00000000-0010-0000-0200-000015000000}" name="Column17" dataDxfId="6" dataCellStyle="Normal"/>
    <tableColumn id="22" xr3:uid="{00000000-0010-0000-0200-000016000000}" name="Column18" dataDxfId="5" dataCellStyle="Normal"/>
    <tableColumn id="23" xr3:uid="{00000000-0010-0000-0200-000017000000}" name="Column19" dataDxfId="4" dataCellStyle="Normal"/>
    <tableColumn id="24" xr3:uid="{00000000-0010-0000-0200-000018000000}" name="Column20" dataDxfId="3" dataCellStyle="Normal"/>
    <tableColumn id="25" xr3:uid="{00000000-0010-0000-0200-000019000000}" name="Column21" dataDxfId="2" dataCellStyle="Normal"/>
    <tableColumn id="26" xr3:uid="{00000000-0010-0000-0200-00001A000000}" name="Column22" dataDxfId="1" dataCellStyle="Normal"/>
    <tableColumn id="27" xr3:uid="{00000000-0010-0000-0200-00001B000000}" name="Column23" dataDxfId="0" dataCellStyle="Normal"/>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mailto:rebeccab@purecountry.com"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4.bin"/><Relationship Id="rId1" Type="http://schemas.openxmlformats.org/officeDocument/2006/relationships/hyperlink" Target="mailto:rebeccab@purecountry.com"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network.truecommerce.com:5743/invoke/wm.EDIINT/receiv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9B146-FAD1-4CE3-AE00-B718967E958E}">
  <sheetPr codeName="Sheet5"/>
  <dimension ref="A1:B4"/>
  <sheetViews>
    <sheetView workbookViewId="0">
      <selection activeCell="B3" sqref="B3"/>
    </sheetView>
  </sheetViews>
  <sheetFormatPr defaultRowHeight="15" x14ac:dyDescent="0.25"/>
  <cols>
    <col min="1" max="5" width="38" customWidth="1"/>
  </cols>
  <sheetData>
    <row r="1" spans="1:2" x14ac:dyDescent="0.25">
      <c r="A1" t="s">
        <v>194</v>
      </c>
      <c r="B1" s="45" t="s">
        <v>195</v>
      </c>
    </row>
    <row r="3" spans="1:2" x14ac:dyDescent="0.25">
      <c r="A3" t="s">
        <v>110</v>
      </c>
      <c r="B3">
        <f>COUNTA('in progress'!A:A)-1</f>
        <v>33</v>
      </c>
    </row>
    <row r="4" spans="1:2" x14ac:dyDescent="0.25">
      <c r="A4" t="s">
        <v>193</v>
      </c>
      <c r="B4">
        <f>COUNTA(pending!A:A)-1</f>
        <v>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66"/>
  <sheetViews>
    <sheetView tabSelected="1" zoomScale="85" zoomScaleNormal="85" workbookViewId="0">
      <selection activeCell="C2" sqref="C2"/>
    </sheetView>
  </sheetViews>
  <sheetFormatPr defaultRowHeight="15" x14ac:dyDescent="0.25"/>
  <cols>
    <col min="1" max="1" width="62.85546875" style="15" customWidth="1"/>
    <col min="2" max="2" width="20.85546875" style="15" customWidth="1"/>
    <col min="3" max="3" width="38.140625" customWidth="1"/>
    <col min="4" max="4" width="82.42578125" style="3" customWidth="1"/>
    <col min="5" max="5" width="84.42578125" style="36" customWidth="1"/>
    <col min="6" max="6" width="67.7109375" customWidth="1"/>
    <col min="7" max="7" width="14.85546875" style="38"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7" s="9" customFormat="1" ht="29.25" customHeight="1" thickTop="1" thickBot="1" x14ac:dyDescent="0.3">
      <c r="A1" s="1" t="s">
        <v>11</v>
      </c>
      <c r="B1" s="1" t="s">
        <v>106</v>
      </c>
      <c r="C1" s="1" t="s">
        <v>103</v>
      </c>
      <c r="D1" s="1" t="s">
        <v>30</v>
      </c>
      <c r="E1" s="1" t="s">
        <v>26</v>
      </c>
      <c r="F1" s="37" t="s">
        <v>12</v>
      </c>
      <c r="G1" s="1" t="s">
        <v>104</v>
      </c>
      <c r="H1" s="1" t="s">
        <v>105</v>
      </c>
      <c r="I1" s="10" t="s">
        <v>107</v>
      </c>
      <c r="J1" s="1" t="s">
        <v>19</v>
      </c>
      <c r="K1" s="1" t="s">
        <v>20</v>
      </c>
      <c r="L1" s="1" t="s">
        <v>21</v>
      </c>
      <c r="M1" s="1" t="s">
        <v>22</v>
      </c>
      <c r="N1" s="1" t="s">
        <v>0</v>
      </c>
      <c r="O1" s="8" t="s">
        <v>1</v>
      </c>
      <c r="P1" s="8" t="s">
        <v>2</v>
      </c>
      <c r="Q1" s="8" t="s">
        <v>3</v>
      </c>
      <c r="R1" s="9" t="s">
        <v>4</v>
      </c>
      <c r="S1" s="9" t="s">
        <v>5</v>
      </c>
      <c r="T1" s="9" t="s">
        <v>6</v>
      </c>
      <c r="U1" s="9" t="s">
        <v>7</v>
      </c>
      <c r="V1" s="9" t="s">
        <v>8</v>
      </c>
      <c r="W1" s="9" t="s">
        <v>9</v>
      </c>
      <c r="X1" s="9" t="s">
        <v>10</v>
      </c>
      <c r="Y1" s="9" t="s">
        <v>15</v>
      </c>
      <c r="Z1" s="9" t="s">
        <v>16</v>
      </c>
      <c r="AA1" s="9" t="s">
        <v>17</v>
      </c>
    </row>
    <row r="2" spans="1:27" ht="60.75" thickTop="1" x14ac:dyDescent="0.25">
      <c r="A2" s="41" t="s">
        <v>108</v>
      </c>
      <c r="B2" s="15" t="s">
        <v>162</v>
      </c>
      <c r="C2" s="39" t="str">
        <f xml:space="preserve"> MID(A2,SEARCH(":",A2)+2,SEARCH(":",A2,SEARCH(":",A2)+1)-SEARCH(":",A2)-3)</f>
        <v>Ste Michelle Wine Estates</v>
      </c>
      <c r="D2" s="15" t="s">
        <v>112</v>
      </c>
      <c r="E2" s="1" t="s">
        <v>175</v>
      </c>
      <c r="F2" s="40">
        <f>DATEVALUE(SUBSTITUTE(LEFT(Table2[[#This Row],[Notes]],SEARCH(" ",Table2[[#This Row],[Notes]])-1),".","/"))</f>
        <v>44550</v>
      </c>
      <c r="G2" s="39"/>
      <c r="H2" s="39"/>
      <c r="I2" s="39"/>
      <c r="J2" s="39"/>
      <c r="K2" s="39"/>
      <c r="L2" s="39"/>
      <c r="M2" s="39"/>
      <c r="N2" s="39"/>
      <c r="O2" s="39"/>
      <c r="P2" s="39"/>
      <c r="Q2" s="39"/>
      <c r="R2" s="39"/>
      <c r="S2" s="39"/>
      <c r="T2" s="39"/>
      <c r="U2" s="39"/>
      <c r="V2" s="39"/>
      <c r="W2" s="39"/>
      <c r="X2" s="39"/>
      <c r="Y2" s="39"/>
      <c r="Z2" s="39"/>
      <c r="AA2" s="39"/>
    </row>
    <row r="3" spans="1:27" ht="135" x14ac:dyDescent="0.25">
      <c r="A3" s="41" t="s">
        <v>40</v>
      </c>
      <c r="B3" s="15" t="s">
        <v>153</v>
      </c>
      <c r="C3" s="39" t="str">
        <f xml:space="preserve"> MID(A3,SEARCH(":",A3)+2,SEARCH(":",A3,SEARCH(":",A3)+1)-SEARCH(":",A3)-3)</f>
        <v>Herregan Distributors Inc.</v>
      </c>
      <c r="D3" s="15" t="s">
        <v>115</v>
      </c>
      <c r="E3" s="1" t="s">
        <v>171</v>
      </c>
      <c r="F3" s="40">
        <f>DATEVALUE(SUBSTITUTE(LEFT(Table2[[#This Row],[Notes]],SEARCH(" ",Table2[[#This Row],[Notes]])-1),".","/"))</f>
        <v>44550</v>
      </c>
      <c r="G3" s="39"/>
      <c r="H3" s="39"/>
      <c r="I3" s="39"/>
      <c r="J3" s="39"/>
      <c r="K3" s="39"/>
      <c r="L3" s="39"/>
      <c r="M3" s="39"/>
      <c r="N3" s="39"/>
      <c r="O3" s="39"/>
      <c r="P3" s="39"/>
      <c r="Q3" s="39"/>
      <c r="R3" s="39"/>
      <c r="S3" s="39"/>
      <c r="T3" s="39"/>
      <c r="U3" s="39"/>
      <c r="V3" s="39"/>
      <c r="W3" s="39"/>
      <c r="X3" s="39"/>
      <c r="Y3" s="39"/>
      <c r="Z3" s="39"/>
      <c r="AA3" s="39"/>
    </row>
    <row r="4" spans="1:27" ht="90" x14ac:dyDescent="0.25">
      <c r="A4" s="41" t="s">
        <v>65</v>
      </c>
      <c r="B4" s="15" t="s">
        <v>163</v>
      </c>
      <c r="C4" s="39" t="str">
        <f xml:space="preserve"> MID(A4,SEARCH(":",A4)+2,SEARCH(":",A4,SEARCH(":",A4)+1)-SEARCH(":",A4)-3)</f>
        <v>Thoroughbred Diesel</v>
      </c>
      <c r="D4" s="15" t="s">
        <v>111</v>
      </c>
      <c r="E4" s="1" t="s">
        <v>176</v>
      </c>
      <c r="F4" s="40">
        <f>DATEVALUE(SUBSTITUTE(LEFT(Table2[[#This Row],[Notes]],SEARCH(" ",Table2[[#This Row],[Notes]])-1),".","/"))</f>
        <v>44550</v>
      </c>
      <c r="G4" s="39"/>
      <c r="H4" s="39"/>
      <c r="I4" s="39"/>
      <c r="J4" s="39"/>
      <c r="K4" s="39"/>
      <c r="L4" s="39"/>
      <c r="M4" s="39"/>
      <c r="N4" s="39"/>
      <c r="O4" s="39"/>
      <c r="P4" s="39"/>
      <c r="Q4" s="39"/>
      <c r="R4" s="39"/>
      <c r="S4" s="39"/>
      <c r="T4" s="39"/>
      <c r="U4" s="39"/>
      <c r="V4" s="39"/>
      <c r="W4" s="39"/>
      <c r="X4" s="39"/>
      <c r="Y4" s="39"/>
      <c r="Z4" s="39"/>
      <c r="AA4" s="39"/>
    </row>
    <row r="5" spans="1:27" s="1" customFormat="1" ht="90" x14ac:dyDescent="0.25">
      <c r="A5" s="41" t="s">
        <v>65</v>
      </c>
      <c r="B5" s="15" t="s">
        <v>164</v>
      </c>
      <c r="C5" s="39" t="str">
        <f xml:space="preserve"> MID(A5,SEARCH(":",A5)+2,SEARCH(":",A5,SEARCH(":",A5)+1)-SEARCH(":",A5)-3)</f>
        <v>Thoroughbred Diesel</v>
      </c>
      <c r="D5" s="15" t="s">
        <v>143</v>
      </c>
      <c r="E5" s="1" t="s">
        <v>176</v>
      </c>
      <c r="F5" s="40">
        <f>DATEVALUE(SUBSTITUTE(LEFT(Table2[[#This Row],[Notes]],SEARCH(" ",Table2[[#This Row],[Notes]])-1),".","/"))</f>
        <v>44550</v>
      </c>
      <c r="G5" t="s">
        <v>75</v>
      </c>
      <c r="H5"/>
      <c r="I5" s="39"/>
      <c r="J5" s="39"/>
      <c r="K5" s="39"/>
      <c r="L5" s="39"/>
      <c r="M5" s="39"/>
      <c r="N5" s="39"/>
      <c r="O5" s="39"/>
      <c r="P5" s="39"/>
      <c r="Q5" s="39"/>
      <c r="R5" s="39"/>
      <c r="S5" s="39"/>
      <c r="T5" s="39"/>
      <c r="U5" s="39"/>
      <c r="V5" s="39"/>
      <c r="W5" s="39"/>
      <c r="X5" s="39"/>
      <c r="Y5" s="39"/>
      <c r="Z5" s="39"/>
      <c r="AA5" s="39"/>
    </row>
    <row r="6" spans="1:27" ht="90" x14ac:dyDescent="0.25">
      <c r="A6" s="41" t="s">
        <v>66</v>
      </c>
      <c r="B6" s="15" t="s">
        <v>145</v>
      </c>
      <c r="C6" s="39" t="str">
        <f xml:space="preserve"> MID(A6,SEARCH(":",A6)+2,SEARCH(":",A6,SEARCH(":",A6)+1)-SEARCH(":",A6)-3)</f>
        <v>CJ Pony Parts - File Partner</v>
      </c>
      <c r="D6" s="15" t="s">
        <v>111</v>
      </c>
      <c r="E6" s="1" t="s">
        <v>165</v>
      </c>
      <c r="F6" s="40">
        <f>DATEVALUE(SUBSTITUTE(LEFT(Table2[[#This Row],[Notes]],SEARCH(" ",Table2[[#This Row],[Notes]])-1),".","/"))</f>
        <v>44550</v>
      </c>
      <c r="G6" s="39" t="s">
        <v>33</v>
      </c>
      <c r="H6" s="39"/>
      <c r="I6" s="39"/>
      <c r="J6" s="39"/>
      <c r="K6" s="39"/>
      <c r="L6" s="39"/>
      <c r="M6" s="39"/>
      <c r="N6" s="39"/>
      <c r="O6" s="39"/>
      <c r="P6" s="39"/>
      <c r="Q6" s="39"/>
      <c r="R6" s="39"/>
      <c r="S6" s="39"/>
      <c r="T6" s="39"/>
      <c r="U6" s="39"/>
      <c r="V6" s="39"/>
      <c r="W6" s="39"/>
      <c r="X6" s="39"/>
      <c r="Y6" s="39"/>
      <c r="Z6" s="39"/>
      <c r="AA6" s="39"/>
    </row>
    <row r="7" spans="1:27" s="13" customFormat="1" x14ac:dyDescent="0.25">
      <c r="A7" s="41" t="s">
        <v>130</v>
      </c>
      <c r="B7" s="15" t="s">
        <v>156</v>
      </c>
      <c r="C7" s="39" t="str">
        <f xml:space="preserve"> MID(A7,SEARCH(":",A7)+2,SEARCH(":",A7,SEARCH(":",A7)+1)-SEARCH(":",A7)-3)</f>
        <v>Le Mars Public Storage</v>
      </c>
      <c r="D7" s="15" t="s">
        <v>140</v>
      </c>
      <c r="E7" s="15" t="s">
        <v>173</v>
      </c>
      <c r="F7" s="40">
        <f>DATEVALUE(SUBSTITUTE(LEFT(Table2[[#This Row],[Notes]],SEARCH(" ",Table2[[#This Row],[Notes]])-1),".","/"))</f>
        <v>44550</v>
      </c>
      <c r="G7" s="39" t="s">
        <v>72</v>
      </c>
      <c r="H7" s="39"/>
      <c r="I7" s="39"/>
      <c r="J7" s="39"/>
      <c r="K7" s="39"/>
      <c r="L7" s="39"/>
      <c r="M7" s="39"/>
      <c r="N7" s="39"/>
      <c r="O7" s="39"/>
      <c r="P7" s="39"/>
      <c r="Q7" s="39"/>
      <c r="R7" s="39"/>
      <c r="S7" s="39"/>
      <c r="T7" s="39"/>
      <c r="U7" s="39"/>
      <c r="V7" s="39"/>
      <c r="W7" s="39"/>
      <c r="X7" s="39"/>
      <c r="Y7" s="39"/>
      <c r="Z7" s="39"/>
      <c r="AA7" s="39"/>
    </row>
    <row r="8" spans="1:27" s="5" customFormat="1" x14ac:dyDescent="0.25">
      <c r="A8" s="41" t="s">
        <v>120</v>
      </c>
      <c r="B8" s="15" t="s">
        <v>148</v>
      </c>
      <c r="C8" s="39" t="str">
        <f xml:space="preserve"> MID(A8,SEARCH(":",A8)+2,SEARCH(":",A8,SEARCH(":",A8)+1)-SEARCH(":",A8)-3)</f>
        <v>Dynamite Services</v>
      </c>
      <c r="D8" s="15" t="s">
        <v>135</v>
      </c>
      <c r="E8" s="15" t="s">
        <v>167</v>
      </c>
      <c r="F8" s="40">
        <f>DATEVALUE(SUBSTITUTE(LEFT(Table2[[#This Row],[Notes]],SEARCH(" ",Table2[[#This Row],[Notes]])-1),".","/"))</f>
        <v>44550</v>
      </c>
      <c r="G8" t="s">
        <v>123</v>
      </c>
      <c r="H8"/>
      <c r="I8" s="39"/>
      <c r="J8" s="39"/>
      <c r="K8" s="39"/>
      <c r="L8" s="39"/>
      <c r="M8" s="39"/>
      <c r="N8" s="39"/>
      <c r="O8" s="39"/>
      <c r="P8" s="39"/>
      <c r="Q8" s="39"/>
      <c r="R8" s="39"/>
      <c r="S8" s="39"/>
      <c r="T8" s="39"/>
      <c r="U8" s="39"/>
      <c r="V8" s="39"/>
      <c r="W8" s="39"/>
      <c r="X8" s="39"/>
      <c r="Y8" s="39"/>
      <c r="Z8" s="39"/>
      <c r="AA8" s="39"/>
    </row>
    <row r="9" spans="1:27" ht="45" x14ac:dyDescent="0.25">
      <c r="A9" s="41" t="s">
        <v>119</v>
      </c>
      <c r="B9" s="15" t="s">
        <v>149</v>
      </c>
      <c r="C9" s="39" t="str">
        <f xml:space="preserve"> MID(A9,SEARCH(":",A9)+2,SEARCH(":",A9,SEARCH(":",A9)+1)-SEARCH(":",A9)-3)</f>
        <v>Focus First Global Logistics</v>
      </c>
      <c r="D9" s="15" t="s">
        <v>136</v>
      </c>
      <c r="E9" s="1" t="s">
        <v>168</v>
      </c>
      <c r="F9" s="40">
        <f>DATEVALUE(SUBSTITUTE(LEFT(Table2[[#This Row],[Notes]],SEARCH(" ",Table2[[#This Row],[Notes]])-1),".","/"))</f>
        <v>44550</v>
      </c>
      <c r="G9" s="39"/>
      <c r="H9" s="39"/>
      <c r="I9" s="39"/>
      <c r="J9" s="39"/>
      <c r="K9" s="39"/>
      <c r="L9" s="39"/>
      <c r="M9" s="39"/>
      <c r="N9" s="39"/>
      <c r="O9" s="39"/>
      <c r="P9" s="39"/>
      <c r="Q9" s="39"/>
      <c r="R9" s="39"/>
      <c r="S9" s="39"/>
      <c r="T9" s="39"/>
      <c r="U9" s="39"/>
      <c r="V9" s="39"/>
      <c r="W9" s="39"/>
      <c r="X9" s="39"/>
      <c r="Y9" s="39"/>
      <c r="Z9" s="39"/>
      <c r="AA9" s="39"/>
    </row>
    <row r="10" spans="1:27" s="18" customFormat="1" ht="120" x14ac:dyDescent="0.25">
      <c r="A10" s="41" t="s">
        <v>45</v>
      </c>
      <c r="B10" s="15" t="s">
        <v>150</v>
      </c>
      <c r="C10" s="39" t="str">
        <f xml:space="preserve"> MID(A10,SEARCH(":",A10)+2,SEARCH(":",A10,SEARCH(":",A10)+1)-SEARCH(":",A10)-3)</f>
        <v>Georges Music XML</v>
      </c>
      <c r="D10" s="15" t="s">
        <v>113</v>
      </c>
      <c r="E10" s="1" t="s">
        <v>169</v>
      </c>
      <c r="F10" s="40">
        <f>DATEVALUE(SUBSTITUTE(LEFT(Table2[[#This Row],[Notes]],SEARCH(" ",Table2[[#This Row],[Notes]])-1),".","/"))</f>
        <v>44550</v>
      </c>
      <c r="G10" t="s">
        <v>121</v>
      </c>
      <c r="H10" t="s">
        <v>122</v>
      </c>
      <c r="I10" s="39"/>
      <c r="J10" s="39"/>
      <c r="K10" s="39"/>
      <c r="L10" s="39"/>
      <c r="M10" s="39"/>
      <c r="N10" s="39"/>
      <c r="O10" s="39"/>
      <c r="P10" s="39"/>
      <c r="Q10" s="39"/>
      <c r="R10" s="39"/>
      <c r="S10" s="39"/>
      <c r="T10" s="39"/>
      <c r="U10" s="39"/>
      <c r="V10" s="39"/>
      <c r="W10" s="39"/>
      <c r="X10" s="39"/>
      <c r="Y10" s="39"/>
      <c r="Z10" s="39"/>
      <c r="AA10" s="39"/>
    </row>
    <row r="11" spans="1:27" ht="45" x14ac:dyDescent="0.25">
      <c r="A11" s="41" t="s">
        <v>125</v>
      </c>
      <c r="B11" s="15" t="s">
        <v>146</v>
      </c>
      <c r="C11" s="39" t="str">
        <f xml:space="preserve"> MID(A11,SEARCH(":",A11)+2,SEARCH(":",A11,SEARCH(":",A11)+1)-SEARCH(":",A11)-3)</f>
        <v>Crutchfield</v>
      </c>
      <c r="D11" s="15" t="s">
        <v>133</v>
      </c>
      <c r="E11" s="1" t="s">
        <v>166</v>
      </c>
      <c r="F11" s="40">
        <f>DATEVALUE(SUBSTITUTE(LEFT(Table2[[#This Row],[Notes]],SEARCH(" ",Table2[[#This Row],[Notes]])-1),".","/"))</f>
        <v>44550</v>
      </c>
      <c r="G11" s="39" t="s">
        <v>32</v>
      </c>
      <c r="H11" s="39"/>
      <c r="I11" s="39"/>
      <c r="J11" s="39"/>
      <c r="K11" s="39"/>
      <c r="L11" s="39"/>
      <c r="M11" s="39"/>
      <c r="N11" s="39"/>
      <c r="O11" s="39"/>
      <c r="P11" s="39"/>
      <c r="Q11" s="39"/>
      <c r="R11" s="39"/>
      <c r="S11" s="39"/>
      <c r="T11" s="39"/>
      <c r="U11" s="39"/>
      <c r="V11" s="39"/>
      <c r="W11" s="39"/>
      <c r="X11" s="39"/>
      <c r="Y11" s="39"/>
      <c r="Z11" s="39"/>
      <c r="AA11" s="39"/>
    </row>
    <row r="12" spans="1:27" s="1" customFormat="1" x14ac:dyDescent="0.25">
      <c r="A12" s="41" t="s">
        <v>128</v>
      </c>
      <c r="B12" s="15" t="s">
        <v>154</v>
      </c>
      <c r="C12" s="39" t="str">
        <f xml:space="preserve"> MID(A12,SEARCH(":",A12)+2,SEARCH(":",A12,SEARCH(":",A12)+1)-SEARCH(":",A12)-3)</f>
        <v>HTL-Strefa -P2P- Avmedical</v>
      </c>
      <c r="D12" s="15" t="s">
        <v>138</v>
      </c>
      <c r="E12" s="15" t="s">
        <v>172</v>
      </c>
      <c r="F12" s="40">
        <f>DATEVALUE(SUBSTITUTE(LEFT(Table2[[#This Row],[Notes]],SEARCH(" ",Table2[[#This Row],[Notes]])-1),".","/"))</f>
        <v>44550</v>
      </c>
      <c r="G12" s="39" t="s">
        <v>53</v>
      </c>
      <c r="H12" s="39"/>
      <c r="I12" s="39"/>
      <c r="J12" s="39"/>
      <c r="K12" s="39"/>
      <c r="L12" s="39"/>
      <c r="M12" s="39"/>
      <c r="N12" s="39"/>
      <c r="O12" s="39"/>
      <c r="P12" s="39"/>
      <c r="Q12" s="39"/>
      <c r="R12" s="39"/>
      <c r="S12" s="39"/>
      <c r="T12" s="39"/>
      <c r="U12" s="39"/>
      <c r="V12" s="39"/>
      <c r="W12" s="39"/>
      <c r="X12" s="39"/>
      <c r="Y12" s="39"/>
      <c r="Z12" s="39"/>
      <c r="AA12" s="39"/>
    </row>
    <row r="13" spans="1:27" ht="60" x14ac:dyDescent="0.25">
      <c r="A13" s="41" t="s">
        <v>109</v>
      </c>
      <c r="B13" s="15" t="s">
        <v>152</v>
      </c>
      <c r="C13" s="39" t="str">
        <f xml:space="preserve"> MID(A13,SEARCH(":",A13)+2,SEARCH(":",A13,SEARCH(":",A13)+1)-SEARCH(":",A13)-3)</f>
        <v>Grassmid Transport Inc.</v>
      </c>
      <c r="D13" s="15" t="s">
        <v>114</v>
      </c>
      <c r="E13" s="1" t="s">
        <v>170</v>
      </c>
      <c r="F13" s="40">
        <f>DATEVALUE(SUBSTITUTE(LEFT(Table2[[#This Row],[Notes]],SEARCH(" ",Table2[[#This Row],[Notes]])-1),".","/"))</f>
        <v>44550</v>
      </c>
      <c r="G13" s="39"/>
      <c r="H13" s="39"/>
      <c r="I13" s="39"/>
      <c r="J13" s="39"/>
      <c r="K13" s="39"/>
      <c r="L13" s="39"/>
      <c r="M13" s="39"/>
      <c r="N13" s="39"/>
      <c r="O13" s="39"/>
      <c r="P13" s="39"/>
      <c r="Q13" s="39"/>
      <c r="R13" s="39"/>
      <c r="S13" s="39"/>
      <c r="T13" s="39"/>
      <c r="U13" s="39"/>
      <c r="V13" s="39"/>
      <c r="W13" s="39"/>
      <c r="X13" s="39"/>
      <c r="Y13" s="39"/>
      <c r="Z13" s="39"/>
      <c r="AA13" s="39"/>
    </row>
    <row r="14" spans="1:27" x14ac:dyDescent="0.25">
      <c r="A14" s="41" t="s">
        <v>118</v>
      </c>
      <c r="B14" s="15" t="s">
        <v>160</v>
      </c>
      <c r="C14" s="39" t="str">
        <f xml:space="preserve"> MID(A14,SEARCH(":",A14)+2,SEARCH(":",A14,SEARCH(":",A14)+1)-SEARCH(":",A14)-3)</f>
        <v>Quadratec - Mishimoto - P2P</v>
      </c>
      <c r="D14" s="15" t="s">
        <v>111</v>
      </c>
      <c r="E14" s="15" t="s">
        <v>174</v>
      </c>
      <c r="F14" s="40">
        <f>DATEVALUE(SUBSTITUTE(LEFT(Table2[[#This Row],[Notes]],SEARCH(" ",Table2[[#This Row],[Notes]])-1),".","/"))</f>
        <v>44550</v>
      </c>
      <c r="G14" s="39"/>
      <c r="H14" s="39"/>
      <c r="I14" s="39"/>
      <c r="J14" s="39"/>
      <c r="K14" s="39"/>
      <c r="L14" s="39"/>
      <c r="M14" s="39"/>
      <c r="N14" s="39"/>
      <c r="O14" s="39"/>
      <c r="P14" s="39"/>
      <c r="Q14" s="39"/>
      <c r="R14" s="39"/>
      <c r="S14" s="39"/>
      <c r="T14" s="39"/>
      <c r="U14" s="39"/>
      <c r="V14" s="39"/>
      <c r="W14" s="39"/>
      <c r="X14" s="39"/>
      <c r="Y14" s="39"/>
      <c r="Z14" s="39"/>
      <c r="AA14" s="39"/>
    </row>
    <row r="15" spans="1:27" ht="15.75" x14ac:dyDescent="0.3">
      <c r="A15" s="42" t="s">
        <v>179</v>
      </c>
      <c r="B15" s="39">
        <f>COUNTA('in progress'!A:A)-1</f>
        <v>33</v>
      </c>
      <c r="C15" s="39" t="str">
        <f xml:space="preserve"> MID(A15,SEARCH(":",A15)+2,SEARCH(":",A15,SEARCH(":",A15)+1)-SEARCH(":",A15)-3)</f>
        <v>King Drug</v>
      </c>
      <c r="D15" s="39" t="str">
        <f>"partner:"&amp;MID(A15,SEARCH(":",A15)+1,SEARCH(":",A15,SEARCH(":",A15)+1)-SEARCH(":",A15)-1)</f>
        <v xml:space="preserve">partner: King Drug </v>
      </c>
      <c r="E15" s="39" t="s">
        <v>191</v>
      </c>
      <c r="F15" s="40">
        <f>DATEVALUE(SUBSTITUTE(LEFT(Table2[[#This Row],[Notes]],SEARCH(" ",Table2[[#This Row],[Notes]])-1),".","/"))</f>
        <v>44551</v>
      </c>
      <c r="G15" s="39"/>
      <c r="H15" s="39"/>
      <c r="I15" s="39"/>
      <c r="J15" s="39"/>
      <c r="K15" s="39"/>
      <c r="L15" s="39"/>
      <c r="M15" s="39"/>
      <c r="N15" s="39"/>
      <c r="O15" s="39"/>
      <c r="P15" s="39"/>
      <c r="Q15" s="39"/>
      <c r="R15" s="39"/>
      <c r="S15" s="39"/>
      <c r="T15" s="39"/>
      <c r="U15" s="39"/>
      <c r="V15" s="39"/>
      <c r="W15" s="39"/>
      <c r="X15" s="39"/>
      <c r="Y15" s="39"/>
      <c r="Z15" s="39"/>
      <c r="AA15" s="39"/>
    </row>
    <row r="16" spans="1:27" s="19" customFormat="1" ht="15.75" x14ac:dyDescent="0.3">
      <c r="A16" s="42" t="s">
        <v>187</v>
      </c>
      <c r="B16" s="39">
        <f>COUNTA('in progress'!A:A)-1</f>
        <v>33</v>
      </c>
      <c r="C16" s="39" t="str">
        <f xml:space="preserve"> MID(A16,SEARCH(":",A16)+2,SEARCH(":",A16,SEARCH(":",A16)+1)-SEARCH(":",A16)-3)</f>
        <v>AMC</v>
      </c>
      <c r="D16" s="39" t="str">
        <f>"partner:"&amp;MID(A16,SEARCH(":",A16)+1,SEARCH(":",A16,SEARCH(":",A16)+1)-SEARCH(":",A16)-1)</f>
        <v xml:space="preserve">partner: AMC </v>
      </c>
      <c r="E16" s="39" t="s">
        <v>191</v>
      </c>
      <c r="F16" s="40">
        <f>DATEVALUE(SUBSTITUTE(LEFT(Table2[[#This Row],[Notes]],SEARCH(" ",Table2[[#This Row],[Notes]])-1),".","/"))</f>
        <v>44551</v>
      </c>
      <c r="G16" s="39"/>
      <c r="H16" s="39"/>
      <c r="I16" s="39"/>
      <c r="J16" s="39"/>
      <c r="K16" s="39"/>
      <c r="L16" s="39"/>
      <c r="M16" s="39"/>
      <c r="N16" s="39"/>
      <c r="O16" s="39"/>
      <c r="P16" s="39"/>
      <c r="Q16" s="39"/>
      <c r="R16" s="39"/>
      <c r="S16" s="39"/>
      <c r="T16" s="39"/>
      <c r="U16" s="39"/>
      <c r="V16" s="39"/>
      <c r="W16" s="39"/>
      <c r="X16" s="39"/>
      <c r="Y16" s="39"/>
      <c r="Z16" s="39"/>
      <c r="AA16" s="39"/>
    </row>
    <row r="17" spans="1:27" ht="15.75" x14ac:dyDescent="0.3">
      <c r="A17" s="42" t="s">
        <v>182</v>
      </c>
      <c r="B17" s="39">
        <f>COUNTA('in progress'!A:A)-1</f>
        <v>33</v>
      </c>
      <c r="C17" s="39" t="str">
        <f xml:space="preserve"> MID(A17,SEARCH(":",A17)+2,SEARCH(":",A17,SEARCH(":",A17)+1)-SEARCH(":",A17)-3)</f>
        <v>Bestrx</v>
      </c>
      <c r="D17" s="39" t="str">
        <f>"partner:"&amp;MID(A17,SEARCH(":",A17)+1,SEARCH(":",A17,SEARCH(":",A17)+1)-SEARCH(":",A17)-1)</f>
        <v xml:space="preserve">partner: Bestrx </v>
      </c>
      <c r="E17" s="39" t="s">
        <v>190</v>
      </c>
      <c r="F17" s="40">
        <f>DATEVALUE(SUBSTITUTE(LEFT(Table2[[#This Row],[Notes]],SEARCH(" ",Table2[[#This Row],[Notes]])-1),".","/"))</f>
        <v>44551</v>
      </c>
      <c r="G17" s="39"/>
      <c r="H17" s="39"/>
      <c r="I17" s="39"/>
      <c r="J17" s="39"/>
      <c r="K17" s="39"/>
      <c r="L17" s="39"/>
      <c r="M17" s="39"/>
      <c r="N17" s="39"/>
      <c r="O17" s="39"/>
      <c r="P17" s="39"/>
      <c r="Q17" s="39"/>
      <c r="R17" s="39"/>
      <c r="S17" s="39"/>
      <c r="T17" s="39"/>
      <c r="U17" s="39"/>
      <c r="V17" s="39"/>
      <c r="W17" s="39"/>
      <c r="X17" s="39"/>
      <c r="Y17" s="39"/>
      <c r="Z17" s="39"/>
      <c r="AA17" s="39"/>
    </row>
    <row r="18" spans="1:27" s="4" customFormat="1" ht="15.75" x14ac:dyDescent="0.3">
      <c r="A18" s="42" t="s">
        <v>180</v>
      </c>
      <c r="B18" s="39">
        <f>COUNTA('in progress'!A:A)-1</f>
        <v>33</v>
      </c>
      <c r="C18" s="39" t="str">
        <f xml:space="preserve"> MID(A18,SEARCH(":",A18)+2,SEARCH(":",A18,SEARCH(":",A18)+1)-SEARCH(":",A18)-3)</f>
        <v>AFS Technologies</v>
      </c>
      <c r="D18" s="39" t="str">
        <f>"partner:"&amp;MID(A18,SEARCH(":",A18)+1,SEARCH(":",A18,SEARCH(":",A18)+1)-SEARCH(":",A18)-1)</f>
        <v xml:space="preserve">partner: AFS Technologies </v>
      </c>
      <c r="E18" s="39" t="s">
        <v>189</v>
      </c>
      <c r="F18" s="40">
        <f>DATEVALUE(SUBSTITUTE(LEFT(Table2[[#This Row],[Notes]],SEARCH(" ",Table2[[#This Row],[Notes]])-1),".","/"))</f>
        <v>44551</v>
      </c>
      <c r="G18" s="39"/>
      <c r="H18" s="39"/>
      <c r="I18" s="39"/>
      <c r="J18" s="39"/>
      <c r="K18" s="39"/>
      <c r="L18" s="39"/>
      <c r="M18" s="39"/>
      <c r="N18" s="39"/>
      <c r="O18" s="39"/>
      <c r="P18" s="39"/>
      <c r="Q18" s="39"/>
      <c r="R18" s="39"/>
      <c r="S18" s="39"/>
      <c r="T18" s="39"/>
      <c r="U18" s="39"/>
      <c r="V18" s="39"/>
      <c r="W18" s="39"/>
      <c r="X18" s="39"/>
      <c r="Y18" s="39"/>
      <c r="Z18" s="39"/>
      <c r="AA18" s="39"/>
    </row>
    <row r="19" spans="1:27" s="4" customFormat="1" ht="15.75" x14ac:dyDescent="0.3">
      <c r="A19" s="42" t="s">
        <v>181</v>
      </c>
      <c r="B19" s="39">
        <f>COUNTA('in progress'!A:A)-1</f>
        <v>33</v>
      </c>
      <c r="C19" s="39" t="str">
        <f xml:space="preserve"> MID(A19,SEARCH(":",A19)+2,SEARCH(":",A19,SEARCH(":",A19)+1)-SEARCH(":",A19)-3)</f>
        <v>Bassett Mirror Vendor</v>
      </c>
      <c r="D19" s="39" t="str">
        <f>"partner:"&amp;MID(A19,SEARCH(":",A19)+1,SEARCH(":",A19,SEARCH(":",A19)+1)-SEARCH(":",A19)-1)</f>
        <v xml:space="preserve">partner: Bassett Mirror Vendor </v>
      </c>
      <c r="E19" s="39" t="s">
        <v>189</v>
      </c>
      <c r="F19" s="40">
        <f>DATEVALUE(SUBSTITUTE(LEFT(Table2[[#This Row],[Notes]],SEARCH(" ",Table2[[#This Row],[Notes]])-1),".","/"))</f>
        <v>44551</v>
      </c>
      <c r="G19" s="39"/>
      <c r="H19" s="39"/>
      <c r="I19" s="39"/>
      <c r="J19" s="39"/>
      <c r="K19" s="39"/>
      <c r="L19" s="39"/>
      <c r="M19" s="39"/>
      <c r="N19" s="39"/>
      <c r="O19" s="39"/>
      <c r="P19" s="39"/>
      <c r="Q19" s="39"/>
      <c r="R19" s="39"/>
      <c r="S19" s="39"/>
      <c r="T19" s="39"/>
      <c r="U19" s="39"/>
      <c r="V19" s="39"/>
      <c r="W19" s="39"/>
      <c r="X19" s="39"/>
      <c r="Y19" s="39"/>
      <c r="Z19" s="39"/>
      <c r="AA19" s="39"/>
    </row>
    <row r="20" spans="1:27" s="4" customFormat="1" ht="15.75" x14ac:dyDescent="0.3">
      <c r="A20" s="42" t="s">
        <v>183</v>
      </c>
      <c r="B20" s="39">
        <f>COUNTA('in progress'!A:A)-1</f>
        <v>33</v>
      </c>
      <c r="C20" s="39" t="str">
        <f xml:space="preserve"> MID(A20,SEARCH(":",A20)+2,SEARCH(":",A20,SEARCH(":",A20)+1)-SEARCH(":",A20)-3)</f>
        <v>Costco France - EDIFACT</v>
      </c>
      <c r="D20" s="39" t="str">
        <f>"partner:"&amp;MID(A20,SEARCH(":",A20)+1,SEARCH(":",A20,SEARCH(":",A20)+1)-SEARCH(":",A20)-1)</f>
        <v xml:space="preserve">partner: Costco France - EDIFACT </v>
      </c>
      <c r="E20" s="39" t="s">
        <v>189</v>
      </c>
      <c r="F20" s="40">
        <f>DATEVALUE(SUBSTITUTE(LEFT(Table2[[#This Row],[Notes]],SEARCH(" ",Table2[[#This Row],[Notes]])-1),".","/"))</f>
        <v>44551</v>
      </c>
      <c r="G20" s="39"/>
      <c r="H20" s="39"/>
      <c r="I20" s="39"/>
      <c r="J20" s="39"/>
      <c r="K20" s="39"/>
      <c r="L20" s="39"/>
      <c r="M20" s="39"/>
      <c r="N20" s="39"/>
      <c r="O20" s="39"/>
      <c r="P20" s="39"/>
      <c r="Q20" s="39"/>
      <c r="R20" s="39"/>
      <c r="S20" s="39"/>
      <c r="T20" s="39"/>
      <c r="U20" s="39"/>
      <c r="V20" s="39"/>
      <c r="W20" s="39"/>
      <c r="X20" s="39"/>
      <c r="Y20" s="39"/>
      <c r="Z20" s="39"/>
      <c r="AA20" s="39"/>
    </row>
    <row r="21" spans="1:27" s="24" customFormat="1" ht="15.75" x14ac:dyDescent="0.3">
      <c r="A21" s="42" t="s">
        <v>184</v>
      </c>
      <c r="B21" s="39">
        <f>COUNTA('in progress'!A:A)-1</f>
        <v>33</v>
      </c>
      <c r="C21" s="39" t="str">
        <f xml:space="preserve"> MID(A21,SEARCH(":",A21)+2,SEARCH(":",A21,SEARCH(":",A21)+1)-SEARCH(":",A21)-3)</f>
        <v>Costco Spain - EDIFACT</v>
      </c>
      <c r="D21" s="39" t="str">
        <f>"partner:"&amp;MID(A21,SEARCH(":",A21)+1,SEARCH(":",A21,SEARCH(":",A21)+1)-SEARCH(":",A21)-1)</f>
        <v xml:space="preserve">partner: Costco Spain - EDIFACT </v>
      </c>
      <c r="E21" s="39" t="s">
        <v>189</v>
      </c>
      <c r="F21" s="40">
        <f>DATEVALUE(SUBSTITUTE(LEFT(Table2[[#This Row],[Notes]],SEARCH(" ",Table2[[#This Row],[Notes]])-1),".","/"))</f>
        <v>44551</v>
      </c>
      <c r="G21" s="39"/>
      <c r="H21" s="39"/>
      <c r="I21" s="39"/>
      <c r="J21" s="39"/>
      <c r="K21" s="39"/>
      <c r="L21" s="39"/>
      <c r="M21" s="39"/>
      <c r="N21" s="39"/>
      <c r="O21" s="39"/>
      <c r="P21" s="39"/>
      <c r="Q21" s="39"/>
      <c r="R21" s="39"/>
      <c r="S21" s="39"/>
      <c r="T21" s="39"/>
      <c r="U21" s="39"/>
      <c r="V21" s="39"/>
      <c r="W21" s="39"/>
      <c r="X21" s="39"/>
      <c r="Y21" s="39"/>
      <c r="Z21" s="39"/>
      <c r="AA21" s="39"/>
    </row>
    <row r="22" spans="1:27" s="23" customFormat="1" x14ac:dyDescent="0.3">
      <c r="A22" s="44" t="s">
        <v>185</v>
      </c>
      <c r="B22" s="39">
        <f>COUNTA('in progress'!A:A)-1</f>
        <v>33</v>
      </c>
      <c r="C22" s="39" t="str">
        <f xml:space="preserve"> MID(A22,SEARCH(":",A22)+2,SEARCH(":",A22,SEARCH(":",A22)+1)-SEARCH(":",A22)-3)</f>
        <v>Yavari LLC</v>
      </c>
      <c r="D22" s="39" t="str">
        <f>"partner:"&amp;MID(A22,SEARCH(":",A22)+1,SEARCH(":",A22,SEARCH(":",A22)+1)-SEARCH(":",A22)-1)</f>
        <v xml:space="preserve">partner: Yavari LLC </v>
      </c>
      <c r="E22" s="39" t="s">
        <v>189</v>
      </c>
      <c r="F22" s="40">
        <f>DATEVALUE(SUBSTITUTE(LEFT(Table2[[#This Row],[Notes]],SEARCH(" ",Table2[[#This Row],[Notes]])-1),".","/"))</f>
        <v>44551</v>
      </c>
      <c r="G22" s="39"/>
      <c r="H22" s="39"/>
      <c r="I22" s="39"/>
      <c r="J22" s="39"/>
      <c r="K22" s="39"/>
      <c r="L22" s="39"/>
      <c r="M22" s="39"/>
      <c r="N22" s="39"/>
      <c r="O22" s="39"/>
      <c r="P22" s="39"/>
      <c r="Q22" s="39"/>
      <c r="R22" s="39"/>
      <c r="S22" s="39"/>
      <c r="T22" s="39"/>
      <c r="U22" s="39"/>
      <c r="V22" s="39"/>
      <c r="W22" s="39"/>
      <c r="X22" s="39"/>
      <c r="Y22" s="39"/>
      <c r="Z22" s="39"/>
      <c r="AA22" s="39"/>
    </row>
    <row r="23" spans="1:27" x14ac:dyDescent="0.25">
      <c r="A23" s="43" t="s">
        <v>186</v>
      </c>
      <c r="B23" s="39">
        <f>COUNTA('in progress'!A:A)-1</f>
        <v>33</v>
      </c>
      <c r="C23" s="39" t="str">
        <f xml:space="preserve"> MID(A23,SEARCH(":",A23)+2,SEARCH(":",A23,SEARCH(":",A23)+1)-SEARCH(":",A23)-3)</f>
        <v>Gorgio Gori Transportation</v>
      </c>
      <c r="D23" s="39" t="str">
        <f>"partner:"&amp;MID(A23,SEARCH(":",A23)+1,SEARCH(":",A23,SEARCH(":",A23)+1)-SEARCH(":",A23)-1)</f>
        <v xml:space="preserve">partner: Gorgio Gori Transportation </v>
      </c>
      <c r="E23" s="39" t="s">
        <v>189</v>
      </c>
      <c r="F23" s="40">
        <f>DATEVALUE(SUBSTITUTE(LEFT(Table2[[#This Row],[Notes]],SEARCH(" ",Table2[[#This Row],[Notes]])-1),".","/"))</f>
        <v>44551</v>
      </c>
      <c r="G23" s="39"/>
      <c r="H23" s="39"/>
      <c r="I23" s="39"/>
      <c r="J23" s="39"/>
      <c r="K23" s="39"/>
      <c r="L23" s="39"/>
      <c r="M23" s="39"/>
      <c r="N23" s="39"/>
      <c r="O23" s="39"/>
      <c r="P23" s="39"/>
      <c r="Q23" s="39"/>
      <c r="R23" s="39"/>
      <c r="S23" s="39"/>
      <c r="T23" s="39"/>
      <c r="U23" s="39"/>
      <c r="V23" s="39"/>
      <c r="W23" s="39"/>
      <c r="X23" s="39"/>
      <c r="Y23" s="39"/>
      <c r="Z23" s="39"/>
      <c r="AA23" s="39"/>
    </row>
    <row r="24" spans="1:27" s="14" customFormat="1" ht="15.75" customHeight="1" x14ac:dyDescent="0.3">
      <c r="A24" s="44" t="s">
        <v>188</v>
      </c>
      <c r="B24" s="39">
        <f>COUNTA('in progress'!A:A)-1</f>
        <v>33</v>
      </c>
      <c r="C24" s="39" t="str">
        <f xml:space="preserve"> MID(A24,SEARCH(":",A24)+2,SEARCH(":",A24,SEARCH(":",A24)+1)-SEARCH(":",A24)-3)</f>
        <v>Evereve</v>
      </c>
      <c r="D24" s="39" t="str">
        <f>"partner:"&amp;MID(A24,SEARCH(":",A24)+1,SEARCH(":",A24,SEARCH(":",A24)+1)-SEARCH(":",A24)-1)</f>
        <v xml:space="preserve">partner: Evereve </v>
      </c>
      <c r="E24" s="39" t="s">
        <v>189</v>
      </c>
      <c r="F24" s="40">
        <f>DATEVALUE(SUBSTITUTE(LEFT(Table2[[#This Row],[Notes]],SEARCH(" ",Table2[[#This Row],[Notes]])-1),".","/"))</f>
        <v>44551</v>
      </c>
      <c r="G24" s="39"/>
      <c r="H24" s="39"/>
      <c r="I24" s="39"/>
      <c r="J24" s="39"/>
      <c r="K24" s="39"/>
      <c r="L24" s="39"/>
      <c r="M24" s="39"/>
      <c r="N24" s="39"/>
      <c r="O24" s="39"/>
      <c r="P24" s="39"/>
      <c r="Q24" s="39"/>
      <c r="R24" s="39"/>
      <c r="S24" s="39"/>
      <c r="T24" s="39"/>
      <c r="U24" s="39"/>
      <c r="V24" s="39"/>
      <c r="W24" s="39"/>
      <c r="X24" s="39"/>
      <c r="Y24" s="39"/>
      <c r="Z24" s="39"/>
      <c r="AA24" s="39"/>
    </row>
    <row r="25" spans="1:27" ht="45" x14ac:dyDescent="0.25">
      <c r="A25" s="41" t="s">
        <v>124</v>
      </c>
      <c r="B25" s="41" t="s">
        <v>144</v>
      </c>
      <c r="C25" s="39" t="str">
        <f xml:space="preserve"> MID(A25,SEARCH(":",A25)+2,SEARCH(":",A25,SEARCH(":",A25)+1)-SEARCH(":",A25)-3)</f>
        <v>Akron Generics</v>
      </c>
      <c r="D25" s="41" t="s">
        <v>132</v>
      </c>
      <c r="E25" s="1" t="s">
        <v>177</v>
      </c>
      <c r="F25" s="40">
        <f>DATEVALUE(SUBSTITUTE(LEFT(Table2[[#This Row],[Notes]],SEARCH(" ",Table2[[#This Row],[Notes]])-1),".","/"))</f>
        <v>44551</v>
      </c>
      <c r="G25" s="39" t="s">
        <v>76</v>
      </c>
      <c r="H25" s="39"/>
      <c r="I25" s="39"/>
      <c r="J25" s="39"/>
      <c r="K25" s="39"/>
      <c r="L25" s="39"/>
      <c r="M25" s="39"/>
      <c r="N25" s="39"/>
      <c r="O25" s="39"/>
      <c r="P25" s="39"/>
      <c r="Q25" s="39"/>
      <c r="R25" s="39"/>
      <c r="S25" s="39"/>
      <c r="T25" s="39"/>
      <c r="U25" s="39"/>
      <c r="V25" s="39"/>
      <c r="W25" s="39"/>
      <c r="X25" s="39"/>
      <c r="Y25" s="39"/>
      <c r="Z25" s="39"/>
      <c r="AA25" s="39"/>
    </row>
    <row r="26" spans="1:27" ht="45" x14ac:dyDescent="0.25">
      <c r="A26" s="27" t="s">
        <v>117</v>
      </c>
      <c r="B26" s="15" t="s">
        <v>161</v>
      </c>
      <c r="C26" s="39" t="str">
        <f xml:space="preserve"> MID(A26,SEARCH(":",A26)+2,SEARCH(":",A26,SEARCH(":",A26)+1)-SEARCH(":",A26)-3)</f>
        <v>Schoolisin</v>
      </c>
      <c r="D26" s="15" t="s">
        <v>142</v>
      </c>
      <c r="E26" s="1" t="s">
        <v>197</v>
      </c>
      <c r="F26" s="40">
        <f>DATEVALUE(SUBSTITUTE(LEFT(Table2[[#This Row],[Notes]],SEARCH(" ",Table2[[#This Row],[Notes]])-1),".","/"))</f>
        <v>44553</v>
      </c>
      <c r="G26" s="39" t="s">
        <v>35</v>
      </c>
      <c r="H26" s="39"/>
      <c r="I26" s="39"/>
      <c r="J26" s="39"/>
      <c r="K26" s="39"/>
      <c r="L26" s="39"/>
      <c r="M26" s="39"/>
      <c r="N26" s="39"/>
      <c r="O26" s="39"/>
      <c r="P26" s="39"/>
      <c r="Q26" s="39"/>
      <c r="R26" s="39"/>
      <c r="S26" s="39"/>
      <c r="T26" s="39"/>
      <c r="U26" s="39"/>
      <c r="V26" s="39"/>
      <c r="W26" s="39"/>
      <c r="X26" s="39"/>
      <c r="Y26" s="39"/>
      <c r="Z26" s="39"/>
      <c r="AA26" s="39"/>
    </row>
    <row r="27" spans="1:27" ht="195" x14ac:dyDescent="0.25">
      <c r="A27" s="41" t="s">
        <v>34</v>
      </c>
      <c r="B27" s="15" t="s">
        <v>159</v>
      </c>
      <c r="C27" s="39" t="str">
        <f xml:space="preserve"> MID(A27,SEARCH(":",A27)+2,SEARCH(":",A27,SEARCH(":",A27)+1)-SEARCH(":",A27)-3)</f>
        <v>Pure Country West</v>
      </c>
      <c r="D27" s="15" t="s">
        <v>116</v>
      </c>
      <c r="E27" s="1" t="s">
        <v>196</v>
      </c>
      <c r="F27" s="40">
        <f>DATEVALUE(SUBSTITUTE(LEFT(Table2[[#This Row],[Notes]],SEARCH(" ",Table2[[#This Row],[Notes]])-1),".","/"))</f>
        <v>44553</v>
      </c>
      <c r="G27" s="39" t="s">
        <v>80</v>
      </c>
      <c r="H27" s="39"/>
      <c r="I27" s="39"/>
      <c r="J27" s="39"/>
      <c r="K27" s="39"/>
      <c r="L27" s="39"/>
      <c r="M27" s="39"/>
      <c r="N27" s="39"/>
      <c r="O27" s="39"/>
      <c r="P27" s="39"/>
      <c r="Q27" s="39"/>
      <c r="R27" s="39"/>
      <c r="S27" s="39"/>
      <c r="T27" s="39"/>
      <c r="U27" s="39"/>
      <c r="V27" s="39"/>
      <c r="W27" s="39"/>
      <c r="X27" s="39"/>
      <c r="Y27" s="39"/>
      <c r="Z27" s="39"/>
      <c r="AA27" s="39"/>
    </row>
    <row r="28" spans="1:27" ht="195" x14ac:dyDescent="0.25">
      <c r="A28" s="41" t="s">
        <v>34</v>
      </c>
      <c r="B28" s="15" t="s">
        <v>158</v>
      </c>
      <c r="C28" s="39" t="str">
        <f xml:space="preserve"> MID(A28,SEARCH(":",A28)+2,SEARCH(":",A28,SEARCH(":",A28)+1)-SEARCH(":",A28)-3)</f>
        <v>Pure Country West</v>
      </c>
      <c r="D28" s="15" t="s">
        <v>116</v>
      </c>
      <c r="E28" s="1" t="s">
        <v>196</v>
      </c>
      <c r="F28" s="40">
        <f>DATEVALUE(SUBSTITUTE(LEFT(Table2[[#This Row],[Notes]],SEARCH(" ",Table2[[#This Row],[Notes]])-1),".","/"))</f>
        <v>44553</v>
      </c>
      <c r="G28" s="39"/>
      <c r="H28" s="39"/>
      <c r="I28" s="39"/>
      <c r="J28" s="39"/>
      <c r="K28" s="39"/>
      <c r="L28" s="39"/>
      <c r="M28" s="39"/>
      <c r="N28" s="39"/>
      <c r="O28" s="39"/>
      <c r="P28" s="39"/>
      <c r="Q28" s="39"/>
      <c r="R28" s="39"/>
      <c r="S28" s="39"/>
      <c r="T28" s="39"/>
      <c r="U28" s="39"/>
      <c r="V28" s="39"/>
      <c r="W28" s="39"/>
      <c r="X28" s="39"/>
      <c r="Y28" s="39"/>
      <c r="Z28" s="39"/>
      <c r="AA28" s="39"/>
    </row>
    <row r="29" spans="1:27" ht="30.75" thickBot="1" x14ac:dyDescent="0.3">
      <c r="A29" s="41" t="s">
        <v>129</v>
      </c>
      <c r="B29" s="15" t="s">
        <v>155</v>
      </c>
      <c r="C29" s="39" t="str">
        <f xml:space="preserve"> MID(A29,SEARCH(":",A29)+2,SEARCH(":",A29,SEARCH(":",A29)+1)-SEARCH(":",A29)-3)</f>
        <v>Imperial Data Vendor</v>
      </c>
      <c r="D29" s="15" t="s">
        <v>139</v>
      </c>
      <c r="E29" s="1" t="s">
        <v>202</v>
      </c>
      <c r="F29" s="40">
        <f>DATEVALUE(SUBSTITUTE(LEFT(Table2[[#This Row],[Notes]],SEARCH(" ",Table2[[#This Row],[Notes]])-1),".","/"))</f>
        <v>44557</v>
      </c>
      <c r="G29" s="39" t="s">
        <v>49</v>
      </c>
      <c r="H29" s="39"/>
      <c r="I29" s="39"/>
      <c r="J29" s="39"/>
      <c r="K29" s="39"/>
      <c r="L29" s="39"/>
      <c r="M29" s="39"/>
      <c r="N29" s="39"/>
      <c r="O29" s="39"/>
      <c r="P29" s="39"/>
      <c r="Q29" s="39"/>
      <c r="R29" s="39"/>
      <c r="S29" s="39"/>
      <c r="T29" s="39"/>
      <c r="U29" s="39"/>
      <c r="V29" s="39"/>
      <c r="W29" s="39"/>
      <c r="X29" s="39"/>
      <c r="Y29" s="39"/>
      <c r="Z29" s="39"/>
      <c r="AA29" s="39"/>
    </row>
    <row r="30" spans="1:27" s="7" customFormat="1" ht="15.75" thickBot="1" x14ac:dyDescent="0.3">
      <c r="A30" s="27" t="s">
        <v>127</v>
      </c>
      <c r="B30" s="15" t="s">
        <v>151</v>
      </c>
      <c r="C30" s="39" t="str">
        <f xml:space="preserve"> MID(A30,SEARCH(":",A30)+2,SEARCH(":",A30,SEARCH(":",A30)+1)-SEARCH(":",A30)-3)</f>
        <v>Golden State Medical Supply</v>
      </c>
      <c r="D30" s="15" t="s">
        <v>137</v>
      </c>
      <c r="E30" s="15" t="s">
        <v>201</v>
      </c>
      <c r="F30" s="40">
        <f>DATEVALUE(SUBSTITUTE(LEFT(Table2[[#This Row],[Notes]],SEARCH(" ",Table2[[#This Row],[Notes]])-1),".","/"))</f>
        <v>44557</v>
      </c>
      <c r="G30" s="39" t="s">
        <v>33</v>
      </c>
      <c r="H30" s="39"/>
      <c r="I30" s="39"/>
      <c r="J30" s="39"/>
      <c r="K30" s="39"/>
      <c r="L30" s="39"/>
      <c r="M30" s="39"/>
      <c r="N30" s="39"/>
      <c r="O30" s="39"/>
      <c r="P30" s="39"/>
      <c r="Q30" s="39"/>
      <c r="R30" s="39"/>
      <c r="S30" s="39"/>
      <c r="T30" s="39"/>
      <c r="U30" s="39"/>
      <c r="V30" s="39"/>
      <c r="W30" s="39"/>
      <c r="X30" s="39"/>
      <c r="Y30" s="39"/>
      <c r="Z30" s="39"/>
      <c r="AA30" s="39"/>
    </row>
    <row r="31" spans="1:27" ht="30" x14ac:dyDescent="0.25">
      <c r="A31" s="28" t="s">
        <v>126</v>
      </c>
      <c r="B31" s="15" t="s">
        <v>147</v>
      </c>
      <c r="C31" s="39" t="str">
        <f xml:space="preserve"> MID(A31,SEARCH(":",A31)+2,SEARCH(":",A31,SEARCH(":",A31)+1)-SEARCH(":",A31)-3)</f>
        <v>Dignity Health</v>
      </c>
      <c r="D31" s="15" t="s">
        <v>134</v>
      </c>
      <c r="E31" s="36" t="s">
        <v>199</v>
      </c>
      <c r="F31" s="40">
        <f>DATEVALUE(SUBSTITUTE(LEFT(Table2[[#This Row],[Notes]],SEARCH(" ",Table2[[#This Row],[Notes]])-1),".","/"))</f>
        <v>44557</v>
      </c>
      <c r="G31" s="39"/>
      <c r="H31" s="39"/>
      <c r="I31" s="39"/>
      <c r="J31" s="39"/>
      <c r="K31" s="39"/>
      <c r="L31" s="39"/>
      <c r="M31" s="39"/>
      <c r="N31" s="39"/>
      <c r="O31" s="39"/>
      <c r="P31" s="39"/>
      <c r="Q31" s="39"/>
      <c r="R31" s="39"/>
      <c r="S31" s="39"/>
      <c r="T31" s="39"/>
      <c r="U31" s="39"/>
      <c r="V31" s="39"/>
      <c r="W31" s="39"/>
      <c r="X31" s="39"/>
      <c r="Y31" s="39"/>
      <c r="Z31" s="39"/>
      <c r="AA31" s="39"/>
    </row>
    <row r="32" spans="1:27" ht="30" x14ac:dyDescent="0.25">
      <c r="A32" s="41" t="s">
        <v>131</v>
      </c>
      <c r="B32" s="15" t="s">
        <v>157</v>
      </c>
      <c r="C32" s="39" t="str">
        <f xml:space="preserve"> MID(A32,SEARCH(":",A32)+2,SEARCH(":",A32,SEARCH(":",A32)+1)-SEARCH(":",A32)-3)</f>
        <v>Philips Products</v>
      </c>
      <c r="D32" s="15" t="s">
        <v>141</v>
      </c>
      <c r="E32" s="1" t="s">
        <v>203</v>
      </c>
      <c r="F32" s="40">
        <f>DATEVALUE(SUBSTITUTE(LEFT(Table2[[#This Row],[Notes]],SEARCH(" ",Table2[[#This Row],[Notes]])-1),".","/"))</f>
        <v>44557</v>
      </c>
      <c r="G32" s="39" t="s">
        <v>33</v>
      </c>
      <c r="H32" s="39"/>
      <c r="I32" s="39"/>
      <c r="J32" s="39"/>
      <c r="K32" s="39"/>
      <c r="L32" s="39"/>
      <c r="M32" s="39"/>
      <c r="N32" s="39"/>
      <c r="O32" s="39"/>
      <c r="P32" s="39"/>
      <c r="Q32" s="39"/>
      <c r="R32" s="39"/>
      <c r="S32" s="39"/>
      <c r="T32" s="39"/>
      <c r="U32" s="39"/>
      <c r="V32" s="39"/>
      <c r="W32" s="39"/>
      <c r="X32" s="39"/>
      <c r="Y32" s="39"/>
      <c r="Z32" s="39"/>
      <c r="AA32" s="39"/>
    </row>
    <row r="33" spans="1:27" ht="30" x14ac:dyDescent="0.3">
      <c r="A33" s="42" t="s">
        <v>192</v>
      </c>
      <c r="B33" s="39">
        <f>COUNTA('in progress'!A:A)-1</f>
        <v>33</v>
      </c>
      <c r="C33" s="39" t="str">
        <f xml:space="preserve"> MID(A33,SEARCH(":",A33)+2,SEARCH(":",A33,SEARCH(":",A33)+1)-SEARCH(":",A33)-3)</f>
        <v>Lewis Drug</v>
      </c>
      <c r="D33" s="39" t="str">
        <f>"partner:"&amp;MID(A33,SEARCH(":",A33)+1,SEARCH(":",A33,SEARCH(":",A33)+1)-SEARCH(":",A33)-1)</f>
        <v xml:space="preserve">partner: Lewis Drug </v>
      </c>
      <c r="E33" s="48" t="s">
        <v>198</v>
      </c>
      <c r="F33" s="40">
        <f>DATEVALUE(SUBSTITUTE(LEFT(Table2[[#This Row],[Notes]],SEARCH(" ",Table2[[#This Row],[Notes]])-1),".","/"))</f>
        <v>44557</v>
      </c>
      <c r="G33" s="39"/>
      <c r="H33" s="39"/>
      <c r="I33" s="39"/>
      <c r="J33" s="39"/>
      <c r="K33" s="39"/>
      <c r="L33" s="39"/>
      <c r="M33" s="39"/>
      <c r="N33" s="39"/>
      <c r="O33" s="39"/>
      <c r="P33" s="39"/>
      <c r="Q33" s="39"/>
      <c r="R33" s="39"/>
      <c r="S33" s="39"/>
      <c r="T33" s="39"/>
      <c r="U33" s="39"/>
      <c r="V33" s="39"/>
      <c r="W33" s="39"/>
      <c r="X33" s="39"/>
      <c r="Y33" s="39"/>
      <c r="Z33" s="39"/>
      <c r="AA33" s="39"/>
    </row>
    <row r="34" spans="1:27" ht="30" x14ac:dyDescent="0.3">
      <c r="A34" s="44" t="s">
        <v>178</v>
      </c>
      <c r="B34" s="39">
        <f>COUNTA('in progress'!A:A)-1</f>
        <v>33</v>
      </c>
      <c r="C34" s="39" t="str">
        <f xml:space="preserve"> MID(A34,SEARCH(":",A34)+2,SEARCH(":",A34,SEARCH(":",A34)+1)-SEARCH(":",A34)-3)</f>
        <v>Thrifty White Stores Inc</v>
      </c>
      <c r="D34" s="39" t="str">
        <f>"partner:"&amp;MID(A34,SEARCH(":",A34)+1,SEARCH(":",A34,SEARCH(":",A34)+1)-SEARCH(":",A34)-1)</f>
        <v xml:space="preserve">partner: Thrifty White Stores Inc </v>
      </c>
      <c r="E34" s="48" t="s">
        <v>200</v>
      </c>
      <c r="F34" s="40">
        <f>DATEVALUE(SUBSTITUTE(LEFT(Table2[[#This Row],[Notes]],SEARCH(" ",Table2[[#This Row],[Notes]])-1),".","/"))</f>
        <v>44557</v>
      </c>
      <c r="G34" s="39"/>
      <c r="H34" s="39"/>
      <c r="I34" s="39"/>
      <c r="J34" s="39"/>
      <c r="K34" s="39"/>
      <c r="L34" s="39"/>
      <c r="M34" s="39"/>
      <c r="N34" s="39"/>
      <c r="O34" s="39"/>
      <c r="P34" s="39"/>
      <c r="Q34" s="39"/>
      <c r="R34" s="39"/>
      <c r="S34" s="39"/>
      <c r="T34" s="39"/>
      <c r="U34" s="39"/>
      <c r="V34" s="39"/>
      <c r="W34" s="39"/>
      <c r="X34" s="39"/>
      <c r="Y34" s="39"/>
      <c r="Z34" s="39"/>
      <c r="AA34" s="39"/>
    </row>
    <row r="35" spans="1:27" x14ac:dyDescent="0.25">
      <c r="A35" s="39"/>
      <c r="B35" s="39">
        <f>COUNTA('in progress'!A:A)-1</f>
        <v>33</v>
      </c>
      <c r="C35" s="39" t="e">
        <f xml:space="preserve"> MID(A35,SEARCH(":",A35)+2,SEARCH(":",A35,SEARCH(":",A35)+1)-SEARCH(":",A35)-3)</f>
        <v>#VALUE!</v>
      </c>
      <c r="D35" s="39" t="e">
        <f>"partner:"&amp;MID(A35,SEARCH(":",A35)+1,SEARCH(":",A35,SEARCH(":",A35)+1)-SEARCH(":",A35)-1)</f>
        <v>#VALUE!</v>
      </c>
      <c r="E35" s="39"/>
      <c r="F35" s="40" t="e">
        <f>DATEVALUE(SUBSTITUTE(LEFT(Table2[[#This Row],[Notes]],SEARCH(" ",Table2[[#This Row],[Notes]])-1),".","/"))</f>
        <v>#VALUE!</v>
      </c>
      <c r="G35" s="39"/>
      <c r="H35" s="39"/>
      <c r="I35" s="39"/>
      <c r="J35" s="39"/>
      <c r="K35" s="39"/>
      <c r="L35" s="39"/>
      <c r="M35" s="39"/>
      <c r="N35" s="39"/>
      <c r="O35" s="39"/>
      <c r="P35" s="39"/>
      <c r="Q35" s="39"/>
      <c r="R35" s="39"/>
      <c r="S35" s="39"/>
      <c r="T35" s="39"/>
      <c r="U35" s="39"/>
      <c r="V35" s="39"/>
      <c r="W35" s="39"/>
      <c r="X35" s="39"/>
      <c r="Y35" s="39"/>
      <c r="Z35" s="39"/>
      <c r="AA35" s="39"/>
    </row>
    <row r="36" spans="1:27" x14ac:dyDescent="0.25">
      <c r="A36" s="39"/>
      <c r="B36" s="39">
        <f>COUNTA('in progress'!A:A)-1</f>
        <v>33</v>
      </c>
      <c r="C36" s="39" t="e">
        <f xml:space="preserve"> MID(A36,SEARCH(":",A36)+2,SEARCH(":",A36,SEARCH(":",A36)+1)-SEARCH(":",A36)-3)</f>
        <v>#VALUE!</v>
      </c>
      <c r="D36" s="39" t="e">
        <f>"partner:"&amp;MID(A36,SEARCH(":",A36)+1,SEARCH(":",A36,SEARCH(":",A36)+1)-SEARCH(":",A36)-1)</f>
        <v>#VALUE!</v>
      </c>
      <c r="E36" s="39"/>
      <c r="F36" s="40" t="e">
        <f>DATEVALUE(SUBSTITUTE(LEFT(Table2[[#This Row],[Notes]],SEARCH(" ",Table2[[#This Row],[Notes]])-1),".","/"))</f>
        <v>#VALUE!</v>
      </c>
      <c r="G36" s="39"/>
      <c r="H36" s="39"/>
      <c r="I36" s="39"/>
      <c r="J36" s="39"/>
      <c r="K36" s="39"/>
      <c r="L36" s="39"/>
      <c r="M36" s="39"/>
      <c r="N36" s="39"/>
      <c r="O36" s="39"/>
      <c r="P36" s="39"/>
      <c r="Q36" s="39"/>
      <c r="R36" s="39"/>
      <c r="S36" s="39"/>
      <c r="T36" s="39"/>
      <c r="U36" s="39"/>
      <c r="V36" s="39"/>
      <c r="W36" s="39"/>
      <c r="X36" s="39"/>
      <c r="Y36" s="39"/>
      <c r="Z36" s="39"/>
      <c r="AA36" s="39"/>
    </row>
    <row r="37" spans="1:27" x14ac:dyDescent="0.25">
      <c r="A37" s="39"/>
      <c r="B37" s="39">
        <f>COUNTA('in progress'!A:A)-1</f>
        <v>33</v>
      </c>
      <c r="C37" s="39" t="e">
        <f xml:space="preserve"> MID(A37,SEARCH(":",A37)+2,SEARCH(":",A37,SEARCH(":",A37)+1)-SEARCH(":",A37)-3)</f>
        <v>#VALUE!</v>
      </c>
      <c r="D37" s="39" t="e">
        <f>"partner:"&amp;MID(A37,SEARCH(":",A37)+1,SEARCH(":",A37,SEARCH(":",A37)+1)-SEARCH(":",A37)-1)</f>
        <v>#VALUE!</v>
      </c>
      <c r="E37" s="39"/>
      <c r="F37" s="40" t="e">
        <f>DATEVALUE(SUBSTITUTE(LEFT(Table2[[#This Row],[Notes]],SEARCH(" ",Table2[[#This Row],[Notes]])-1),".","/"))</f>
        <v>#VALUE!</v>
      </c>
      <c r="G37" s="39"/>
      <c r="H37" s="39"/>
      <c r="I37" s="39"/>
      <c r="J37" s="39"/>
      <c r="K37" s="39"/>
      <c r="L37" s="39"/>
      <c r="M37" s="39"/>
      <c r="N37" s="39"/>
      <c r="O37" s="39"/>
      <c r="P37" s="39"/>
      <c r="Q37" s="39"/>
      <c r="R37" s="39"/>
      <c r="S37" s="39"/>
      <c r="T37" s="39"/>
      <c r="U37" s="39"/>
      <c r="V37" s="39"/>
      <c r="W37" s="39"/>
      <c r="X37" s="39"/>
      <c r="Y37" s="39"/>
      <c r="Z37" s="39"/>
      <c r="AA37" s="39"/>
    </row>
    <row r="38" spans="1:27" x14ac:dyDescent="0.25">
      <c r="A38" s="39"/>
      <c r="B38" s="39">
        <f>COUNTA('in progress'!A:A)-1</f>
        <v>33</v>
      </c>
      <c r="C38" s="39" t="e">
        <f xml:space="preserve"> MID(A38,SEARCH(":",A38)+2,SEARCH(":",A38,SEARCH(":",A38)+1)-SEARCH(":",A38)-3)</f>
        <v>#VALUE!</v>
      </c>
      <c r="D38" s="39" t="e">
        <f>"partner:"&amp;MID(A38,SEARCH(":",A38)+1,SEARCH(":",A38,SEARCH(":",A38)+1)-SEARCH(":",A38)-1)</f>
        <v>#VALUE!</v>
      </c>
      <c r="E38" s="39"/>
      <c r="F38" s="40" t="e">
        <f>DATEVALUE(SUBSTITUTE(LEFT(Table2[[#This Row],[Notes]],SEARCH(" ",Table2[[#This Row],[Notes]])-1),".","/"))</f>
        <v>#VALUE!</v>
      </c>
      <c r="G38" s="39"/>
      <c r="H38" s="39"/>
      <c r="I38" s="39"/>
      <c r="J38" s="39"/>
      <c r="K38" s="39"/>
      <c r="L38" s="39"/>
      <c r="M38" s="39"/>
      <c r="N38" s="39"/>
      <c r="O38" s="39"/>
      <c r="P38" s="39"/>
      <c r="Q38" s="39"/>
      <c r="R38" s="39"/>
      <c r="S38" s="39"/>
      <c r="T38" s="39"/>
      <c r="U38" s="39"/>
      <c r="V38" s="39"/>
      <c r="W38" s="39"/>
      <c r="X38" s="39"/>
      <c r="Y38" s="39"/>
      <c r="Z38" s="39"/>
      <c r="AA38" s="39"/>
    </row>
    <row r="39" spans="1:27" x14ac:dyDescent="0.25">
      <c r="A39" s="39"/>
      <c r="B39" s="39">
        <f>COUNTA('in progress'!A:A)-1</f>
        <v>33</v>
      </c>
      <c r="C39" s="39" t="e">
        <f xml:space="preserve"> MID(A39,SEARCH(":",A39)+2,SEARCH(":",A39,SEARCH(":",A39)+1)-SEARCH(":",A39)-3)</f>
        <v>#VALUE!</v>
      </c>
      <c r="D39" s="39" t="e">
        <f>"partner:"&amp;MID(A39,SEARCH(":",A39)+1,SEARCH(":",A39,SEARCH(":",A39)+1)-SEARCH(":",A39)-1)</f>
        <v>#VALUE!</v>
      </c>
      <c r="E39" s="39"/>
      <c r="F39" s="40" t="e">
        <f>DATEVALUE(SUBSTITUTE(LEFT(Table2[[#This Row],[Notes]],SEARCH(" ",Table2[[#This Row],[Notes]])-1),".","/"))</f>
        <v>#VALUE!</v>
      </c>
      <c r="G39" s="39"/>
      <c r="H39" s="39"/>
      <c r="I39" s="39"/>
      <c r="J39" s="39"/>
      <c r="K39" s="39"/>
      <c r="L39" s="39"/>
      <c r="M39" s="39"/>
      <c r="N39" s="39"/>
      <c r="O39" s="39"/>
      <c r="P39" s="39"/>
      <c r="Q39" s="39"/>
      <c r="R39" s="39"/>
      <c r="S39" s="39"/>
      <c r="T39" s="39"/>
      <c r="U39" s="39"/>
      <c r="V39" s="39"/>
      <c r="W39" s="39"/>
      <c r="X39" s="39"/>
      <c r="Y39" s="39"/>
      <c r="Z39" s="39"/>
      <c r="AA39" s="39"/>
    </row>
    <row r="40" spans="1:27" x14ac:dyDescent="0.25">
      <c r="A40" s="39"/>
      <c r="B40" s="39">
        <f>COUNTA('in progress'!A:A)-1</f>
        <v>33</v>
      </c>
      <c r="C40" s="39" t="e">
        <f xml:space="preserve"> MID(A40,SEARCH(":",A40)+2,SEARCH(":",A40,SEARCH(":",A40)+1)-SEARCH(":",A40)-3)</f>
        <v>#VALUE!</v>
      </c>
      <c r="D40" s="39" t="e">
        <f>"partner:"&amp;MID(A40,SEARCH(":",A40)+1,SEARCH(":",A40,SEARCH(":",A40)+1)-SEARCH(":",A40)-1)</f>
        <v>#VALUE!</v>
      </c>
      <c r="E40" s="39"/>
      <c r="F40" s="40" t="e">
        <f>DATEVALUE(SUBSTITUTE(LEFT(Table2[[#This Row],[Notes]],SEARCH(" ",Table2[[#This Row],[Notes]])-1),".","/"))</f>
        <v>#VALUE!</v>
      </c>
      <c r="G40" s="39"/>
      <c r="H40" s="39"/>
      <c r="I40" s="39"/>
      <c r="J40" s="39"/>
      <c r="K40" s="39"/>
      <c r="L40" s="39"/>
      <c r="M40" s="39"/>
      <c r="N40" s="39"/>
      <c r="O40" s="39"/>
      <c r="P40" s="39"/>
      <c r="Q40" s="39"/>
      <c r="R40" s="39"/>
      <c r="S40" s="39"/>
      <c r="T40" s="39"/>
      <c r="U40" s="39"/>
      <c r="V40" s="39"/>
      <c r="W40" s="39"/>
      <c r="X40" s="39"/>
      <c r="Y40" s="39"/>
      <c r="Z40" s="39"/>
      <c r="AA40" s="39"/>
    </row>
    <row r="41" spans="1:27" x14ac:dyDescent="0.25">
      <c r="A41" s="39"/>
      <c r="B41" s="39">
        <f>COUNTA('in progress'!A:A)-1</f>
        <v>33</v>
      </c>
      <c r="C41" s="39" t="e">
        <f xml:space="preserve"> MID(A41,SEARCH(":",A41)+2,SEARCH(":",A41,SEARCH(":",A41)+1)-SEARCH(":",A41)-3)</f>
        <v>#VALUE!</v>
      </c>
      <c r="D41" s="39" t="e">
        <f>"partner:"&amp;MID(A41,SEARCH(":",A41)+1,SEARCH(":",A41,SEARCH(":",A41)+1)-SEARCH(":",A41)-1)</f>
        <v>#VALUE!</v>
      </c>
      <c r="E41" s="39"/>
      <c r="F41" s="40" t="e">
        <f>DATEVALUE(SUBSTITUTE(LEFT(Table2[[#This Row],[Notes]],SEARCH(" ",Table2[[#This Row],[Notes]])-1),".","/"))</f>
        <v>#VALUE!</v>
      </c>
      <c r="G41" s="39"/>
      <c r="H41" s="39"/>
      <c r="I41" s="39"/>
      <c r="J41" s="39"/>
      <c r="K41" s="39"/>
      <c r="L41" s="39"/>
      <c r="M41" s="39"/>
      <c r="N41" s="39"/>
      <c r="O41" s="39"/>
      <c r="P41" s="39"/>
      <c r="Q41" s="39"/>
      <c r="R41" s="39"/>
      <c r="S41" s="39"/>
      <c r="T41" s="39"/>
      <c r="U41" s="39"/>
      <c r="V41" s="39"/>
      <c r="W41" s="39"/>
      <c r="X41" s="39"/>
      <c r="Y41" s="39"/>
      <c r="Z41" s="39"/>
      <c r="AA41" s="39"/>
    </row>
    <row r="42" spans="1:27" x14ac:dyDescent="0.25">
      <c r="A42" s="39"/>
      <c r="B42" s="39">
        <f>COUNTA('in progress'!A:A)-1</f>
        <v>33</v>
      </c>
      <c r="C42" s="39" t="e">
        <f xml:space="preserve"> MID(A42,SEARCH(":",A42)+2,SEARCH(":",A42,SEARCH(":",A42)+1)-SEARCH(":",A42)-3)</f>
        <v>#VALUE!</v>
      </c>
      <c r="D42" s="39" t="e">
        <f>"partner:"&amp;MID(A42,SEARCH(":",A42)+1,SEARCH(":",A42,SEARCH(":",A42)+1)-SEARCH(":",A42)-1)</f>
        <v>#VALUE!</v>
      </c>
      <c r="E42" s="39"/>
      <c r="F42" s="40" t="e">
        <f>DATEVALUE(SUBSTITUTE(LEFT(Table2[[#This Row],[Notes]],SEARCH(" ",Table2[[#This Row],[Notes]])-1),".","/"))</f>
        <v>#VALUE!</v>
      </c>
      <c r="G42" s="39"/>
      <c r="H42" s="39"/>
      <c r="I42" s="39"/>
      <c r="J42" s="39"/>
      <c r="K42" s="39"/>
      <c r="L42" s="39"/>
      <c r="M42" s="39"/>
      <c r="N42" s="39"/>
      <c r="O42" s="39"/>
      <c r="P42" s="39"/>
      <c r="Q42" s="39"/>
      <c r="R42" s="39"/>
      <c r="S42" s="39"/>
      <c r="T42" s="39"/>
      <c r="U42" s="39"/>
      <c r="V42" s="39"/>
      <c r="W42" s="39"/>
      <c r="X42" s="39"/>
      <c r="Y42" s="39"/>
      <c r="Z42" s="39"/>
      <c r="AA42" s="39"/>
    </row>
    <row r="43" spans="1:27" x14ac:dyDescent="0.25">
      <c r="A43" s="39"/>
      <c r="B43" s="39">
        <f>COUNTA('in progress'!A:A)-1</f>
        <v>33</v>
      </c>
      <c r="C43" s="39" t="e">
        <f xml:space="preserve"> MID(A43,SEARCH(":",A43)+2,SEARCH(":",A43,SEARCH(":",A43)+1)-SEARCH(":",A43)-3)</f>
        <v>#VALUE!</v>
      </c>
      <c r="D43" s="39" t="e">
        <f>"partner:"&amp;MID(A43,SEARCH(":",A43)+1,SEARCH(":",A43,SEARCH(":",A43)+1)-SEARCH(":",A43)-1)</f>
        <v>#VALUE!</v>
      </c>
      <c r="E43" s="39"/>
      <c r="F43" s="40" t="e">
        <f>DATEVALUE(SUBSTITUTE(LEFT(Table2[[#This Row],[Notes]],SEARCH(" ",Table2[[#This Row],[Notes]])-1),".","/"))</f>
        <v>#VALUE!</v>
      </c>
      <c r="G43" s="39"/>
      <c r="H43" s="39"/>
      <c r="I43" s="39"/>
      <c r="J43" s="39"/>
      <c r="K43" s="39"/>
      <c r="L43" s="39"/>
      <c r="M43" s="39"/>
      <c r="N43" s="39"/>
      <c r="O43" s="39"/>
      <c r="P43" s="39"/>
      <c r="Q43" s="39"/>
      <c r="R43" s="39"/>
      <c r="S43" s="39"/>
      <c r="T43" s="39"/>
      <c r="U43" s="39"/>
      <c r="V43" s="39"/>
      <c r="W43" s="39"/>
      <c r="X43" s="39"/>
      <c r="Y43" s="39"/>
      <c r="Z43" s="39"/>
      <c r="AA43" s="39"/>
    </row>
    <row r="44" spans="1:27" x14ac:dyDescent="0.25">
      <c r="A44" s="39"/>
      <c r="B44" s="39">
        <f>COUNTA('in progress'!A:A)-1</f>
        <v>33</v>
      </c>
      <c r="C44" s="39" t="e">
        <f xml:space="preserve"> MID(A44,SEARCH(":",A44)+2,SEARCH(":",A44,SEARCH(":",A44)+1)-SEARCH(":",A44)-3)</f>
        <v>#VALUE!</v>
      </c>
      <c r="D44" s="39" t="e">
        <f>"partner:"&amp;MID(A44,SEARCH(":",A44)+1,SEARCH(":",A44,SEARCH(":",A44)+1)-SEARCH(":",A44)-1)</f>
        <v>#VALUE!</v>
      </c>
      <c r="E44" s="39"/>
      <c r="F44" s="40" t="e">
        <f>DATEVALUE(SUBSTITUTE(LEFT(Table2[[#This Row],[Notes]],SEARCH(" ",Table2[[#This Row],[Notes]])-1),".","/"))</f>
        <v>#VALUE!</v>
      </c>
      <c r="G44" s="39"/>
      <c r="H44" s="39"/>
      <c r="I44" s="39"/>
      <c r="J44" s="39"/>
      <c r="K44" s="39"/>
      <c r="L44" s="39"/>
      <c r="M44" s="39"/>
      <c r="N44" s="39"/>
      <c r="O44" s="39"/>
      <c r="P44" s="39"/>
      <c r="Q44" s="39"/>
      <c r="R44" s="39"/>
      <c r="S44" s="39"/>
      <c r="T44" s="39"/>
      <c r="U44" s="39"/>
      <c r="V44" s="39"/>
      <c r="W44" s="39"/>
      <c r="X44" s="39"/>
      <c r="Y44" s="39"/>
      <c r="Z44" s="39"/>
      <c r="AA44" s="39"/>
    </row>
    <row r="45" spans="1:27" x14ac:dyDescent="0.25">
      <c r="A45" s="39"/>
      <c r="B45" s="39">
        <f>COUNTA('in progress'!A:A)-1</f>
        <v>33</v>
      </c>
      <c r="C45" s="39" t="e">
        <f xml:space="preserve"> MID(A45,SEARCH(":",A45)+2,SEARCH(":",A45,SEARCH(":",A45)+1)-SEARCH(":",A45)-3)</f>
        <v>#VALUE!</v>
      </c>
      <c r="D45" s="39" t="e">
        <f>"partner:"&amp;MID(A45,SEARCH(":",A45)+1,SEARCH(":",A45,SEARCH(":",A45)+1)-SEARCH(":",A45)-1)</f>
        <v>#VALUE!</v>
      </c>
      <c r="E45" s="39"/>
      <c r="F45" s="40" t="e">
        <f>DATEVALUE(SUBSTITUTE(LEFT(Table2[[#This Row],[Notes]],SEARCH(" ",Table2[[#This Row],[Notes]])-1),".","/"))</f>
        <v>#VALUE!</v>
      </c>
      <c r="G45" s="39"/>
      <c r="H45" s="39"/>
      <c r="I45" s="39"/>
      <c r="J45" s="39"/>
      <c r="K45" s="39"/>
      <c r="L45" s="39"/>
      <c r="M45" s="39"/>
      <c r="N45" s="39"/>
      <c r="O45" s="39"/>
      <c r="P45" s="39"/>
      <c r="Q45" s="39"/>
      <c r="R45" s="39"/>
      <c r="S45" s="39"/>
      <c r="T45" s="39"/>
      <c r="U45" s="39"/>
      <c r="V45" s="39"/>
      <c r="W45" s="39"/>
      <c r="X45" s="39"/>
      <c r="Y45" s="39"/>
      <c r="Z45" s="39"/>
      <c r="AA45" s="39"/>
    </row>
    <row r="46" spans="1:27" x14ac:dyDescent="0.25">
      <c r="A46" s="39"/>
      <c r="B46" s="39">
        <f>COUNTA('in progress'!A:A)-1</f>
        <v>33</v>
      </c>
      <c r="C46" s="39" t="e">
        <f xml:space="preserve"> MID(A46,SEARCH(":",A46)+2,SEARCH(":",A46,SEARCH(":",A46)+1)-SEARCH(":",A46)-3)</f>
        <v>#VALUE!</v>
      </c>
      <c r="D46" s="39" t="e">
        <f>"partner:"&amp;MID(A46,SEARCH(":",A46)+1,SEARCH(":",A46,SEARCH(":",A46)+1)-SEARCH(":",A46)-1)</f>
        <v>#VALUE!</v>
      </c>
      <c r="E46" s="39"/>
      <c r="F46" s="40" t="e">
        <f>DATEVALUE(SUBSTITUTE(LEFT(Table2[[#This Row],[Notes]],SEARCH(" ",Table2[[#This Row],[Notes]])-1),".","/"))</f>
        <v>#VALUE!</v>
      </c>
      <c r="G46" s="39"/>
      <c r="H46" s="39"/>
      <c r="I46" s="39"/>
      <c r="J46" s="39"/>
      <c r="K46" s="39"/>
      <c r="L46" s="39"/>
      <c r="M46" s="39"/>
      <c r="N46" s="39"/>
      <c r="O46" s="39"/>
      <c r="P46" s="39"/>
      <c r="Q46" s="39"/>
      <c r="R46" s="39"/>
      <c r="S46" s="39"/>
      <c r="T46" s="39"/>
      <c r="U46" s="39"/>
      <c r="V46" s="39"/>
      <c r="W46" s="39"/>
      <c r="X46" s="39"/>
      <c r="Y46" s="39"/>
      <c r="Z46" s="39"/>
      <c r="AA46" s="39"/>
    </row>
    <row r="47" spans="1:27" x14ac:dyDescent="0.25">
      <c r="A47" s="39"/>
      <c r="B47" s="39">
        <f>COUNTA('in progress'!A:A)-1</f>
        <v>33</v>
      </c>
      <c r="C47" s="39" t="e">
        <f xml:space="preserve"> MID(A47,SEARCH(":",A47)+2,SEARCH(":",A47,SEARCH(":",A47)+1)-SEARCH(":",A47)-3)</f>
        <v>#VALUE!</v>
      </c>
      <c r="D47" s="39" t="e">
        <f>"partner:"&amp;MID(A47,SEARCH(":",A47)+1,SEARCH(":",A47,SEARCH(":",A47)+1)-SEARCH(":",A47)-1)</f>
        <v>#VALUE!</v>
      </c>
      <c r="E47" s="39"/>
      <c r="F47" s="40" t="e">
        <f>DATEVALUE(SUBSTITUTE(LEFT(Table2[[#This Row],[Notes]],SEARCH(" ",Table2[[#This Row],[Notes]])-1),".","/"))</f>
        <v>#VALUE!</v>
      </c>
      <c r="G47" s="39"/>
      <c r="H47" s="39"/>
      <c r="I47" s="39"/>
      <c r="J47" s="39"/>
      <c r="K47" s="39"/>
      <c r="L47" s="39"/>
      <c r="M47" s="39"/>
      <c r="N47" s="39"/>
      <c r="O47" s="39"/>
      <c r="P47" s="39"/>
      <c r="Q47" s="39"/>
      <c r="R47" s="39"/>
      <c r="S47" s="39"/>
      <c r="T47" s="39"/>
      <c r="U47" s="39"/>
      <c r="V47" s="39"/>
      <c r="W47" s="39"/>
      <c r="X47" s="39"/>
      <c r="Y47" s="39"/>
      <c r="Z47" s="39"/>
      <c r="AA47" s="39"/>
    </row>
    <row r="48" spans="1:27" x14ac:dyDescent="0.25">
      <c r="A48" s="39"/>
      <c r="B48" s="39">
        <f>COUNTA('in progress'!A:A)-1</f>
        <v>33</v>
      </c>
      <c r="C48" s="39" t="e">
        <f xml:space="preserve"> MID(A48,SEARCH(":",A48)+2,SEARCH(":",A48,SEARCH(":",A48)+1)-SEARCH(":",A48)-3)</f>
        <v>#VALUE!</v>
      </c>
      <c r="D48" s="39" t="e">
        <f>"partner:"&amp;MID(A48,SEARCH(":",A48)+1,SEARCH(":",A48,SEARCH(":",A48)+1)-SEARCH(":",A48)-1)</f>
        <v>#VALUE!</v>
      </c>
      <c r="E48" s="39"/>
      <c r="F48" s="40" t="e">
        <f>DATEVALUE(SUBSTITUTE(LEFT(Table2[[#This Row],[Notes]],SEARCH(" ",Table2[[#This Row],[Notes]])-1),".","/"))</f>
        <v>#VALUE!</v>
      </c>
      <c r="G48" s="39"/>
      <c r="H48" s="39"/>
      <c r="I48" s="39"/>
      <c r="J48" s="39"/>
      <c r="K48" s="39"/>
      <c r="L48" s="39"/>
      <c r="M48" s="39"/>
      <c r="N48" s="39"/>
      <c r="O48" s="39"/>
      <c r="P48" s="39"/>
      <c r="Q48" s="39"/>
      <c r="R48" s="39"/>
      <c r="S48" s="39"/>
      <c r="T48" s="39"/>
      <c r="U48" s="39"/>
      <c r="V48" s="39"/>
      <c r="W48" s="39"/>
      <c r="X48" s="39"/>
      <c r="Y48" s="39"/>
      <c r="Z48" s="39"/>
      <c r="AA48" s="39"/>
    </row>
    <row r="49" spans="1:27" x14ac:dyDescent="0.25">
      <c r="A49" s="39"/>
      <c r="B49" s="39">
        <f>COUNTA('in progress'!A:A)-1</f>
        <v>33</v>
      </c>
      <c r="C49" s="39" t="e">
        <f xml:space="preserve"> MID(A49,SEARCH(":",A49)+2,SEARCH(":",A49,SEARCH(":",A49)+1)-SEARCH(":",A49)-3)</f>
        <v>#VALUE!</v>
      </c>
      <c r="D49" s="39" t="e">
        <f>"partner:"&amp;MID(A49,SEARCH(":",A49)+1,SEARCH(":",A49,SEARCH(":",A49)+1)-SEARCH(":",A49)-1)</f>
        <v>#VALUE!</v>
      </c>
      <c r="E49" s="39"/>
      <c r="F49" s="40" t="e">
        <f>DATEVALUE(SUBSTITUTE(LEFT(Table2[[#This Row],[Notes]],SEARCH(" ",Table2[[#This Row],[Notes]])-1),".","/"))</f>
        <v>#VALUE!</v>
      </c>
      <c r="G49" s="39"/>
      <c r="H49" s="39"/>
      <c r="I49" s="39"/>
      <c r="J49" s="39"/>
      <c r="K49" s="39"/>
      <c r="L49" s="39"/>
      <c r="M49" s="39"/>
      <c r="N49" s="39"/>
      <c r="O49" s="39"/>
      <c r="P49" s="39"/>
      <c r="Q49" s="39"/>
      <c r="R49" s="39"/>
      <c r="S49" s="39"/>
      <c r="T49" s="39"/>
      <c r="U49" s="39"/>
      <c r="V49" s="39"/>
      <c r="W49" s="39"/>
      <c r="X49" s="39"/>
      <c r="Y49" s="39"/>
      <c r="Z49" s="39"/>
      <c r="AA49" s="39"/>
    </row>
    <row r="50" spans="1:27" x14ac:dyDescent="0.25">
      <c r="A50" s="39"/>
      <c r="B50" s="39">
        <f>COUNTA('in progress'!A:A)-1</f>
        <v>33</v>
      </c>
      <c r="C50" s="39" t="e">
        <f xml:space="preserve"> MID(A50,SEARCH(":",A50)+2,SEARCH(":",A50,SEARCH(":",A50)+1)-SEARCH(":",A50)-3)</f>
        <v>#VALUE!</v>
      </c>
      <c r="D50" s="39" t="e">
        <f>"partner:"&amp;MID(A50,SEARCH(":",A50)+1,SEARCH(":",A50,SEARCH(":",A50)+1)-SEARCH(":",A50)-1)</f>
        <v>#VALUE!</v>
      </c>
      <c r="E50" s="39"/>
      <c r="F50" s="40" t="e">
        <f>DATEVALUE(SUBSTITUTE(LEFT(Table2[[#This Row],[Notes]],SEARCH(" ",Table2[[#This Row],[Notes]])-1),".","/"))</f>
        <v>#VALUE!</v>
      </c>
      <c r="G50" s="39"/>
      <c r="H50" s="39"/>
      <c r="I50" s="39"/>
      <c r="J50" s="39"/>
      <c r="K50" s="39"/>
      <c r="L50" s="39"/>
      <c r="M50" s="39"/>
      <c r="N50" s="39"/>
      <c r="O50" s="39"/>
      <c r="P50" s="39"/>
      <c r="Q50" s="39"/>
      <c r="R50" s="39"/>
      <c r="S50" s="39"/>
      <c r="T50" s="39"/>
      <c r="U50" s="39"/>
      <c r="V50" s="39"/>
      <c r="W50" s="39"/>
      <c r="X50" s="39"/>
      <c r="Y50" s="39"/>
      <c r="Z50" s="39"/>
      <c r="AA50" s="39"/>
    </row>
    <row r="51" spans="1:27" x14ac:dyDescent="0.25">
      <c r="A51" s="39"/>
      <c r="B51" s="39">
        <f>COUNTA('in progress'!A:A)-1</f>
        <v>33</v>
      </c>
      <c r="C51" s="39" t="e">
        <f xml:space="preserve"> MID(A51,SEARCH(":",A51)+2,SEARCH(":",A51,SEARCH(":",A51)+1)-SEARCH(":",A51)-3)</f>
        <v>#VALUE!</v>
      </c>
      <c r="D51" s="39" t="e">
        <f>"partner:"&amp;MID(A51,SEARCH(":",A51)+1,SEARCH(":",A51,SEARCH(":",A51)+1)-SEARCH(":",A51)-1)</f>
        <v>#VALUE!</v>
      </c>
      <c r="E51" s="39"/>
      <c r="F51" s="40" t="e">
        <f>DATEVALUE(SUBSTITUTE(LEFT(Table2[[#This Row],[Notes]],SEARCH(" ",Table2[[#This Row],[Notes]])-1),".","/"))</f>
        <v>#VALUE!</v>
      </c>
      <c r="G51" s="39"/>
      <c r="H51" s="39"/>
      <c r="I51" s="39"/>
      <c r="J51" s="39"/>
      <c r="K51" s="39"/>
      <c r="L51" s="39"/>
      <c r="M51" s="39"/>
      <c r="N51" s="39"/>
      <c r="O51" s="39"/>
      <c r="P51" s="39"/>
      <c r="Q51" s="39"/>
      <c r="R51" s="39"/>
      <c r="S51" s="39"/>
      <c r="T51" s="39"/>
      <c r="U51" s="39"/>
      <c r="V51" s="39"/>
      <c r="W51" s="39"/>
      <c r="X51" s="39"/>
      <c r="Y51" s="39"/>
      <c r="Z51" s="39"/>
      <c r="AA51" s="39"/>
    </row>
    <row r="52" spans="1:27" x14ac:dyDescent="0.25">
      <c r="A52" s="39"/>
      <c r="B52" s="39">
        <f>COUNTA('in progress'!A:A)-1</f>
        <v>33</v>
      </c>
      <c r="C52" s="39" t="e">
        <f xml:space="preserve"> MID(A52,SEARCH(":",A52)+2,SEARCH(":",A52,SEARCH(":",A52)+1)-SEARCH(":",A52)-3)</f>
        <v>#VALUE!</v>
      </c>
      <c r="D52" s="39" t="e">
        <f>"partner:"&amp;MID(A52,SEARCH(":",A52)+1,SEARCH(":",A52,SEARCH(":",A52)+1)-SEARCH(":",A52)-1)</f>
        <v>#VALUE!</v>
      </c>
      <c r="E52" s="39"/>
      <c r="F52" s="40" t="e">
        <f>DATEVALUE(SUBSTITUTE(LEFT(Table2[[#This Row],[Notes]],SEARCH(" ",Table2[[#This Row],[Notes]])-1),".","/"))</f>
        <v>#VALUE!</v>
      </c>
      <c r="G52" s="39"/>
      <c r="H52" s="39"/>
      <c r="I52" s="39"/>
      <c r="J52" s="39"/>
      <c r="K52" s="39"/>
      <c r="L52" s="39"/>
      <c r="M52" s="39"/>
      <c r="N52" s="39"/>
      <c r="O52" s="39"/>
      <c r="P52" s="39"/>
      <c r="Q52" s="39"/>
      <c r="R52" s="39"/>
      <c r="S52" s="39"/>
      <c r="T52" s="39"/>
      <c r="U52" s="39"/>
      <c r="V52" s="39"/>
      <c r="W52" s="39"/>
      <c r="X52" s="39"/>
      <c r="Y52" s="39"/>
      <c r="Z52" s="39"/>
      <c r="AA52" s="39"/>
    </row>
    <row r="53" spans="1:27" x14ac:dyDescent="0.25">
      <c r="A53" s="39"/>
      <c r="B53" s="39">
        <f>COUNTA('in progress'!A:A)-1</f>
        <v>33</v>
      </c>
      <c r="C53" s="39" t="e">
        <f xml:space="preserve"> MID(A53,SEARCH(":",A53)+2,SEARCH(":",A53,SEARCH(":",A53)+1)-SEARCH(":",A53)-3)</f>
        <v>#VALUE!</v>
      </c>
      <c r="D53" s="39" t="e">
        <f>"partner:"&amp;MID(A53,SEARCH(":",A53)+1,SEARCH(":",A53,SEARCH(":",A53)+1)-SEARCH(":",A53)-1)</f>
        <v>#VALUE!</v>
      </c>
      <c r="E53" s="39"/>
      <c r="F53" s="40" t="e">
        <f>DATEVALUE(SUBSTITUTE(LEFT(Table2[[#This Row],[Notes]],SEARCH(" ",Table2[[#This Row],[Notes]])-1),".","/"))</f>
        <v>#VALUE!</v>
      </c>
      <c r="G53" s="39"/>
      <c r="H53" s="39"/>
      <c r="I53" s="39"/>
      <c r="J53" s="39"/>
      <c r="K53" s="39"/>
      <c r="L53" s="39"/>
      <c r="M53" s="39"/>
      <c r="N53" s="39"/>
      <c r="O53" s="39"/>
      <c r="P53" s="39"/>
      <c r="Q53" s="39"/>
      <c r="R53" s="39"/>
      <c r="S53" s="39"/>
      <c r="T53" s="39"/>
      <c r="U53" s="39"/>
      <c r="V53" s="39"/>
      <c r="W53" s="39"/>
      <c r="X53" s="39"/>
      <c r="Y53" s="39"/>
      <c r="Z53" s="39"/>
      <c r="AA53" s="39"/>
    </row>
    <row r="54" spans="1:27" x14ac:dyDescent="0.25">
      <c r="A54" s="39"/>
      <c r="B54" s="39">
        <f>COUNTA('in progress'!A:A)-1</f>
        <v>33</v>
      </c>
      <c r="C54" s="39" t="e">
        <f xml:space="preserve"> MID(A54,SEARCH(":",A54)+2,SEARCH(":",A54,SEARCH(":",A54)+1)-SEARCH(":",A54)-3)</f>
        <v>#VALUE!</v>
      </c>
      <c r="D54" s="39" t="e">
        <f>"partner:"&amp;MID(A54,SEARCH(":",A54)+1,SEARCH(":",A54,SEARCH(":",A54)+1)-SEARCH(":",A54)-1)</f>
        <v>#VALUE!</v>
      </c>
      <c r="E54" s="39"/>
      <c r="F54" s="40" t="e">
        <f>DATEVALUE(SUBSTITUTE(LEFT(Table2[[#This Row],[Notes]],SEARCH(" ",Table2[[#This Row],[Notes]])-1),".","/"))</f>
        <v>#VALUE!</v>
      </c>
      <c r="G54" s="39"/>
      <c r="H54" s="39"/>
      <c r="I54" s="39"/>
      <c r="J54" s="39"/>
      <c r="K54" s="39"/>
      <c r="L54" s="39"/>
      <c r="M54" s="39"/>
      <c r="N54" s="39"/>
      <c r="O54" s="39"/>
      <c r="P54" s="39"/>
      <c r="Q54" s="39"/>
      <c r="R54" s="39"/>
      <c r="S54" s="39"/>
      <c r="T54" s="39"/>
      <c r="U54" s="39"/>
      <c r="V54" s="39"/>
      <c r="W54" s="39"/>
      <c r="X54" s="39"/>
      <c r="Y54" s="39"/>
      <c r="Z54" s="39"/>
      <c r="AA54" s="39"/>
    </row>
    <row r="55" spans="1:27" x14ac:dyDescent="0.25">
      <c r="A55" s="39"/>
      <c r="B55" s="39">
        <f>COUNTA('in progress'!A:A)-1</f>
        <v>33</v>
      </c>
      <c r="C55" s="39" t="e">
        <f xml:space="preserve"> MID(A55,SEARCH(":",A55)+2,SEARCH(":",A55,SEARCH(":",A55)+1)-SEARCH(":",A55)-3)</f>
        <v>#VALUE!</v>
      </c>
      <c r="D55" s="39" t="e">
        <f>"partner:"&amp;MID(A55,SEARCH(":",A55)+1,SEARCH(":",A55,SEARCH(":",A55)+1)-SEARCH(":",A55)-1)</f>
        <v>#VALUE!</v>
      </c>
      <c r="E55" s="39"/>
      <c r="F55" s="40" t="e">
        <f>DATEVALUE(SUBSTITUTE(LEFT(Table2[[#This Row],[Notes]],SEARCH(" ",Table2[[#This Row],[Notes]])-1),".","/"))</f>
        <v>#VALUE!</v>
      </c>
      <c r="G55" s="39"/>
      <c r="H55" s="39"/>
      <c r="I55" s="39"/>
      <c r="J55" s="39"/>
      <c r="K55" s="39"/>
      <c r="L55" s="39"/>
      <c r="M55" s="39"/>
      <c r="N55" s="39"/>
      <c r="O55" s="39"/>
      <c r="P55" s="39"/>
      <c r="Q55" s="39"/>
      <c r="R55" s="39"/>
      <c r="S55" s="39"/>
      <c r="T55" s="39"/>
      <c r="U55" s="39"/>
      <c r="V55" s="39"/>
      <c r="W55" s="39"/>
      <c r="X55" s="39"/>
      <c r="Y55" s="39"/>
      <c r="Z55" s="39"/>
      <c r="AA55" s="39"/>
    </row>
    <row r="56" spans="1:27" x14ac:dyDescent="0.25">
      <c r="A56" s="39"/>
      <c r="B56" s="39">
        <f>COUNTA('in progress'!A:A)-1</f>
        <v>33</v>
      </c>
      <c r="C56" s="39" t="e">
        <f xml:space="preserve"> MID(A56,SEARCH(":",A56)+2,SEARCH(":",A56,SEARCH(":",A56)+1)-SEARCH(":",A56)-3)</f>
        <v>#VALUE!</v>
      </c>
      <c r="D56" s="39" t="e">
        <f>"partner:"&amp;MID(A56,SEARCH(":",A56)+1,SEARCH(":",A56,SEARCH(":",A56)+1)-SEARCH(":",A56)-1)</f>
        <v>#VALUE!</v>
      </c>
      <c r="E56" s="39"/>
      <c r="F56" s="40" t="e">
        <f>DATEVALUE(SUBSTITUTE(LEFT(Table2[[#This Row],[Notes]],SEARCH(" ",Table2[[#This Row],[Notes]])-1),".","/"))</f>
        <v>#VALUE!</v>
      </c>
      <c r="G56" s="39"/>
      <c r="H56" s="39"/>
      <c r="I56" s="39"/>
      <c r="J56" s="39"/>
      <c r="K56" s="39"/>
      <c r="L56" s="39"/>
      <c r="M56" s="39"/>
      <c r="N56" s="39"/>
      <c r="O56" s="39"/>
      <c r="P56" s="39"/>
      <c r="Q56" s="39"/>
      <c r="R56" s="39"/>
      <c r="S56" s="39"/>
      <c r="T56" s="39"/>
      <c r="U56" s="39"/>
      <c r="V56" s="39"/>
      <c r="W56" s="39"/>
      <c r="X56" s="39"/>
      <c r="Y56" s="39"/>
      <c r="Z56" s="39"/>
      <c r="AA56" s="39"/>
    </row>
    <row r="57" spans="1:27" x14ac:dyDescent="0.25">
      <c r="A57" s="39"/>
      <c r="B57" s="39">
        <f>COUNTA('in progress'!A:A)-1</f>
        <v>33</v>
      </c>
      <c r="C57" s="39" t="e">
        <f xml:space="preserve"> MID(A57,SEARCH(":",A57)+2,SEARCH(":",A57,SEARCH(":",A57)+1)-SEARCH(":",A57)-3)</f>
        <v>#VALUE!</v>
      </c>
      <c r="D57" s="39" t="e">
        <f>"partner:"&amp;MID(A57,SEARCH(":",A57)+1,SEARCH(":",A57,SEARCH(":",A57)+1)-SEARCH(":",A57)-1)</f>
        <v>#VALUE!</v>
      </c>
      <c r="E57" s="39"/>
      <c r="F57" s="40" t="e">
        <f>DATEVALUE(SUBSTITUTE(LEFT(Table2[[#This Row],[Notes]],SEARCH(" ",Table2[[#This Row],[Notes]])-1),".","/"))</f>
        <v>#VALUE!</v>
      </c>
      <c r="G57" s="39"/>
      <c r="H57" s="39"/>
      <c r="I57" s="39"/>
      <c r="J57" s="39"/>
      <c r="K57" s="39"/>
      <c r="L57" s="39"/>
      <c r="M57" s="39"/>
      <c r="N57" s="39"/>
      <c r="O57" s="39"/>
      <c r="P57" s="39"/>
      <c r="Q57" s="39"/>
      <c r="R57" s="39"/>
      <c r="S57" s="39"/>
      <c r="T57" s="39"/>
      <c r="U57" s="39"/>
      <c r="V57" s="39"/>
      <c r="W57" s="39"/>
      <c r="X57" s="39"/>
      <c r="Y57" s="39"/>
      <c r="Z57" s="39"/>
      <c r="AA57" s="39"/>
    </row>
    <row r="58" spans="1:27" x14ac:dyDescent="0.25">
      <c r="A58" s="39"/>
      <c r="B58" s="39">
        <f>COUNTA('in progress'!A:A)-1</f>
        <v>33</v>
      </c>
      <c r="C58" s="39" t="e">
        <f xml:space="preserve"> MID(A58,SEARCH(":",A58)+2,SEARCH(":",A58,SEARCH(":",A58)+1)-SEARCH(":",A58)-3)</f>
        <v>#VALUE!</v>
      </c>
      <c r="D58" s="39" t="e">
        <f>"partner:"&amp;MID(A58,SEARCH(":",A58)+1,SEARCH(":",A58,SEARCH(":",A58)+1)-SEARCH(":",A58)-1)</f>
        <v>#VALUE!</v>
      </c>
      <c r="E58" s="39"/>
      <c r="F58" s="40" t="e">
        <f>DATEVALUE(SUBSTITUTE(LEFT(Table2[[#This Row],[Notes]],SEARCH(" ",Table2[[#This Row],[Notes]])-1),".","/"))</f>
        <v>#VALUE!</v>
      </c>
      <c r="G58" s="39"/>
      <c r="H58" s="39"/>
      <c r="I58" s="39"/>
      <c r="J58" s="39"/>
      <c r="K58" s="39"/>
      <c r="L58" s="39"/>
      <c r="M58" s="39"/>
      <c r="N58" s="39"/>
      <c r="O58" s="39"/>
      <c r="P58" s="39"/>
      <c r="Q58" s="39"/>
      <c r="R58" s="39"/>
      <c r="S58" s="39"/>
      <c r="T58" s="39"/>
      <c r="U58" s="39"/>
      <c r="V58" s="39"/>
      <c r="W58" s="39"/>
      <c r="X58" s="39"/>
      <c r="Y58" s="39"/>
      <c r="Z58" s="39"/>
      <c r="AA58" s="39"/>
    </row>
    <row r="59" spans="1:27" x14ac:dyDescent="0.25">
      <c r="A59" s="39"/>
      <c r="B59" s="39">
        <f>COUNTA('in progress'!A:A)-1</f>
        <v>33</v>
      </c>
      <c r="C59" s="39" t="e">
        <f xml:space="preserve"> MID(A59,SEARCH(":",A59)+2,SEARCH(":",A59,SEARCH(":",A59)+1)-SEARCH(":",A59)-3)</f>
        <v>#VALUE!</v>
      </c>
      <c r="D59" s="39" t="e">
        <f>"partner:"&amp;MID(A59,SEARCH(":",A59)+1,SEARCH(":",A59,SEARCH(":",A59)+1)-SEARCH(":",A59)-1)</f>
        <v>#VALUE!</v>
      </c>
      <c r="E59" s="39"/>
      <c r="F59" s="40" t="e">
        <f>DATEVALUE(SUBSTITUTE(LEFT(Table2[[#This Row],[Notes]],SEARCH(" ",Table2[[#This Row],[Notes]])-1),".","/"))</f>
        <v>#VALUE!</v>
      </c>
      <c r="G59" s="39"/>
      <c r="H59" s="39"/>
      <c r="I59" s="39"/>
      <c r="J59" s="39"/>
      <c r="K59" s="39"/>
      <c r="L59" s="39"/>
      <c r="M59" s="39"/>
      <c r="N59" s="39"/>
      <c r="O59" s="39"/>
      <c r="P59" s="39"/>
      <c r="Q59" s="39"/>
      <c r="R59" s="39"/>
      <c r="S59" s="39"/>
      <c r="T59" s="39"/>
      <c r="U59" s="39"/>
      <c r="V59" s="39"/>
      <c r="W59" s="39"/>
      <c r="X59" s="39"/>
      <c r="Y59" s="39"/>
      <c r="Z59" s="39"/>
      <c r="AA59" s="39"/>
    </row>
    <row r="60" spans="1:27" x14ac:dyDescent="0.25">
      <c r="A60" s="39"/>
      <c r="B60" s="39">
        <f>COUNTA('in progress'!A:A)-1</f>
        <v>33</v>
      </c>
      <c r="C60" s="39" t="e">
        <f xml:space="preserve"> MID(A60,SEARCH(":",A60)+2,SEARCH(":",A60,SEARCH(":",A60)+1)-SEARCH(":",A60)-3)</f>
        <v>#VALUE!</v>
      </c>
      <c r="D60" s="39" t="e">
        <f>"partner:"&amp;MID(A60,SEARCH(":",A60)+1,SEARCH(":",A60,SEARCH(":",A60)+1)-SEARCH(":",A60)-1)</f>
        <v>#VALUE!</v>
      </c>
      <c r="E60" s="39"/>
      <c r="F60" s="40" t="e">
        <f>DATEVALUE(SUBSTITUTE(LEFT(Table2[[#This Row],[Notes]],SEARCH(" ",Table2[[#This Row],[Notes]])-1),".","/"))</f>
        <v>#VALUE!</v>
      </c>
      <c r="G60" s="39"/>
      <c r="H60" s="39"/>
      <c r="I60" s="39"/>
      <c r="J60" s="39"/>
      <c r="K60" s="39"/>
      <c r="L60" s="39"/>
      <c r="M60" s="39"/>
      <c r="N60" s="39"/>
      <c r="O60" s="39"/>
      <c r="P60" s="39"/>
      <c r="Q60" s="39"/>
      <c r="R60" s="39"/>
      <c r="S60" s="39"/>
      <c r="T60" s="39"/>
      <c r="U60" s="39"/>
      <c r="V60" s="39"/>
      <c r="W60" s="39"/>
      <c r="X60" s="39"/>
      <c r="Y60" s="39"/>
      <c r="Z60" s="39"/>
      <c r="AA60" s="39"/>
    </row>
    <row r="61" spans="1:27" x14ac:dyDescent="0.25">
      <c r="A61" s="39"/>
      <c r="B61" s="39">
        <f>COUNTA('in progress'!A:A)-1</f>
        <v>33</v>
      </c>
      <c r="C61" s="39" t="e">
        <f xml:space="preserve"> MID(A61,SEARCH(":",A61)+2,SEARCH(":",A61,SEARCH(":",A61)+1)-SEARCH(":",A61)-3)</f>
        <v>#VALUE!</v>
      </c>
      <c r="D61" s="39" t="e">
        <f>"partner:"&amp;MID(A61,SEARCH(":",A61)+1,SEARCH(":",A61,SEARCH(":",A61)+1)-SEARCH(":",A61)-1)</f>
        <v>#VALUE!</v>
      </c>
      <c r="E61" s="39"/>
      <c r="F61" s="40" t="e">
        <f>DATEVALUE(SUBSTITUTE(LEFT(Table2[[#This Row],[Notes]],SEARCH(" ",Table2[[#This Row],[Notes]])-1),".","/"))</f>
        <v>#VALUE!</v>
      </c>
      <c r="G61" s="39"/>
      <c r="H61" s="39"/>
      <c r="I61" s="39"/>
      <c r="J61" s="39"/>
      <c r="K61" s="39"/>
      <c r="L61" s="39"/>
      <c r="M61" s="39"/>
      <c r="N61" s="39"/>
      <c r="O61" s="39"/>
      <c r="P61" s="39"/>
      <c r="Q61" s="39"/>
      <c r="R61" s="39"/>
      <c r="S61" s="39"/>
      <c r="T61" s="39"/>
      <c r="U61" s="39"/>
      <c r="V61" s="39"/>
      <c r="W61" s="39"/>
      <c r="X61" s="39"/>
      <c r="Y61" s="39"/>
      <c r="Z61" s="39"/>
      <c r="AA61" s="39"/>
    </row>
    <row r="62" spans="1:27" x14ac:dyDescent="0.25">
      <c r="A62" s="39"/>
      <c r="B62" s="39">
        <f>COUNTA('in progress'!A:A)-1</f>
        <v>33</v>
      </c>
      <c r="C62" s="39" t="e">
        <f xml:space="preserve"> MID(A62,SEARCH(":",A62)+2,SEARCH(":",A62,SEARCH(":",A62)+1)-SEARCH(":",A62)-3)</f>
        <v>#VALUE!</v>
      </c>
      <c r="D62" s="39" t="e">
        <f>"partner:"&amp;MID(A62,SEARCH(":",A62)+1,SEARCH(":",A62,SEARCH(":",A62)+1)-SEARCH(":",A62)-1)</f>
        <v>#VALUE!</v>
      </c>
      <c r="E62" s="39"/>
      <c r="F62" s="40" t="e">
        <f>DATEVALUE(SUBSTITUTE(LEFT(Table2[[#This Row],[Notes]],SEARCH(" ",Table2[[#This Row],[Notes]])-1),".","/"))</f>
        <v>#VALUE!</v>
      </c>
      <c r="G62" s="39"/>
      <c r="H62" s="39"/>
      <c r="I62" s="39"/>
      <c r="J62" s="39"/>
      <c r="K62" s="39"/>
      <c r="L62" s="39"/>
      <c r="M62" s="39"/>
      <c r="N62" s="39"/>
      <c r="O62" s="39"/>
      <c r="P62" s="39"/>
      <c r="Q62" s="39"/>
      <c r="R62" s="39"/>
      <c r="S62" s="39"/>
      <c r="T62" s="39"/>
      <c r="U62" s="39"/>
      <c r="V62" s="39"/>
      <c r="W62" s="39"/>
      <c r="X62" s="39"/>
      <c r="Y62" s="39"/>
      <c r="Z62" s="39"/>
      <c r="AA62" s="39"/>
    </row>
    <row r="63" spans="1:27" x14ac:dyDescent="0.25">
      <c r="A63" s="39"/>
      <c r="B63" s="39">
        <f>COUNTA('in progress'!A:A)-1</f>
        <v>33</v>
      </c>
      <c r="C63" s="39" t="e">
        <f xml:space="preserve"> MID(A63,SEARCH(":",A63)+2,SEARCH(":",A63,SEARCH(":",A63)+1)-SEARCH(":",A63)-3)</f>
        <v>#VALUE!</v>
      </c>
      <c r="D63" s="39" t="e">
        <f>"partner:"&amp;MID(A63,SEARCH(":",A63)+1,SEARCH(":",A63,SEARCH(":",A63)+1)-SEARCH(":",A63)-1)</f>
        <v>#VALUE!</v>
      </c>
      <c r="E63" s="39"/>
      <c r="F63" s="40" t="e">
        <f>DATEVALUE(SUBSTITUTE(LEFT(Table2[[#This Row],[Notes]],SEARCH(" ",Table2[[#This Row],[Notes]])-1),".","/"))</f>
        <v>#VALUE!</v>
      </c>
      <c r="G63" s="39"/>
      <c r="H63" s="39"/>
      <c r="I63" s="39"/>
      <c r="J63" s="39"/>
      <c r="K63" s="39"/>
      <c r="L63" s="39"/>
      <c r="M63" s="39"/>
      <c r="N63" s="39"/>
      <c r="O63" s="39"/>
      <c r="P63" s="39"/>
      <c r="Q63" s="39"/>
      <c r="R63" s="39"/>
      <c r="S63" s="39"/>
      <c r="T63" s="39"/>
      <c r="U63" s="39"/>
      <c r="V63" s="39"/>
      <c r="W63" s="39"/>
      <c r="X63" s="39"/>
      <c r="Y63" s="39"/>
      <c r="Z63" s="39"/>
      <c r="AA63" s="39"/>
    </row>
    <row r="64" spans="1:27" x14ac:dyDescent="0.25">
      <c r="A64" s="39"/>
      <c r="B64" s="39">
        <f>COUNTA('in progress'!A:A)-1</f>
        <v>33</v>
      </c>
      <c r="C64" s="39" t="e">
        <f xml:space="preserve"> MID(A64,SEARCH(":",A64)+2,SEARCH(":",A64,SEARCH(":",A64)+1)-SEARCH(":",A64)-3)</f>
        <v>#VALUE!</v>
      </c>
      <c r="D64" s="39" t="e">
        <f>"partner:"&amp;MID(A64,SEARCH(":",A64)+1,SEARCH(":",A64,SEARCH(":",A64)+1)-SEARCH(":",A64)-1)</f>
        <v>#VALUE!</v>
      </c>
      <c r="E64" s="39"/>
      <c r="F64" s="40" t="e">
        <f>DATEVALUE(SUBSTITUTE(LEFT(Table2[[#This Row],[Notes]],SEARCH(" ",Table2[[#This Row],[Notes]])-1),".","/"))</f>
        <v>#VALUE!</v>
      </c>
      <c r="G64" s="39"/>
      <c r="H64" s="39"/>
      <c r="I64" s="39"/>
      <c r="J64" s="39"/>
      <c r="K64" s="39"/>
      <c r="L64" s="39"/>
      <c r="M64" s="39"/>
      <c r="N64" s="39"/>
      <c r="O64" s="39"/>
      <c r="P64" s="39"/>
      <c r="Q64" s="39"/>
      <c r="R64" s="39"/>
      <c r="S64" s="39"/>
      <c r="T64" s="39"/>
      <c r="U64" s="39"/>
      <c r="V64" s="39"/>
      <c r="W64" s="39"/>
      <c r="X64" s="39"/>
      <c r="Y64" s="39"/>
      <c r="Z64" s="39"/>
      <c r="AA64" s="39"/>
    </row>
    <row r="65" spans="1:27" x14ac:dyDescent="0.25">
      <c r="A65" s="39"/>
      <c r="B65" s="39">
        <f>COUNTA('in progress'!A:A)-1</f>
        <v>33</v>
      </c>
      <c r="C65" s="39" t="e">
        <f xml:space="preserve"> MID(A65,SEARCH(":",A65)+2,SEARCH(":",A65,SEARCH(":",A65)+1)-SEARCH(":",A65)-3)</f>
        <v>#VALUE!</v>
      </c>
      <c r="D65" s="39" t="e">
        <f>"partner:"&amp;MID(A65,SEARCH(":",A65)+1,SEARCH(":",A65,SEARCH(":",A65)+1)-SEARCH(":",A65)-1)</f>
        <v>#VALUE!</v>
      </c>
      <c r="E65" s="39"/>
      <c r="F65" s="40" t="e">
        <f>DATEVALUE(SUBSTITUTE(LEFT(Table2[[#This Row],[Notes]],SEARCH(" ",Table2[[#This Row],[Notes]])-1),".","/"))</f>
        <v>#VALUE!</v>
      </c>
      <c r="G65" s="39"/>
      <c r="H65" s="39"/>
      <c r="I65" s="39"/>
      <c r="J65" s="39"/>
      <c r="K65" s="39"/>
      <c r="L65" s="39"/>
      <c r="M65" s="39"/>
      <c r="N65" s="39"/>
      <c r="O65" s="39"/>
      <c r="P65" s="39"/>
      <c r="Q65" s="39"/>
      <c r="R65" s="39"/>
      <c r="S65" s="39"/>
      <c r="T65" s="39"/>
      <c r="U65" s="39"/>
      <c r="V65" s="39"/>
      <c r="W65" s="39"/>
      <c r="X65" s="39"/>
      <c r="Y65" s="39"/>
      <c r="Z65" s="39"/>
      <c r="AA65" s="39"/>
    </row>
    <row r="66" spans="1:27" x14ac:dyDescent="0.25">
      <c r="A66" s="39"/>
      <c r="B66" s="39">
        <f>COUNTA('in progress'!A:A)-1</f>
        <v>33</v>
      </c>
      <c r="C66" s="39" t="e">
        <f xml:space="preserve"> MID(A66,SEARCH(":",A66)+2,SEARCH(":",A66,SEARCH(":",A66)+1)-SEARCH(":",A66)-3)</f>
        <v>#VALUE!</v>
      </c>
      <c r="D66" s="39" t="e">
        <f>"partner:"&amp;MID(A66,SEARCH(":",A66)+1,SEARCH(":",A66,SEARCH(":",A66)+1)-SEARCH(":",A66)-1)</f>
        <v>#VALUE!</v>
      </c>
      <c r="E66" s="39"/>
      <c r="F66" s="40" t="e">
        <f>DATEVALUE(SUBSTITUTE(LEFT(Table2[[#This Row],[Notes]],SEARCH(" ",Table2[[#This Row],[Notes]])-1),".","/"))</f>
        <v>#VALUE!</v>
      </c>
      <c r="G66" s="39"/>
      <c r="H66" s="39"/>
      <c r="I66" s="39"/>
      <c r="J66" s="39"/>
      <c r="K66" s="39"/>
      <c r="L66" s="39"/>
      <c r="M66" s="39"/>
      <c r="N66" s="39"/>
      <c r="O66" s="39"/>
      <c r="P66" s="39"/>
      <c r="Q66" s="39"/>
      <c r="R66" s="39"/>
      <c r="S66" s="39"/>
      <c r="T66" s="39"/>
      <c r="U66" s="39"/>
      <c r="V66" s="39"/>
      <c r="W66" s="39"/>
      <c r="X66" s="39"/>
      <c r="Y66" s="39"/>
      <c r="Z66" s="39"/>
      <c r="AA66" s="39"/>
    </row>
    <row r="67" spans="1:27" x14ac:dyDescent="0.25">
      <c r="A67" s="39"/>
      <c r="B67" s="39">
        <f>COUNTA('in progress'!A:A)-1</f>
        <v>33</v>
      </c>
      <c r="C67" s="39" t="e">
        <f xml:space="preserve"> MID(A67,SEARCH(":",A67)+2,SEARCH(":",A67,SEARCH(":",A67)+1)-SEARCH(":",A67)-3)</f>
        <v>#VALUE!</v>
      </c>
      <c r="D67" s="39" t="e">
        <f>"partner:"&amp;MID(A67,SEARCH(":",A67)+1,SEARCH(":",A67,SEARCH(":",A67)+1)-SEARCH(":",A67)-1)</f>
        <v>#VALUE!</v>
      </c>
      <c r="E67" s="39"/>
      <c r="F67" s="40" t="e">
        <f>DATEVALUE(SUBSTITUTE(LEFT(Table2[[#This Row],[Notes]],SEARCH(" ",Table2[[#This Row],[Notes]])-1),".","/"))</f>
        <v>#VALUE!</v>
      </c>
      <c r="G67" s="39"/>
      <c r="H67" s="39"/>
      <c r="I67" s="39"/>
      <c r="J67" s="39"/>
      <c r="K67" s="39"/>
      <c r="L67" s="39"/>
      <c r="M67" s="39"/>
      <c r="N67" s="39"/>
      <c r="O67" s="39"/>
      <c r="P67" s="39"/>
      <c r="Q67" s="39"/>
      <c r="R67" s="39"/>
      <c r="S67" s="39"/>
      <c r="T67" s="39"/>
      <c r="U67" s="39"/>
      <c r="V67" s="39"/>
      <c r="W67" s="39"/>
      <c r="X67" s="39"/>
      <c r="Y67" s="39"/>
      <c r="Z67" s="39"/>
      <c r="AA67" s="39"/>
    </row>
    <row r="68" spans="1:27" x14ac:dyDescent="0.25">
      <c r="A68" s="39"/>
      <c r="B68" s="39">
        <f>COUNTA('in progress'!A:A)-1</f>
        <v>33</v>
      </c>
      <c r="C68" s="39" t="e">
        <f xml:space="preserve"> MID(A68,SEARCH(":",A68)+2,SEARCH(":",A68,SEARCH(":",A68)+1)-SEARCH(":",A68)-3)</f>
        <v>#VALUE!</v>
      </c>
      <c r="D68" s="39" t="e">
        <f>"partner:"&amp;MID(A68,SEARCH(":",A68)+1,SEARCH(":",A68,SEARCH(":",A68)+1)-SEARCH(":",A68)-1)</f>
        <v>#VALUE!</v>
      </c>
      <c r="E68" s="39"/>
      <c r="F68" s="40" t="e">
        <f>DATEVALUE(SUBSTITUTE(LEFT(Table2[[#This Row],[Notes]],SEARCH(" ",Table2[[#This Row],[Notes]])-1),".","/"))</f>
        <v>#VALUE!</v>
      </c>
      <c r="G68" s="39"/>
      <c r="H68" s="39"/>
      <c r="I68" s="39"/>
      <c r="J68" s="39"/>
      <c r="K68" s="39"/>
      <c r="L68" s="39"/>
      <c r="M68" s="39"/>
      <c r="N68" s="39"/>
      <c r="O68" s="39"/>
      <c r="P68" s="39"/>
      <c r="Q68" s="39"/>
      <c r="R68" s="39"/>
      <c r="S68" s="39"/>
      <c r="T68" s="39"/>
      <c r="U68" s="39"/>
      <c r="V68" s="39"/>
      <c r="W68" s="39"/>
      <c r="X68" s="39"/>
      <c r="Y68" s="39"/>
      <c r="Z68" s="39"/>
      <c r="AA68" s="39"/>
    </row>
    <row r="69" spans="1:27" x14ac:dyDescent="0.25">
      <c r="A69" s="39"/>
      <c r="B69" s="39">
        <f>COUNTA('in progress'!A:A)-1</f>
        <v>33</v>
      </c>
      <c r="C69" s="39" t="e">
        <f xml:space="preserve"> MID(A69,SEARCH(":",A69)+2,SEARCH(":",A69,SEARCH(":",A69)+1)-SEARCH(":",A69)-3)</f>
        <v>#VALUE!</v>
      </c>
      <c r="D69" s="39" t="e">
        <f>"partner:"&amp;MID(A69,SEARCH(":",A69)+1,SEARCH(":",A69,SEARCH(":",A69)+1)-SEARCH(":",A69)-1)</f>
        <v>#VALUE!</v>
      </c>
      <c r="E69" s="39"/>
      <c r="F69" s="40" t="e">
        <f>DATEVALUE(SUBSTITUTE(LEFT(Table2[[#This Row],[Notes]],SEARCH(" ",Table2[[#This Row],[Notes]])-1),".","/"))</f>
        <v>#VALUE!</v>
      </c>
      <c r="G69" s="39"/>
      <c r="H69" s="39"/>
      <c r="I69" s="39"/>
      <c r="J69" s="39"/>
      <c r="K69" s="39"/>
      <c r="L69" s="39"/>
      <c r="M69" s="39"/>
      <c r="N69" s="39"/>
      <c r="O69" s="39"/>
      <c r="P69" s="39"/>
      <c r="Q69" s="39"/>
      <c r="R69" s="39"/>
      <c r="S69" s="39"/>
      <c r="T69" s="39"/>
      <c r="U69" s="39"/>
      <c r="V69" s="39"/>
      <c r="W69" s="39"/>
      <c r="X69" s="39"/>
      <c r="Y69" s="39"/>
      <c r="Z69" s="39"/>
      <c r="AA69" s="39"/>
    </row>
    <row r="70" spans="1:27" x14ac:dyDescent="0.25">
      <c r="A70" s="39"/>
      <c r="B70" s="39">
        <f>COUNTA('in progress'!A:A)-1</f>
        <v>33</v>
      </c>
      <c r="C70" s="39" t="e">
        <f xml:space="preserve"> MID(A70,SEARCH(":",A70)+2,SEARCH(":",A70,SEARCH(":",A70)+1)-SEARCH(":",A70)-3)</f>
        <v>#VALUE!</v>
      </c>
      <c r="D70" s="39" t="e">
        <f>"partner:"&amp;MID(A70,SEARCH(":",A70)+1,SEARCH(":",A70,SEARCH(":",A70)+1)-SEARCH(":",A70)-1)</f>
        <v>#VALUE!</v>
      </c>
      <c r="E70" s="39"/>
      <c r="F70" s="40" t="e">
        <f>DATEVALUE(SUBSTITUTE(LEFT(Table2[[#This Row],[Notes]],SEARCH(" ",Table2[[#This Row],[Notes]])-1),".","/"))</f>
        <v>#VALUE!</v>
      </c>
      <c r="G70" s="39"/>
      <c r="H70" s="39"/>
      <c r="I70" s="39"/>
      <c r="J70" s="39"/>
      <c r="K70" s="39"/>
      <c r="L70" s="39"/>
      <c r="M70" s="39"/>
      <c r="N70" s="39"/>
      <c r="O70" s="39"/>
      <c r="P70" s="39"/>
      <c r="Q70" s="39"/>
      <c r="R70" s="39"/>
      <c r="S70" s="39"/>
      <c r="T70" s="39"/>
      <c r="U70" s="39"/>
      <c r="V70" s="39"/>
      <c r="W70" s="39"/>
      <c r="X70" s="39"/>
      <c r="Y70" s="39"/>
      <c r="Z70" s="39"/>
      <c r="AA70" s="39"/>
    </row>
    <row r="71" spans="1:27" x14ac:dyDescent="0.25">
      <c r="A71" s="39"/>
      <c r="B71" s="39">
        <f>COUNTA('in progress'!A:A)-1</f>
        <v>33</v>
      </c>
      <c r="C71" s="39" t="e">
        <f xml:space="preserve"> MID(A71,SEARCH(":",A71)+2,SEARCH(":",A71,SEARCH(":",A71)+1)-SEARCH(":",A71)-3)</f>
        <v>#VALUE!</v>
      </c>
      <c r="D71" s="39" t="e">
        <f>"partner:"&amp;MID(A71,SEARCH(":",A71)+1,SEARCH(":",A71,SEARCH(":",A71)+1)-SEARCH(":",A71)-1)</f>
        <v>#VALUE!</v>
      </c>
      <c r="E71" s="39"/>
      <c r="F71" s="40" t="e">
        <f>DATEVALUE(SUBSTITUTE(LEFT(Table2[[#This Row],[Notes]],SEARCH(" ",Table2[[#This Row],[Notes]])-1),".","/"))</f>
        <v>#VALUE!</v>
      </c>
      <c r="G71" s="39"/>
      <c r="H71" s="39"/>
      <c r="I71" s="39"/>
      <c r="J71" s="39"/>
      <c r="K71" s="39"/>
      <c r="L71" s="39"/>
      <c r="M71" s="39"/>
      <c r="N71" s="39"/>
      <c r="O71" s="39"/>
      <c r="P71" s="39"/>
      <c r="Q71" s="39"/>
      <c r="R71" s="39"/>
      <c r="S71" s="39"/>
      <c r="T71" s="39"/>
      <c r="U71" s="39"/>
      <c r="V71" s="39"/>
      <c r="W71" s="39"/>
      <c r="X71" s="39"/>
      <c r="Y71" s="39"/>
      <c r="Z71" s="39"/>
      <c r="AA71" s="39"/>
    </row>
    <row r="72" spans="1:27" x14ac:dyDescent="0.25">
      <c r="A72" s="39"/>
      <c r="B72" s="39">
        <f>COUNTA('in progress'!A:A)-1</f>
        <v>33</v>
      </c>
      <c r="C72" s="39" t="e">
        <f xml:space="preserve"> MID(A72,SEARCH(":",A72)+2,SEARCH(":",A72,SEARCH(":",A72)+1)-SEARCH(":",A72)-3)</f>
        <v>#VALUE!</v>
      </c>
      <c r="D72" s="39" t="e">
        <f>"partner:"&amp;MID(A72,SEARCH(":",A72)+1,SEARCH(":",A72,SEARCH(":",A72)+1)-SEARCH(":",A72)-1)</f>
        <v>#VALUE!</v>
      </c>
      <c r="E72" s="39"/>
      <c r="F72" s="40" t="e">
        <f>DATEVALUE(SUBSTITUTE(LEFT(Table2[[#This Row],[Notes]],SEARCH(" ",Table2[[#This Row],[Notes]])-1),".","/"))</f>
        <v>#VALUE!</v>
      </c>
      <c r="G72" s="39"/>
      <c r="H72" s="39"/>
      <c r="I72" s="39"/>
      <c r="J72" s="39"/>
      <c r="K72" s="39"/>
      <c r="L72" s="39"/>
      <c r="M72" s="39"/>
      <c r="N72" s="39"/>
      <c r="O72" s="39"/>
      <c r="P72" s="39"/>
      <c r="Q72" s="39"/>
      <c r="R72" s="39"/>
      <c r="S72" s="39"/>
      <c r="T72" s="39"/>
      <c r="U72" s="39"/>
      <c r="V72" s="39"/>
      <c r="W72" s="39"/>
      <c r="X72" s="39"/>
      <c r="Y72" s="39"/>
      <c r="Z72" s="39"/>
      <c r="AA72" s="39"/>
    </row>
    <row r="73" spans="1:27" x14ac:dyDescent="0.25">
      <c r="A73" s="39"/>
      <c r="B73" s="39">
        <f>COUNTA('in progress'!A:A)-1</f>
        <v>33</v>
      </c>
      <c r="C73" s="39" t="e">
        <f xml:space="preserve"> MID(A73,SEARCH(":",A73)+2,SEARCH(":",A73,SEARCH(":",A73)+1)-SEARCH(":",A73)-3)</f>
        <v>#VALUE!</v>
      </c>
      <c r="D73" s="39" t="e">
        <f>"partner:"&amp;MID(A73,SEARCH(":",A73)+1,SEARCH(":",A73,SEARCH(":",A73)+1)-SEARCH(":",A73)-1)</f>
        <v>#VALUE!</v>
      </c>
      <c r="E73" s="39"/>
      <c r="F73" s="40" t="e">
        <f>DATEVALUE(SUBSTITUTE(LEFT(Table2[[#This Row],[Notes]],SEARCH(" ",Table2[[#This Row],[Notes]])-1),".","/"))</f>
        <v>#VALUE!</v>
      </c>
      <c r="G73" s="39"/>
      <c r="H73" s="39"/>
      <c r="I73" s="39"/>
      <c r="J73" s="39"/>
      <c r="K73" s="39"/>
      <c r="L73" s="39"/>
      <c r="M73" s="39"/>
      <c r="N73" s="39"/>
      <c r="O73" s="39"/>
      <c r="P73" s="39"/>
      <c r="Q73" s="39"/>
      <c r="R73" s="39"/>
      <c r="S73" s="39"/>
      <c r="T73" s="39"/>
      <c r="U73" s="39"/>
      <c r="V73" s="39"/>
      <c r="W73" s="39"/>
      <c r="X73" s="39"/>
      <c r="Y73" s="39"/>
      <c r="Z73" s="39"/>
      <c r="AA73" s="39"/>
    </row>
    <row r="74" spans="1:27" x14ac:dyDescent="0.25">
      <c r="A74" s="39"/>
      <c r="B74" s="39">
        <f>COUNTA('in progress'!A:A)-1</f>
        <v>33</v>
      </c>
      <c r="C74" s="39" t="e">
        <f xml:space="preserve"> MID(A74,SEARCH(":",A74)+2,SEARCH(":",A74,SEARCH(":",A74)+1)-SEARCH(":",A74)-3)</f>
        <v>#VALUE!</v>
      </c>
      <c r="D74" s="39" t="e">
        <f>"partner:"&amp;MID(A74,SEARCH(":",A74)+1,SEARCH(":",A74,SEARCH(":",A74)+1)-SEARCH(":",A74)-1)</f>
        <v>#VALUE!</v>
      </c>
      <c r="E74" s="39"/>
      <c r="F74" s="40" t="e">
        <f>DATEVALUE(SUBSTITUTE(LEFT(Table2[[#This Row],[Notes]],SEARCH(" ",Table2[[#This Row],[Notes]])-1),".","/"))</f>
        <v>#VALUE!</v>
      </c>
      <c r="G74" s="39"/>
      <c r="H74" s="39"/>
      <c r="I74" s="39"/>
      <c r="J74" s="39"/>
      <c r="K74" s="39"/>
      <c r="L74" s="39"/>
      <c r="M74" s="39"/>
      <c r="N74" s="39"/>
      <c r="O74" s="39"/>
      <c r="P74" s="39"/>
      <c r="Q74" s="39"/>
      <c r="R74" s="39"/>
      <c r="S74" s="39"/>
      <c r="T74" s="39"/>
      <c r="U74" s="39"/>
      <c r="V74" s="39"/>
      <c r="W74" s="39"/>
      <c r="X74" s="39"/>
      <c r="Y74" s="39"/>
      <c r="Z74" s="39"/>
      <c r="AA74" s="39"/>
    </row>
    <row r="75" spans="1:27" x14ac:dyDescent="0.25">
      <c r="A75" s="39"/>
      <c r="B75" s="39">
        <f>COUNTA('in progress'!A:A)-1</f>
        <v>33</v>
      </c>
      <c r="C75" s="39" t="e">
        <f xml:space="preserve"> MID(A75,SEARCH(":",A75)+2,SEARCH(":",A75,SEARCH(":",A75)+1)-SEARCH(":",A75)-3)</f>
        <v>#VALUE!</v>
      </c>
      <c r="D75" s="39" t="e">
        <f>"partner:"&amp;MID(A75,SEARCH(":",A75)+1,SEARCH(":",A75,SEARCH(":",A75)+1)-SEARCH(":",A75)-1)</f>
        <v>#VALUE!</v>
      </c>
      <c r="E75" s="39"/>
      <c r="F75" s="40" t="e">
        <f>DATEVALUE(SUBSTITUTE(LEFT(Table2[[#This Row],[Notes]],SEARCH(" ",Table2[[#This Row],[Notes]])-1),".","/"))</f>
        <v>#VALUE!</v>
      </c>
      <c r="G75" s="39"/>
      <c r="H75" s="39"/>
      <c r="I75" s="39"/>
      <c r="J75" s="39"/>
      <c r="K75" s="39"/>
      <c r="L75" s="39"/>
      <c r="M75" s="39"/>
      <c r="N75" s="39"/>
      <c r="O75" s="39"/>
      <c r="P75" s="39"/>
      <c r="Q75" s="39"/>
      <c r="R75" s="39"/>
      <c r="S75" s="39"/>
      <c r="T75" s="39"/>
      <c r="U75" s="39"/>
      <c r="V75" s="39"/>
      <c r="W75" s="39"/>
      <c r="X75" s="39"/>
      <c r="Y75" s="39"/>
      <c r="Z75" s="39"/>
      <c r="AA75" s="39"/>
    </row>
    <row r="76" spans="1:27" x14ac:dyDescent="0.25">
      <c r="A76" s="39"/>
      <c r="B76" s="39">
        <f>COUNTA('in progress'!A:A)-1</f>
        <v>33</v>
      </c>
      <c r="C76" s="39" t="e">
        <f xml:space="preserve"> MID(A76,SEARCH(":",A76)+2,SEARCH(":",A76,SEARCH(":",A76)+1)-SEARCH(":",A76)-3)</f>
        <v>#VALUE!</v>
      </c>
      <c r="D76" s="39" t="e">
        <f>"partner:"&amp;MID(A76,SEARCH(":",A76)+1,SEARCH(":",A76,SEARCH(":",A76)+1)-SEARCH(":",A76)-1)</f>
        <v>#VALUE!</v>
      </c>
      <c r="E76" s="39"/>
      <c r="F76" s="40" t="e">
        <f>DATEVALUE(SUBSTITUTE(LEFT(Table2[[#This Row],[Notes]],SEARCH(" ",Table2[[#This Row],[Notes]])-1),".","/"))</f>
        <v>#VALUE!</v>
      </c>
      <c r="G76" s="39"/>
      <c r="H76" s="39"/>
      <c r="I76" s="39"/>
      <c r="J76" s="39"/>
      <c r="K76" s="39"/>
      <c r="L76" s="39"/>
      <c r="M76" s="39"/>
      <c r="N76" s="39"/>
      <c r="O76" s="39"/>
      <c r="P76" s="39"/>
      <c r="Q76" s="39"/>
      <c r="R76" s="39"/>
      <c r="S76" s="39"/>
      <c r="T76" s="39"/>
      <c r="U76" s="39"/>
      <c r="V76" s="39"/>
      <c r="W76" s="39"/>
      <c r="X76" s="39"/>
      <c r="Y76" s="39"/>
      <c r="Z76" s="39"/>
      <c r="AA76" s="39"/>
    </row>
    <row r="77" spans="1:27" x14ac:dyDescent="0.25">
      <c r="A77" s="39"/>
      <c r="B77" s="39">
        <f>COUNTA('in progress'!A:A)-1</f>
        <v>33</v>
      </c>
      <c r="C77" s="39" t="e">
        <f xml:space="preserve"> MID(A77,SEARCH(":",A77)+2,SEARCH(":",A77,SEARCH(":",A77)+1)-SEARCH(":",A77)-3)</f>
        <v>#VALUE!</v>
      </c>
      <c r="D77" s="39" t="e">
        <f>"partner:"&amp;MID(A77,SEARCH(":",A77)+1,SEARCH(":",A77,SEARCH(":",A77)+1)-SEARCH(":",A77)-1)</f>
        <v>#VALUE!</v>
      </c>
      <c r="E77" s="39"/>
      <c r="F77" s="40" t="e">
        <f>DATEVALUE(SUBSTITUTE(LEFT(Table2[[#This Row],[Notes]],SEARCH(" ",Table2[[#This Row],[Notes]])-1),".","/"))</f>
        <v>#VALUE!</v>
      </c>
      <c r="G77" s="39"/>
      <c r="H77" s="39"/>
      <c r="I77" s="39"/>
      <c r="J77" s="39"/>
      <c r="K77" s="39"/>
      <c r="L77" s="39"/>
      <c r="M77" s="39"/>
      <c r="N77" s="39"/>
      <c r="O77" s="39"/>
      <c r="P77" s="39"/>
      <c r="Q77" s="39"/>
      <c r="R77" s="39"/>
      <c r="S77" s="39"/>
      <c r="T77" s="39"/>
      <c r="U77" s="39"/>
      <c r="V77" s="39"/>
      <c r="W77" s="39"/>
      <c r="X77" s="39"/>
      <c r="Y77" s="39"/>
      <c r="Z77" s="39"/>
      <c r="AA77" s="39"/>
    </row>
    <row r="78" spans="1:27" x14ac:dyDescent="0.25">
      <c r="A78" s="39"/>
      <c r="B78" s="39">
        <f>COUNTA('in progress'!A:A)-1</f>
        <v>33</v>
      </c>
      <c r="C78" s="39" t="e">
        <f xml:space="preserve"> MID(A78,SEARCH(":",A78)+2,SEARCH(":",A78,SEARCH(":",A78)+1)-SEARCH(":",A78)-3)</f>
        <v>#VALUE!</v>
      </c>
      <c r="D78" s="39" t="e">
        <f>"partner:"&amp;MID(A78,SEARCH(":",A78)+1,SEARCH(":",A78,SEARCH(":",A78)+1)-SEARCH(":",A78)-1)</f>
        <v>#VALUE!</v>
      </c>
      <c r="E78" s="39"/>
      <c r="F78" s="40" t="e">
        <f>DATEVALUE(SUBSTITUTE(LEFT(Table2[[#This Row],[Notes]],SEARCH(" ",Table2[[#This Row],[Notes]])-1),".","/"))</f>
        <v>#VALUE!</v>
      </c>
      <c r="G78" s="39"/>
      <c r="H78" s="39"/>
      <c r="I78" s="39"/>
      <c r="J78" s="39"/>
      <c r="K78" s="39"/>
      <c r="L78" s="39"/>
      <c r="M78" s="39"/>
      <c r="N78" s="39"/>
      <c r="O78" s="39"/>
      <c r="P78" s="39"/>
      <c r="Q78" s="39"/>
      <c r="R78" s="39"/>
      <c r="S78" s="39"/>
      <c r="T78" s="39"/>
      <c r="U78" s="39"/>
      <c r="V78" s="39"/>
      <c r="W78" s="39"/>
      <c r="X78" s="39"/>
      <c r="Y78" s="39"/>
      <c r="Z78" s="39"/>
      <c r="AA78" s="39"/>
    </row>
    <row r="79" spans="1:27" x14ac:dyDescent="0.25">
      <c r="A79" s="39"/>
      <c r="B79" s="39">
        <f>COUNTA('in progress'!A:A)-1</f>
        <v>33</v>
      </c>
      <c r="C79" s="39" t="e">
        <f xml:space="preserve"> MID(A79,SEARCH(":",A79)+2,SEARCH(":",A79,SEARCH(":",A79)+1)-SEARCH(":",A79)-3)</f>
        <v>#VALUE!</v>
      </c>
      <c r="D79" s="39" t="e">
        <f>"partner:"&amp;MID(A79,SEARCH(":",A79)+1,SEARCH(":",A79,SEARCH(":",A79)+1)-SEARCH(":",A79)-1)</f>
        <v>#VALUE!</v>
      </c>
      <c r="E79" s="39"/>
      <c r="F79" s="40" t="e">
        <f>DATEVALUE(SUBSTITUTE(LEFT(Table2[[#This Row],[Notes]],SEARCH(" ",Table2[[#This Row],[Notes]])-1),".","/"))</f>
        <v>#VALUE!</v>
      </c>
      <c r="G79" s="39"/>
      <c r="H79" s="39"/>
      <c r="I79" s="39"/>
      <c r="J79" s="39"/>
      <c r="K79" s="39"/>
      <c r="L79" s="39"/>
      <c r="M79" s="39"/>
      <c r="N79" s="39"/>
      <c r="O79" s="39"/>
      <c r="P79" s="39"/>
      <c r="Q79" s="39"/>
      <c r="R79" s="39"/>
      <c r="S79" s="39"/>
      <c r="T79" s="39"/>
      <c r="U79" s="39"/>
      <c r="V79" s="39"/>
      <c r="W79" s="39"/>
      <c r="X79" s="39"/>
      <c r="Y79" s="39"/>
      <c r="Z79" s="39"/>
      <c r="AA79" s="39"/>
    </row>
    <row r="80" spans="1:27" x14ac:dyDescent="0.25">
      <c r="A80" s="39"/>
      <c r="B80" s="39">
        <f>COUNTA('in progress'!A:A)-1</f>
        <v>33</v>
      </c>
      <c r="C80" s="39" t="e">
        <f xml:space="preserve"> MID(A80,SEARCH(":",A80)+2,SEARCH(":",A80,SEARCH(":",A80)+1)-SEARCH(":",A80)-3)</f>
        <v>#VALUE!</v>
      </c>
      <c r="D80" s="39" t="e">
        <f>"partner:"&amp;MID(A80,SEARCH(":",A80)+1,SEARCH(":",A80,SEARCH(":",A80)+1)-SEARCH(":",A80)-1)</f>
        <v>#VALUE!</v>
      </c>
      <c r="E80" s="39"/>
      <c r="F80" s="40" t="e">
        <f>DATEVALUE(SUBSTITUTE(LEFT(Table2[[#This Row],[Notes]],SEARCH(" ",Table2[[#This Row],[Notes]])-1),".","/"))</f>
        <v>#VALUE!</v>
      </c>
      <c r="G80" s="39"/>
      <c r="H80" s="39"/>
      <c r="I80" s="39"/>
      <c r="J80" s="39"/>
      <c r="K80" s="39"/>
      <c r="L80" s="39"/>
      <c r="M80" s="39"/>
      <c r="N80" s="39"/>
      <c r="O80" s="39"/>
      <c r="P80" s="39"/>
      <c r="Q80" s="39"/>
      <c r="R80" s="39"/>
      <c r="S80" s="39"/>
      <c r="T80" s="39"/>
      <c r="U80" s="39"/>
      <c r="V80" s="39"/>
      <c r="W80" s="39"/>
      <c r="X80" s="39"/>
      <c r="Y80" s="39"/>
      <c r="Z80" s="39"/>
      <c r="AA80" s="39"/>
    </row>
    <row r="81" spans="1:27" x14ac:dyDescent="0.25">
      <c r="A81" s="39"/>
      <c r="B81" s="39">
        <f>COUNTA('in progress'!A:A)-1</f>
        <v>33</v>
      </c>
      <c r="C81" s="39" t="e">
        <f xml:space="preserve"> MID(A81,SEARCH(":",A81)+2,SEARCH(":",A81,SEARCH(":",A81)+1)-SEARCH(":",A81)-3)</f>
        <v>#VALUE!</v>
      </c>
      <c r="D81" s="39" t="e">
        <f>"partner:"&amp;MID(A81,SEARCH(":",A81)+1,SEARCH(":",A81,SEARCH(":",A81)+1)-SEARCH(":",A81)-1)</f>
        <v>#VALUE!</v>
      </c>
      <c r="E81" s="39"/>
      <c r="F81" s="40" t="e">
        <f>DATEVALUE(SUBSTITUTE(LEFT(Table2[[#This Row],[Notes]],SEARCH(" ",Table2[[#This Row],[Notes]])-1),".","/"))</f>
        <v>#VALUE!</v>
      </c>
      <c r="G81" s="39"/>
      <c r="H81" s="39"/>
      <c r="I81" s="39"/>
      <c r="J81" s="39"/>
      <c r="K81" s="39"/>
      <c r="L81" s="39"/>
      <c r="M81" s="39"/>
      <c r="N81" s="39"/>
      <c r="O81" s="39"/>
      <c r="P81" s="39"/>
      <c r="Q81" s="39"/>
      <c r="R81" s="39"/>
      <c r="S81" s="39"/>
      <c r="T81" s="39"/>
      <c r="U81" s="39"/>
      <c r="V81" s="39"/>
      <c r="W81" s="39"/>
      <c r="X81" s="39"/>
      <c r="Y81" s="39"/>
      <c r="Z81" s="39"/>
      <c r="AA81" s="39"/>
    </row>
    <row r="82" spans="1:27" x14ac:dyDescent="0.25">
      <c r="A82" s="39"/>
      <c r="B82" s="39">
        <f>COUNTA('in progress'!A:A)-1</f>
        <v>33</v>
      </c>
      <c r="C82" s="39" t="e">
        <f xml:space="preserve"> MID(A82,SEARCH(":",A82)+2,SEARCH(":",A82,SEARCH(":",A82)+1)-SEARCH(":",A82)-3)</f>
        <v>#VALUE!</v>
      </c>
      <c r="D82" s="39" t="e">
        <f>"partner:"&amp;MID(A82,SEARCH(":",A82)+1,SEARCH(":",A82,SEARCH(":",A82)+1)-SEARCH(":",A82)-1)</f>
        <v>#VALUE!</v>
      </c>
      <c r="E82" s="39"/>
      <c r="F82" s="40" t="e">
        <f>DATEVALUE(SUBSTITUTE(LEFT(Table2[[#This Row],[Notes]],SEARCH(" ",Table2[[#This Row],[Notes]])-1),".","/"))</f>
        <v>#VALUE!</v>
      </c>
      <c r="G82" s="39"/>
      <c r="H82" s="39"/>
      <c r="I82" s="39"/>
      <c r="J82" s="39"/>
      <c r="K82" s="39"/>
      <c r="L82" s="39"/>
      <c r="M82" s="39"/>
      <c r="N82" s="39"/>
      <c r="O82" s="39"/>
      <c r="P82" s="39"/>
      <c r="Q82" s="39"/>
      <c r="R82" s="39"/>
      <c r="S82" s="39"/>
      <c r="T82" s="39"/>
      <c r="U82" s="39"/>
      <c r="V82" s="39"/>
      <c r="W82" s="39"/>
      <c r="X82" s="39"/>
      <c r="Y82" s="39"/>
      <c r="Z82" s="39"/>
      <c r="AA82" s="39"/>
    </row>
    <row r="83" spans="1:27" x14ac:dyDescent="0.25">
      <c r="A83" s="39"/>
      <c r="B83" s="39">
        <f>COUNTA('in progress'!A:A)-1</f>
        <v>33</v>
      </c>
      <c r="C83" s="39" t="e">
        <f xml:space="preserve"> MID(A83,SEARCH(":",A83)+2,SEARCH(":",A83,SEARCH(":",A83)+1)-SEARCH(":",A83)-3)</f>
        <v>#VALUE!</v>
      </c>
      <c r="D83" s="39" t="e">
        <f>"partner:"&amp;MID(A83,SEARCH(":",A83)+1,SEARCH(":",A83,SEARCH(":",A83)+1)-SEARCH(":",A83)-1)</f>
        <v>#VALUE!</v>
      </c>
      <c r="E83" s="39"/>
      <c r="F83" s="40" t="e">
        <f>DATEVALUE(SUBSTITUTE(LEFT(Table2[[#This Row],[Notes]],SEARCH(" ",Table2[[#This Row],[Notes]])-1),".","/"))</f>
        <v>#VALUE!</v>
      </c>
      <c r="G83" s="39"/>
      <c r="H83" s="39"/>
      <c r="I83" s="39"/>
      <c r="J83" s="39"/>
      <c r="K83" s="39"/>
      <c r="L83" s="39"/>
      <c r="M83" s="39"/>
      <c r="N83" s="39"/>
      <c r="O83" s="39"/>
      <c r="P83" s="39"/>
      <c r="Q83" s="39"/>
      <c r="R83" s="39"/>
      <c r="S83" s="39"/>
      <c r="T83" s="39"/>
      <c r="U83" s="39"/>
      <c r="V83" s="39"/>
      <c r="W83" s="39"/>
      <c r="X83" s="39"/>
      <c r="Y83" s="39"/>
      <c r="Z83" s="39"/>
      <c r="AA83" s="39"/>
    </row>
    <row r="84" spans="1:27" x14ac:dyDescent="0.25">
      <c r="A84" s="39"/>
      <c r="B84" s="39">
        <f>COUNTA('in progress'!A:A)-1</f>
        <v>33</v>
      </c>
      <c r="C84" s="39" t="e">
        <f xml:space="preserve"> MID(A84,SEARCH(":",A84)+2,SEARCH(":",A84,SEARCH(":",A84)+1)-SEARCH(":",A84)-3)</f>
        <v>#VALUE!</v>
      </c>
      <c r="D84" s="39" t="e">
        <f>"partner:"&amp;MID(A84,SEARCH(":",A84)+1,SEARCH(":",A84,SEARCH(":",A84)+1)-SEARCH(":",A84)-1)</f>
        <v>#VALUE!</v>
      </c>
      <c r="E84" s="39"/>
      <c r="F84" s="40" t="e">
        <f>DATEVALUE(SUBSTITUTE(LEFT(Table2[[#This Row],[Notes]],SEARCH(" ",Table2[[#This Row],[Notes]])-1),".","/"))</f>
        <v>#VALUE!</v>
      </c>
      <c r="G84" s="39"/>
      <c r="H84" s="39"/>
      <c r="I84" s="39"/>
      <c r="J84" s="39"/>
      <c r="K84" s="39"/>
      <c r="L84" s="39"/>
      <c r="M84" s="39"/>
      <c r="N84" s="39"/>
      <c r="O84" s="39"/>
      <c r="P84" s="39"/>
      <c r="Q84" s="39"/>
      <c r="R84" s="39"/>
      <c r="S84" s="39"/>
      <c r="T84" s="39"/>
      <c r="U84" s="39"/>
      <c r="V84" s="39"/>
      <c r="W84" s="39"/>
      <c r="X84" s="39"/>
      <c r="Y84" s="39"/>
      <c r="Z84" s="39"/>
      <c r="AA84" s="39"/>
    </row>
    <row r="85" spans="1:27" x14ac:dyDescent="0.25">
      <c r="A85" s="39"/>
      <c r="B85" s="39">
        <f>COUNTA('in progress'!A:A)-1</f>
        <v>33</v>
      </c>
      <c r="C85" s="39" t="e">
        <f xml:space="preserve"> MID(A85,SEARCH(":",A85)+2,SEARCH(":",A85,SEARCH(":",A85)+1)-SEARCH(":",A85)-3)</f>
        <v>#VALUE!</v>
      </c>
      <c r="D85" s="39" t="e">
        <f>"partner:"&amp;MID(A85,SEARCH(":",A85)+1,SEARCH(":",A85,SEARCH(":",A85)+1)-SEARCH(":",A85)-1)</f>
        <v>#VALUE!</v>
      </c>
      <c r="E85" s="39"/>
      <c r="F85" s="40" t="e">
        <f>DATEVALUE(SUBSTITUTE(LEFT(Table2[[#This Row],[Notes]],SEARCH(" ",Table2[[#This Row],[Notes]])-1),".","/"))</f>
        <v>#VALUE!</v>
      </c>
      <c r="G85" s="39"/>
      <c r="H85" s="39"/>
      <c r="I85" s="39"/>
      <c r="J85" s="39"/>
      <c r="K85" s="39"/>
      <c r="L85" s="39"/>
      <c r="M85" s="39"/>
      <c r="N85" s="39"/>
      <c r="O85" s="39"/>
      <c r="P85" s="39"/>
      <c r="Q85" s="39"/>
      <c r="R85" s="39"/>
      <c r="S85" s="39"/>
      <c r="T85" s="39"/>
      <c r="U85" s="39"/>
      <c r="V85" s="39"/>
      <c r="W85" s="39"/>
      <c r="X85" s="39"/>
      <c r="Y85" s="39"/>
      <c r="Z85" s="39"/>
      <c r="AA85" s="39"/>
    </row>
    <row r="86" spans="1:27" x14ac:dyDescent="0.25">
      <c r="A86" s="39"/>
      <c r="B86" s="39">
        <f>COUNTA('in progress'!A:A)-1</f>
        <v>33</v>
      </c>
      <c r="C86" s="39" t="e">
        <f xml:space="preserve"> MID(A86,SEARCH(":",A86)+2,SEARCH(":",A86,SEARCH(":",A86)+1)-SEARCH(":",A86)-3)</f>
        <v>#VALUE!</v>
      </c>
      <c r="D86" s="39" t="e">
        <f>"partner:"&amp;MID(A86,SEARCH(":",A86)+1,SEARCH(":",A86,SEARCH(":",A86)+1)-SEARCH(":",A86)-1)</f>
        <v>#VALUE!</v>
      </c>
      <c r="E86" s="39"/>
      <c r="F86" s="40" t="e">
        <f>DATEVALUE(SUBSTITUTE(LEFT(Table2[[#This Row],[Notes]],SEARCH(" ",Table2[[#This Row],[Notes]])-1),".","/"))</f>
        <v>#VALUE!</v>
      </c>
      <c r="G86" s="39"/>
      <c r="H86" s="39"/>
      <c r="I86" s="39"/>
      <c r="J86" s="39"/>
      <c r="K86" s="39"/>
      <c r="L86" s="39"/>
      <c r="M86" s="39"/>
      <c r="N86" s="39"/>
      <c r="O86" s="39"/>
      <c r="P86" s="39"/>
      <c r="Q86" s="39"/>
      <c r="R86" s="39"/>
      <c r="S86" s="39"/>
      <c r="T86" s="39"/>
      <c r="U86" s="39"/>
      <c r="V86" s="39"/>
      <c r="W86" s="39"/>
      <c r="X86" s="39"/>
      <c r="Y86" s="39"/>
      <c r="Z86" s="39"/>
      <c r="AA86" s="39"/>
    </row>
    <row r="87" spans="1:27" x14ac:dyDescent="0.25">
      <c r="A87" s="39"/>
      <c r="B87" s="39">
        <f>COUNTA('in progress'!A:A)-1</f>
        <v>33</v>
      </c>
      <c r="C87" s="39" t="e">
        <f xml:space="preserve"> MID(A87,SEARCH(":",A87)+2,SEARCH(":",A87,SEARCH(":",A87)+1)-SEARCH(":",A87)-3)</f>
        <v>#VALUE!</v>
      </c>
      <c r="D87" s="39" t="e">
        <f>"partner:"&amp;MID(A87,SEARCH(":",A87)+1,SEARCH(":",A87,SEARCH(":",A87)+1)-SEARCH(":",A87)-1)</f>
        <v>#VALUE!</v>
      </c>
      <c r="E87" s="39"/>
      <c r="F87" s="40" t="e">
        <f>DATEVALUE(SUBSTITUTE(LEFT(Table2[[#This Row],[Notes]],SEARCH(" ",Table2[[#This Row],[Notes]])-1),".","/"))</f>
        <v>#VALUE!</v>
      </c>
      <c r="G87" s="39"/>
      <c r="H87" s="39"/>
      <c r="I87" s="39"/>
      <c r="J87" s="39"/>
      <c r="K87" s="39"/>
      <c r="L87" s="39"/>
      <c r="M87" s="39"/>
      <c r="N87" s="39"/>
      <c r="O87" s="39"/>
      <c r="P87" s="39"/>
      <c r="Q87" s="39"/>
      <c r="R87" s="39"/>
      <c r="S87" s="39"/>
      <c r="T87" s="39"/>
      <c r="U87" s="39"/>
      <c r="V87" s="39"/>
      <c r="W87" s="39"/>
      <c r="X87" s="39"/>
      <c r="Y87" s="39"/>
      <c r="Z87" s="39"/>
      <c r="AA87" s="39"/>
    </row>
    <row r="88" spans="1:27" x14ac:dyDescent="0.25">
      <c r="A88" s="39"/>
      <c r="B88" s="39">
        <f>COUNTA('in progress'!A:A)-1</f>
        <v>33</v>
      </c>
      <c r="C88" s="39" t="e">
        <f xml:space="preserve"> MID(A88,SEARCH(":",A88)+2,SEARCH(":",A88,SEARCH(":",A88)+1)-SEARCH(":",A88)-3)</f>
        <v>#VALUE!</v>
      </c>
      <c r="D88" s="39" t="e">
        <f>"partner:"&amp;MID(A88,SEARCH(":",A88)+1,SEARCH(":",A88,SEARCH(":",A88)+1)-SEARCH(":",A88)-1)</f>
        <v>#VALUE!</v>
      </c>
      <c r="E88" s="39"/>
      <c r="F88" s="40" t="e">
        <f>DATEVALUE(SUBSTITUTE(LEFT(Table2[[#This Row],[Notes]],SEARCH(" ",Table2[[#This Row],[Notes]])-1),".","/"))</f>
        <v>#VALUE!</v>
      </c>
      <c r="G88" s="39"/>
      <c r="H88" s="39"/>
      <c r="I88" s="39"/>
      <c r="J88" s="39"/>
      <c r="K88" s="39"/>
      <c r="L88" s="39"/>
      <c r="M88" s="39"/>
      <c r="N88" s="39"/>
      <c r="O88" s="39"/>
      <c r="P88" s="39"/>
      <c r="Q88" s="39"/>
      <c r="R88" s="39"/>
      <c r="S88" s="39"/>
      <c r="T88" s="39"/>
      <c r="U88" s="39"/>
      <c r="V88" s="39"/>
      <c r="W88" s="39"/>
      <c r="X88" s="39"/>
      <c r="Y88" s="39"/>
      <c r="Z88" s="39"/>
      <c r="AA88" s="39"/>
    </row>
    <row r="89" spans="1:27" x14ac:dyDescent="0.25">
      <c r="A89" s="39"/>
      <c r="B89" s="39">
        <f>COUNTA('in progress'!A:A)-1</f>
        <v>33</v>
      </c>
      <c r="C89" s="39" t="e">
        <f xml:space="preserve"> MID(A89,SEARCH(":",A89)+2,SEARCH(":",A89,SEARCH(":",A89)+1)-SEARCH(":",A89)-3)</f>
        <v>#VALUE!</v>
      </c>
      <c r="D89" s="39" t="e">
        <f>"partner:"&amp;MID(A89,SEARCH(":",A89)+1,SEARCH(":",A89,SEARCH(":",A89)+1)-SEARCH(":",A89)-1)</f>
        <v>#VALUE!</v>
      </c>
      <c r="E89" s="39"/>
      <c r="F89" s="40" t="e">
        <f>DATEVALUE(SUBSTITUTE(LEFT(Table2[[#This Row],[Notes]],SEARCH(" ",Table2[[#This Row],[Notes]])-1),".","/"))</f>
        <v>#VALUE!</v>
      </c>
      <c r="G89" s="39"/>
      <c r="H89" s="39"/>
      <c r="I89" s="39"/>
      <c r="J89" s="39"/>
      <c r="K89" s="39"/>
      <c r="L89" s="39"/>
      <c r="M89" s="39"/>
      <c r="N89" s="39"/>
      <c r="O89" s="39"/>
      <c r="P89" s="39"/>
      <c r="Q89" s="39"/>
      <c r="R89" s="39"/>
      <c r="S89" s="39"/>
      <c r="T89" s="39"/>
      <c r="U89" s="39"/>
      <c r="V89" s="39"/>
      <c r="W89" s="39"/>
      <c r="X89" s="39"/>
      <c r="Y89" s="39"/>
      <c r="Z89" s="39"/>
      <c r="AA89" s="39"/>
    </row>
    <row r="90" spans="1:27" x14ac:dyDescent="0.25">
      <c r="A90" s="39"/>
      <c r="B90" s="39">
        <f>COUNTA('in progress'!A:A)-1</f>
        <v>33</v>
      </c>
      <c r="C90" s="39" t="e">
        <f xml:space="preserve"> MID(A90,SEARCH(":",A90)+2,SEARCH(":",A90,SEARCH(":",A90)+1)-SEARCH(":",A90)-3)</f>
        <v>#VALUE!</v>
      </c>
      <c r="D90" s="39" t="e">
        <f>"partner:"&amp;MID(A90,SEARCH(":",A90)+1,SEARCH(":",A90,SEARCH(":",A90)+1)-SEARCH(":",A90)-1)</f>
        <v>#VALUE!</v>
      </c>
      <c r="E90" s="39"/>
      <c r="F90" s="40" t="e">
        <f>DATEVALUE(SUBSTITUTE(LEFT(Table2[[#This Row],[Notes]],SEARCH(" ",Table2[[#This Row],[Notes]])-1),".","/"))</f>
        <v>#VALUE!</v>
      </c>
      <c r="G90" s="39"/>
      <c r="H90" s="39"/>
      <c r="I90" s="39"/>
      <c r="J90" s="39"/>
      <c r="K90" s="39"/>
      <c r="L90" s="39"/>
      <c r="M90" s="39"/>
      <c r="N90" s="39"/>
      <c r="O90" s="39"/>
      <c r="P90" s="39"/>
      <c r="Q90" s="39"/>
      <c r="R90" s="39"/>
      <c r="S90" s="39"/>
      <c r="T90" s="39"/>
      <c r="U90" s="39"/>
      <c r="V90" s="39"/>
      <c r="W90" s="39"/>
      <c r="X90" s="39"/>
      <c r="Y90" s="39"/>
      <c r="Z90" s="39"/>
      <c r="AA90" s="39"/>
    </row>
    <row r="91" spans="1:27" x14ac:dyDescent="0.25">
      <c r="A91" s="39"/>
      <c r="B91" s="39">
        <f>COUNTA('in progress'!A:A)-1</f>
        <v>33</v>
      </c>
      <c r="C91" s="39" t="e">
        <f xml:space="preserve"> MID(A91,SEARCH(":",A91)+2,SEARCH(":",A91,SEARCH(":",A91)+1)-SEARCH(":",A91)-3)</f>
        <v>#VALUE!</v>
      </c>
      <c r="D91" s="39" t="e">
        <f>"partner:"&amp;MID(A91,SEARCH(":",A91)+1,SEARCH(":",A91,SEARCH(":",A91)+1)-SEARCH(":",A91)-1)</f>
        <v>#VALUE!</v>
      </c>
      <c r="E91" s="39"/>
      <c r="F91" s="40" t="e">
        <f>DATEVALUE(SUBSTITUTE(LEFT(Table2[[#This Row],[Notes]],SEARCH(" ",Table2[[#This Row],[Notes]])-1),".","/"))</f>
        <v>#VALUE!</v>
      </c>
      <c r="G91" s="39"/>
      <c r="H91" s="39"/>
      <c r="I91" s="39"/>
      <c r="J91" s="39"/>
      <c r="K91" s="39"/>
      <c r="L91" s="39"/>
      <c r="M91" s="39"/>
      <c r="N91" s="39"/>
      <c r="O91" s="39"/>
      <c r="P91" s="39"/>
      <c r="Q91" s="39"/>
      <c r="R91" s="39"/>
      <c r="S91" s="39"/>
      <c r="T91" s="39"/>
      <c r="U91" s="39"/>
      <c r="V91" s="39"/>
      <c r="W91" s="39"/>
      <c r="X91" s="39"/>
      <c r="Y91" s="39"/>
      <c r="Z91" s="39"/>
      <c r="AA91" s="39"/>
    </row>
    <row r="92" spans="1:27" x14ac:dyDescent="0.25">
      <c r="A92" s="39"/>
      <c r="B92" s="39">
        <f>COUNTA('in progress'!A:A)-1</f>
        <v>33</v>
      </c>
      <c r="C92" s="39" t="e">
        <f xml:space="preserve"> MID(A92,SEARCH(":",A92)+2,SEARCH(":",A92,SEARCH(":",A92)+1)-SEARCH(":",A92)-3)</f>
        <v>#VALUE!</v>
      </c>
      <c r="D92" s="39" t="e">
        <f>"partner:"&amp;MID(A92,SEARCH(":",A92)+1,SEARCH(":",A92,SEARCH(":",A92)+1)-SEARCH(":",A92)-1)</f>
        <v>#VALUE!</v>
      </c>
      <c r="E92" s="39"/>
      <c r="F92" s="40" t="e">
        <f>DATEVALUE(SUBSTITUTE(LEFT(Table2[[#This Row],[Notes]],SEARCH(" ",Table2[[#This Row],[Notes]])-1),".","/"))</f>
        <v>#VALUE!</v>
      </c>
      <c r="G92" s="39"/>
      <c r="H92" s="39"/>
      <c r="I92" s="39"/>
      <c r="J92" s="39"/>
      <c r="K92" s="39"/>
      <c r="L92" s="39"/>
      <c r="M92" s="39"/>
      <c r="N92" s="39"/>
      <c r="O92" s="39"/>
      <c r="P92" s="39"/>
      <c r="Q92" s="39"/>
      <c r="R92" s="39"/>
      <c r="S92" s="39"/>
      <c r="T92" s="39"/>
      <c r="U92" s="39"/>
      <c r="V92" s="39"/>
      <c r="W92" s="39"/>
      <c r="X92" s="39"/>
      <c r="Y92" s="39"/>
      <c r="Z92" s="39"/>
      <c r="AA92" s="39"/>
    </row>
    <row r="93" spans="1:27" x14ac:dyDescent="0.25">
      <c r="A93" s="39"/>
      <c r="B93" s="39">
        <f>COUNTA('in progress'!A:A)-1</f>
        <v>33</v>
      </c>
      <c r="C93" s="39" t="e">
        <f xml:space="preserve"> MID(A93,SEARCH(":",A93)+2,SEARCH(":",A93,SEARCH(":",A93)+1)-SEARCH(":",A93)-3)</f>
        <v>#VALUE!</v>
      </c>
      <c r="D93" s="39" t="e">
        <f>"partner:"&amp;MID(A93,SEARCH(":",A93)+1,SEARCH(":",A93,SEARCH(":",A93)+1)-SEARCH(":",A93)-1)</f>
        <v>#VALUE!</v>
      </c>
      <c r="E93" s="39"/>
      <c r="F93" s="40" t="e">
        <f>DATEVALUE(SUBSTITUTE(LEFT(Table2[[#This Row],[Notes]],SEARCH(" ",Table2[[#This Row],[Notes]])-1),".","/"))</f>
        <v>#VALUE!</v>
      </c>
      <c r="G93" s="39"/>
      <c r="H93" s="39"/>
      <c r="I93" s="39"/>
      <c r="J93" s="39"/>
      <c r="K93" s="39"/>
      <c r="L93" s="39"/>
      <c r="M93" s="39"/>
      <c r="N93" s="39"/>
      <c r="O93" s="39"/>
      <c r="P93" s="39"/>
      <c r="Q93" s="39"/>
      <c r="R93" s="39"/>
      <c r="S93" s="39"/>
      <c r="T93" s="39"/>
      <c r="U93" s="39"/>
      <c r="V93" s="39"/>
      <c r="W93" s="39"/>
      <c r="X93" s="39"/>
      <c r="Y93" s="39"/>
      <c r="Z93" s="39"/>
      <c r="AA93" s="39"/>
    </row>
    <row r="94" spans="1:27" x14ac:dyDescent="0.25">
      <c r="A94" s="39"/>
      <c r="B94" s="39">
        <f>COUNTA('in progress'!A:A)-1</f>
        <v>33</v>
      </c>
      <c r="C94" s="39" t="e">
        <f xml:space="preserve"> MID(A94,SEARCH(":",A94)+2,SEARCH(":",A94,SEARCH(":",A94)+1)-SEARCH(":",A94)-3)</f>
        <v>#VALUE!</v>
      </c>
      <c r="D94" s="39" t="e">
        <f>"partner:"&amp;MID(A94,SEARCH(":",A94)+1,SEARCH(":",A94,SEARCH(":",A94)+1)-SEARCH(":",A94)-1)</f>
        <v>#VALUE!</v>
      </c>
      <c r="E94" s="39"/>
      <c r="F94" s="40" t="e">
        <f>DATEVALUE(SUBSTITUTE(LEFT(Table2[[#This Row],[Notes]],SEARCH(" ",Table2[[#This Row],[Notes]])-1),".","/"))</f>
        <v>#VALUE!</v>
      </c>
      <c r="G94" s="39"/>
      <c r="H94" s="39"/>
      <c r="I94" s="39"/>
      <c r="J94" s="39"/>
      <c r="K94" s="39"/>
      <c r="L94" s="39"/>
      <c r="M94" s="39"/>
      <c r="N94" s="39"/>
      <c r="O94" s="39"/>
      <c r="P94" s="39"/>
      <c r="Q94" s="39"/>
      <c r="R94" s="39"/>
      <c r="S94" s="39"/>
      <c r="T94" s="39"/>
      <c r="U94" s="39"/>
      <c r="V94" s="39"/>
      <c r="W94" s="39"/>
      <c r="X94" s="39"/>
      <c r="Y94" s="39"/>
      <c r="Z94" s="39"/>
      <c r="AA94" s="39"/>
    </row>
    <row r="95" spans="1:27" x14ac:dyDescent="0.25">
      <c r="A95" s="39"/>
      <c r="B95" s="39">
        <f>COUNTA('in progress'!A:A)-1</f>
        <v>33</v>
      </c>
      <c r="C95" s="39" t="e">
        <f xml:space="preserve"> MID(A95,SEARCH(":",A95)+2,SEARCH(":",A95,SEARCH(":",A95)+1)-SEARCH(":",A95)-3)</f>
        <v>#VALUE!</v>
      </c>
      <c r="D95" s="39" t="e">
        <f>"partner:"&amp;MID(A95,SEARCH(":",A95)+1,SEARCH(":",A95,SEARCH(":",A95)+1)-SEARCH(":",A95)-1)</f>
        <v>#VALUE!</v>
      </c>
      <c r="E95" s="39"/>
      <c r="F95" s="40" t="e">
        <f>DATEVALUE(SUBSTITUTE(LEFT(Table2[[#This Row],[Notes]],SEARCH(" ",Table2[[#This Row],[Notes]])-1),".","/"))</f>
        <v>#VALUE!</v>
      </c>
      <c r="G95" s="39"/>
      <c r="H95" s="39"/>
      <c r="I95" s="39"/>
      <c r="J95" s="39"/>
      <c r="K95" s="39"/>
      <c r="L95" s="39"/>
      <c r="M95" s="39"/>
      <c r="N95" s="39"/>
      <c r="O95" s="39"/>
      <c r="P95" s="39"/>
      <c r="Q95" s="39"/>
      <c r="R95" s="39"/>
      <c r="S95" s="39"/>
      <c r="T95" s="39"/>
      <c r="U95" s="39"/>
      <c r="V95" s="39"/>
      <c r="W95" s="39"/>
      <c r="X95" s="39"/>
      <c r="Y95" s="39"/>
      <c r="Z95" s="39"/>
      <c r="AA95" s="39"/>
    </row>
    <row r="96" spans="1:27" x14ac:dyDescent="0.25">
      <c r="A96" s="39"/>
      <c r="B96" s="39">
        <f>COUNTA('in progress'!A:A)-1</f>
        <v>33</v>
      </c>
      <c r="C96" s="39" t="e">
        <f xml:space="preserve"> MID(A96,SEARCH(":",A96)+2,SEARCH(":",A96,SEARCH(":",A96)+1)-SEARCH(":",A96)-3)</f>
        <v>#VALUE!</v>
      </c>
      <c r="D96" s="39" t="e">
        <f>"partner:"&amp;MID(A96,SEARCH(":",A96)+1,SEARCH(":",A96,SEARCH(":",A96)+1)-SEARCH(":",A96)-1)</f>
        <v>#VALUE!</v>
      </c>
      <c r="E96" s="39"/>
      <c r="F96" s="40" t="e">
        <f>DATEVALUE(SUBSTITUTE(LEFT(Table2[[#This Row],[Notes]],SEARCH(" ",Table2[[#This Row],[Notes]])-1),".","/"))</f>
        <v>#VALUE!</v>
      </c>
      <c r="G96" s="39"/>
      <c r="H96" s="39"/>
      <c r="I96" s="39"/>
      <c r="J96" s="39"/>
      <c r="K96" s="39"/>
      <c r="L96" s="39"/>
      <c r="M96" s="39"/>
      <c r="N96" s="39"/>
      <c r="O96" s="39"/>
      <c r="P96" s="39"/>
      <c r="Q96" s="39"/>
      <c r="R96" s="39"/>
      <c r="S96" s="39"/>
      <c r="T96" s="39"/>
      <c r="U96" s="39"/>
      <c r="V96" s="39"/>
      <c r="W96" s="39"/>
      <c r="X96" s="39"/>
      <c r="Y96" s="39"/>
      <c r="Z96" s="39"/>
      <c r="AA96" s="39"/>
    </row>
    <row r="97" spans="1:27" x14ac:dyDescent="0.25">
      <c r="A97" s="39"/>
      <c r="B97" s="39">
        <f>COUNTA('in progress'!A:A)-1</f>
        <v>33</v>
      </c>
      <c r="C97" s="39" t="e">
        <f xml:space="preserve"> MID(A97,SEARCH(":",A97)+2,SEARCH(":",A97,SEARCH(":",A97)+1)-SEARCH(":",A97)-3)</f>
        <v>#VALUE!</v>
      </c>
      <c r="D97" s="39" t="e">
        <f>"partner:"&amp;MID(A97,SEARCH(":",A97)+1,SEARCH(":",A97,SEARCH(":",A97)+1)-SEARCH(":",A97)-1)</f>
        <v>#VALUE!</v>
      </c>
      <c r="E97" s="39"/>
      <c r="F97" s="40" t="e">
        <f>DATEVALUE(SUBSTITUTE(LEFT(Table2[[#This Row],[Notes]],SEARCH(" ",Table2[[#This Row],[Notes]])-1),".","/"))</f>
        <v>#VALUE!</v>
      </c>
      <c r="G97" s="39"/>
      <c r="H97" s="39"/>
      <c r="I97" s="39"/>
      <c r="J97" s="39"/>
      <c r="K97" s="39"/>
      <c r="L97" s="39"/>
      <c r="M97" s="39"/>
      <c r="N97" s="39"/>
      <c r="O97" s="39"/>
      <c r="P97" s="39"/>
      <c r="Q97" s="39"/>
      <c r="R97" s="39"/>
      <c r="S97" s="39"/>
      <c r="T97" s="39"/>
      <c r="U97" s="39"/>
      <c r="V97" s="39"/>
      <c r="W97" s="39"/>
      <c r="X97" s="39"/>
      <c r="Y97" s="39"/>
      <c r="Z97" s="39"/>
      <c r="AA97" s="39"/>
    </row>
    <row r="98" spans="1:27" x14ac:dyDescent="0.25">
      <c r="A98" s="39"/>
      <c r="B98" s="39">
        <f>COUNTA('in progress'!A:A)-1</f>
        <v>33</v>
      </c>
      <c r="C98" s="39" t="e">
        <f xml:space="preserve"> MID(A98,SEARCH(":",A98)+2,SEARCH(":",A98,SEARCH(":",A98)+1)-SEARCH(":",A98)-3)</f>
        <v>#VALUE!</v>
      </c>
      <c r="D98" s="39" t="e">
        <f>"partner:"&amp;MID(A98,SEARCH(":",A98)+1,SEARCH(":",A98,SEARCH(":",A98)+1)-SEARCH(":",A98)-1)</f>
        <v>#VALUE!</v>
      </c>
      <c r="E98" s="39"/>
      <c r="F98" s="40" t="e">
        <f>DATEVALUE(SUBSTITUTE(LEFT(Table2[[#This Row],[Notes]],SEARCH(" ",Table2[[#This Row],[Notes]])-1),".","/"))</f>
        <v>#VALUE!</v>
      </c>
      <c r="G98" s="39"/>
      <c r="H98" s="39"/>
      <c r="I98" s="39"/>
      <c r="J98" s="39"/>
      <c r="K98" s="39"/>
      <c r="L98" s="39"/>
      <c r="M98" s="39"/>
      <c r="N98" s="39"/>
      <c r="O98" s="39"/>
      <c r="P98" s="39"/>
      <c r="Q98" s="39"/>
      <c r="R98" s="39"/>
      <c r="S98" s="39"/>
      <c r="T98" s="39"/>
      <c r="U98" s="39"/>
      <c r="V98" s="39"/>
      <c r="W98" s="39"/>
      <c r="X98" s="39"/>
      <c r="Y98" s="39"/>
      <c r="Z98" s="39"/>
      <c r="AA98" s="39"/>
    </row>
    <row r="99" spans="1:27" x14ac:dyDescent="0.25">
      <c r="A99" s="39"/>
      <c r="B99" s="39">
        <f>COUNTA('in progress'!A:A)-1</f>
        <v>33</v>
      </c>
      <c r="C99" s="39" t="e">
        <f xml:space="preserve"> MID(A99,SEARCH(":",A99)+2,SEARCH(":",A99,SEARCH(":",A99)+1)-SEARCH(":",A99)-3)</f>
        <v>#VALUE!</v>
      </c>
      <c r="D99" s="39" t="e">
        <f>"partner:"&amp;MID(A99,SEARCH(":",A99)+1,SEARCH(":",A99,SEARCH(":",A99)+1)-SEARCH(":",A99)-1)</f>
        <v>#VALUE!</v>
      </c>
      <c r="E99" s="39"/>
      <c r="F99" s="40" t="e">
        <f>DATEVALUE(SUBSTITUTE(LEFT(Table2[[#This Row],[Notes]],SEARCH(" ",Table2[[#This Row],[Notes]])-1),".","/"))</f>
        <v>#VALUE!</v>
      </c>
      <c r="G99" s="39"/>
      <c r="H99" s="39"/>
      <c r="I99" s="39"/>
      <c r="J99" s="39"/>
      <c r="K99" s="39"/>
      <c r="L99" s="39"/>
      <c r="M99" s="39"/>
      <c r="N99" s="39"/>
      <c r="O99" s="39"/>
      <c r="P99" s="39"/>
      <c r="Q99" s="39"/>
      <c r="R99" s="39"/>
      <c r="S99" s="39"/>
      <c r="T99" s="39"/>
      <c r="U99" s="39"/>
      <c r="V99" s="39"/>
      <c r="W99" s="39"/>
      <c r="X99" s="39"/>
      <c r="Y99" s="39"/>
      <c r="Z99" s="39"/>
      <c r="AA99" s="39"/>
    </row>
    <row r="100" spans="1:27" x14ac:dyDescent="0.25">
      <c r="A100" s="39"/>
      <c r="B100" s="39">
        <f>COUNTA('in progress'!A:A)-1</f>
        <v>33</v>
      </c>
      <c r="C100" s="39" t="e">
        <f xml:space="preserve"> MID(A100,SEARCH(":",A100)+2,SEARCH(":",A100,SEARCH(":",A100)+1)-SEARCH(":",A100)-3)</f>
        <v>#VALUE!</v>
      </c>
      <c r="D100" s="39" t="e">
        <f>"partner:"&amp;MID(A100,SEARCH(":",A100)+1,SEARCH(":",A100,SEARCH(":",A100)+1)-SEARCH(":",A100)-1)</f>
        <v>#VALUE!</v>
      </c>
      <c r="E100" s="39"/>
      <c r="F100" s="40" t="e">
        <f>DATEVALUE(SUBSTITUTE(LEFT(Table2[[#This Row],[Notes]],SEARCH(" ",Table2[[#This Row],[Notes]])-1),".","/"))</f>
        <v>#VALUE!</v>
      </c>
      <c r="G100" s="39"/>
      <c r="H100" s="39"/>
      <c r="I100" s="39"/>
      <c r="J100" s="39"/>
      <c r="K100" s="39"/>
      <c r="L100" s="39"/>
      <c r="M100" s="39"/>
      <c r="N100" s="39"/>
      <c r="O100" s="39"/>
      <c r="P100" s="39"/>
      <c r="Q100" s="39"/>
      <c r="R100" s="39"/>
      <c r="S100" s="39"/>
      <c r="T100" s="39"/>
      <c r="U100" s="39"/>
      <c r="V100" s="39"/>
      <c r="W100" s="39"/>
      <c r="X100" s="39"/>
      <c r="Y100" s="39"/>
      <c r="Z100" s="39"/>
      <c r="AA100" s="39"/>
    </row>
    <row r="101" spans="1:27" x14ac:dyDescent="0.25">
      <c r="A101" s="39"/>
      <c r="B101" s="39">
        <f>COUNTA('in progress'!A:A)-1</f>
        <v>33</v>
      </c>
      <c r="C101" s="39" t="e">
        <f xml:space="preserve"> MID(A101,SEARCH(":",A101)+2,SEARCH(":",A101,SEARCH(":",A101)+1)-SEARCH(":",A101)-3)</f>
        <v>#VALUE!</v>
      </c>
      <c r="D101" s="39" t="e">
        <f>"partner:"&amp;MID(A101,SEARCH(":",A101)+1,SEARCH(":",A101,SEARCH(":",A101)+1)-SEARCH(":",A101)-1)</f>
        <v>#VALUE!</v>
      </c>
      <c r="E101" s="39"/>
      <c r="F101" s="40" t="e">
        <f>DATEVALUE(SUBSTITUTE(LEFT(Table2[[#This Row],[Notes]],SEARCH(" ",Table2[[#This Row],[Notes]])-1),".","/"))</f>
        <v>#VALUE!</v>
      </c>
      <c r="G101" s="39"/>
      <c r="H101" s="39"/>
      <c r="I101" s="39"/>
      <c r="J101" s="39"/>
      <c r="K101" s="39"/>
      <c r="L101" s="39"/>
      <c r="M101" s="39"/>
      <c r="N101" s="39"/>
      <c r="O101" s="39"/>
      <c r="P101" s="39"/>
      <c r="Q101" s="39"/>
      <c r="R101" s="39"/>
      <c r="S101" s="39"/>
      <c r="T101" s="39"/>
      <c r="U101" s="39"/>
      <c r="V101" s="39"/>
      <c r="W101" s="39"/>
      <c r="X101" s="39"/>
      <c r="Y101" s="39"/>
      <c r="Z101" s="39"/>
      <c r="AA101" s="39"/>
    </row>
    <row r="102" spans="1:27" x14ac:dyDescent="0.25">
      <c r="A102" s="39"/>
      <c r="B102" s="39">
        <f>COUNTA('in progress'!A:A)-1</f>
        <v>33</v>
      </c>
      <c r="C102" s="39" t="e">
        <f xml:space="preserve"> MID(A102,SEARCH(":",A102)+2,SEARCH(":",A102,SEARCH(":",A102)+1)-SEARCH(":",A102)-3)</f>
        <v>#VALUE!</v>
      </c>
      <c r="D102" s="39" t="e">
        <f>"partner:"&amp;MID(A102,SEARCH(":",A102)+1,SEARCH(":",A102,SEARCH(":",A102)+1)-SEARCH(":",A102)-1)</f>
        <v>#VALUE!</v>
      </c>
      <c r="E102" s="39"/>
      <c r="F102" s="40" t="e">
        <f>DATEVALUE(SUBSTITUTE(LEFT(Table2[[#This Row],[Notes]],SEARCH(" ",Table2[[#This Row],[Notes]])-1),".","/"))</f>
        <v>#VALUE!</v>
      </c>
      <c r="G102" s="39"/>
      <c r="H102" s="39"/>
      <c r="I102" s="39"/>
      <c r="J102" s="39"/>
      <c r="K102" s="39"/>
      <c r="L102" s="39"/>
      <c r="M102" s="39"/>
      <c r="N102" s="39"/>
      <c r="O102" s="39"/>
      <c r="P102" s="39"/>
      <c r="Q102" s="39"/>
      <c r="R102" s="39"/>
      <c r="S102" s="39"/>
      <c r="T102" s="39"/>
      <c r="U102" s="39"/>
      <c r="V102" s="39"/>
      <c r="W102" s="39"/>
      <c r="X102" s="39"/>
      <c r="Y102" s="39"/>
      <c r="Z102" s="39"/>
      <c r="AA102" s="39"/>
    </row>
    <row r="103" spans="1:27" x14ac:dyDescent="0.25">
      <c r="A103" s="39"/>
      <c r="B103" s="39">
        <f>COUNTA('in progress'!A:A)-1</f>
        <v>33</v>
      </c>
      <c r="C103" s="39" t="e">
        <f xml:space="preserve"> MID(A103,SEARCH(":",A103)+2,SEARCH(":",A103,SEARCH(":",A103)+1)-SEARCH(":",A103)-3)</f>
        <v>#VALUE!</v>
      </c>
      <c r="D103" s="39" t="e">
        <f>"partner:"&amp;MID(A103,SEARCH(":",A103)+1,SEARCH(":",A103,SEARCH(":",A103)+1)-SEARCH(":",A103)-1)</f>
        <v>#VALUE!</v>
      </c>
      <c r="E103" s="39"/>
      <c r="F103" s="40" t="e">
        <f>DATEVALUE(SUBSTITUTE(LEFT(Table2[[#This Row],[Notes]],SEARCH(" ",Table2[[#This Row],[Notes]])-1),".","/"))</f>
        <v>#VALUE!</v>
      </c>
      <c r="G103" s="39"/>
      <c r="H103" s="39"/>
      <c r="I103" s="39"/>
      <c r="J103" s="39"/>
      <c r="K103" s="39"/>
      <c r="L103" s="39"/>
      <c r="M103" s="39"/>
      <c r="N103" s="39"/>
      <c r="O103" s="39"/>
      <c r="P103" s="39"/>
      <c r="Q103" s="39"/>
      <c r="R103" s="39"/>
      <c r="S103" s="39"/>
      <c r="T103" s="39"/>
      <c r="U103" s="39"/>
      <c r="V103" s="39"/>
      <c r="W103" s="39"/>
      <c r="X103" s="39"/>
      <c r="Y103" s="39"/>
      <c r="Z103" s="39"/>
      <c r="AA103" s="39"/>
    </row>
    <row r="104" spans="1:27" x14ac:dyDescent="0.25">
      <c r="A104" s="39"/>
      <c r="B104" s="39">
        <f>COUNTA('in progress'!A:A)-1</f>
        <v>33</v>
      </c>
      <c r="C104" s="39" t="e">
        <f xml:space="preserve"> MID(A104,SEARCH(":",A104)+2,SEARCH(":",A104,SEARCH(":",A104)+1)-SEARCH(":",A104)-3)</f>
        <v>#VALUE!</v>
      </c>
      <c r="D104" s="39" t="e">
        <f>"partner:"&amp;MID(A104,SEARCH(":",A104)+1,SEARCH(":",A104,SEARCH(":",A104)+1)-SEARCH(":",A104)-1)</f>
        <v>#VALUE!</v>
      </c>
      <c r="E104" s="39"/>
      <c r="F104" s="40" t="e">
        <f>DATEVALUE(SUBSTITUTE(LEFT(Table2[[#This Row],[Notes]],SEARCH(" ",Table2[[#This Row],[Notes]])-1),".","/"))</f>
        <v>#VALUE!</v>
      </c>
      <c r="G104" s="39"/>
      <c r="H104" s="39"/>
      <c r="I104" s="39"/>
      <c r="J104" s="39"/>
      <c r="K104" s="39"/>
      <c r="L104" s="39"/>
      <c r="M104" s="39"/>
      <c r="N104" s="39"/>
      <c r="O104" s="39"/>
      <c r="P104" s="39"/>
      <c r="Q104" s="39"/>
      <c r="R104" s="39"/>
      <c r="S104" s="39"/>
      <c r="T104" s="39"/>
      <c r="U104" s="39"/>
      <c r="V104" s="39"/>
      <c r="W104" s="39"/>
      <c r="X104" s="39"/>
      <c r="Y104" s="39"/>
      <c r="Z104" s="39"/>
      <c r="AA104" s="39"/>
    </row>
    <row r="105" spans="1:27" x14ac:dyDescent="0.25">
      <c r="A105" s="39"/>
      <c r="B105" s="39">
        <f>COUNTA('in progress'!A:A)-1</f>
        <v>33</v>
      </c>
      <c r="C105" s="39" t="e">
        <f xml:space="preserve"> MID(A105,SEARCH(":",A105)+2,SEARCH(":",A105,SEARCH(":",A105)+1)-SEARCH(":",A105)-3)</f>
        <v>#VALUE!</v>
      </c>
      <c r="D105" s="39" t="e">
        <f>"partner:"&amp;MID(A105,SEARCH(":",A105)+1,SEARCH(":",A105,SEARCH(":",A105)+1)-SEARCH(":",A105)-1)</f>
        <v>#VALUE!</v>
      </c>
      <c r="E105" s="39"/>
      <c r="F105" s="40" t="e">
        <f>DATEVALUE(SUBSTITUTE(LEFT(Table2[[#This Row],[Notes]],SEARCH(" ",Table2[[#This Row],[Notes]])-1),".","/"))</f>
        <v>#VALUE!</v>
      </c>
      <c r="G105" s="39"/>
      <c r="H105" s="39"/>
      <c r="I105" s="39"/>
      <c r="J105" s="39"/>
      <c r="K105" s="39"/>
      <c r="L105" s="39"/>
      <c r="M105" s="39"/>
      <c r="N105" s="39"/>
      <c r="O105" s="39"/>
      <c r="P105" s="39"/>
      <c r="Q105" s="39"/>
      <c r="R105" s="39"/>
      <c r="S105" s="39"/>
      <c r="T105" s="39"/>
      <c r="U105" s="39"/>
      <c r="V105" s="39"/>
      <c r="W105" s="39"/>
      <c r="X105" s="39"/>
      <c r="Y105" s="39"/>
      <c r="Z105" s="39"/>
      <c r="AA105" s="39"/>
    </row>
    <row r="106" spans="1:27" x14ac:dyDescent="0.25">
      <c r="A106" s="39"/>
      <c r="B106" s="39">
        <f>COUNTA('in progress'!A:A)-1</f>
        <v>33</v>
      </c>
      <c r="C106" s="39" t="e">
        <f xml:space="preserve"> MID(A106,SEARCH(":",A106)+2,SEARCH(":",A106,SEARCH(":",A106)+1)-SEARCH(":",A106)-3)</f>
        <v>#VALUE!</v>
      </c>
      <c r="D106" s="39" t="e">
        <f>"partner:"&amp;MID(A106,SEARCH(":",A106)+1,SEARCH(":",A106,SEARCH(":",A106)+1)-SEARCH(":",A106)-1)</f>
        <v>#VALUE!</v>
      </c>
      <c r="E106" s="39"/>
      <c r="F106" s="40" t="e">
        <f>DATEVALUE(SUBSTITUTE(LEFT(Table2[[#This Row],[Notes]],SEARCH(" ",Table2[[#This Row],[Notes]])-1),".","/"))</f>
        <v>#VALUE!</v>
      </c>
      <c r="G106" s="39"/>
      <c r="H106" s="39"/>
      <c r="I106" s="39"/>
      <c r="J106" s="39"/>
      <c r="K106" s="39"/>
      <c r="L106" s="39"/>
      <c r="M106" s="39"/>
      <c r="N106" s="39"/>
      <c r="O106" s="39"/>
      <c r="P106" s="39"/>
      <c r="Q106" s="39"/>
      <c r="R106" s="39"/>
      <c r="S106" s="39"/>
      <c r="T106" s="39"/>
      <c r="U106" s="39"/>
      <c r="V106" s="39"/>
      <c r="W106" s="39"/>
      <c r="X106" s="39"/>
      <c r="Y106" s="39"/>
      <c r="Z106" s="39"/>
      <c r="AA106" s="39"/>
    </row>
    <row r="107" spans="1:27" x14ac:dyDescent="0.25">
      <c r="A107" s="39"/>
      <c r="B107" s="39">
        <f>COUNTA('in progress'!A:A)-1</f>
        <v>33</v>
      </c>
      <c r="C107" s="39" t="e">
        <f xml:space="preserve"> MID(A107,SEARCH(":",A107)+2,SEARCH(":",A107,SEARCH(":",A107)+1)-SEARCH(":",A107)-3)</f>
        <v>#VALUE!</v>
      </c>
      <c r="D107" s="39" t="e">
        <f>"partner:"&amp;MID(A107,SEARCH(":",A107)+1,SEARCH(":",A107,SEARCH(":",A107)+1)-SEARCH(":",A107)-1)</f>
        <v>#VALUE!</v>
      </c>
      <c r="E107" s="39"/>
      <c r="F107" s="40" t="e">
        <f>DATEVALUE(SUBSTITUTE(LEFT(Table2[[#This Row],[Notes]],SEARCH(" ",Table2[[#This Row],[Notes]])-1),".","/"))</f>
        <v>#VALUE!</v>
      </c>
      <c r="G107" s="39"/>
      <c r="H107" s="39"/>
      <c r="I107" s="39"/>
      <c r="J107" s="39"/>
      <c r="K107" s="39"/>
      <c r="L107" s="39"/>
      <c r="M107" s="39"/>
      <c r="N107" s="39"/>
      <c r="O107" s="39"/>
      <c r="P107" s="39"/>
      <c r="Q107" s="39"/>
      <c r="R107" s="39"/>
      <c r="S107" s="39"/>
      <c r="T107" s="39"/>
      <c r="U107" s="39"/>
      <c r="V107" s="39"/>
      <c r="W107" s="39"/>
      <c r="X107" s="39"/>
      <c r="Y107" s="39"/>
      <c r="Z107" s="39"/>
      <c r="AA107" s="39"/>
    </row>
    <row r="108" spans="1:27" x14ac:dyDescent="0.25">
      <c r="A108" s="39"/>
      <c r="B108" s="39">
        <f>COUNTA('in progress'!A:A)-1</f>
        <v>33</v>
      </c>
      <c r="C108" s="39" t="e">
        <f xml:space="preserve"> MID(A108,SEARCH(":",A108)+2,SEARCH(":",A108,SEARCH(":",A108)+1)-SEARCH(":",A108)-3)</f>
        <v>#VALUE!</v>
      </c>
      <c r="D108" s="39" t="e">
        <f>"partner:"&amp;MID(A108,SEARCH(":",A108)+1,SEARCH(":",A108,SEARCH(":",A108)+1)-SEARCH(":",A108)-1)</f>
        <v>#VALUE!</v>
      </c>
      <c r="E108" s="39"/>
      <c r="F108" s="40" t="e">
        <f>DATEVALUE(SUBSTITUTE(LEFT(Table2[[#This Row],[Notes]],SEARCH(" ",Table2[[#This Row],[Notes]])-1),".","/"))</f>
        <v>#VALUE!</v>
      </c>
      <c r="G108" s="39"/>
      <c r="H108" s="39"/>
      <c r="I108" s="39"/>
      <c r="J108" s="39"/>
      <c r="K108" s="39"/>
      <c r="L108" s="39"/>
      <c r="M108" s="39"/>
      <c r="N108" s="39"/>
      <c r="O108" s="39"/>
      <c r="P108" s="39"/>
      <c r="Q108" s="39"/>
      <c r="R108" s="39"/>
      <c r="S108" s="39"/>
      <c r="T108" s="39"/>
      <c r="U108" s="39"/>
      <c r="V108" s="39"/>
      <c r="W108" s="39"/>
      <c r="X108" s="39"/>
      <c r="Y108" s="39"/>
      <c r="Z108" s="39"/>
      <c r="AA108" s="39"/>
    </row>
    <row r="109" spans="1:27" x14ac:dyDescent="0.25">
      <c r="A109" s="39"/>
      <c r="B109" s="39">
        <f>COUNTA('in progress'!A:A)-1</f>
        <v>33</v>
      </c>
      <c r="C109" s="39" t="e">
        <f xml:space="preserve"> MID(A109,SEARCH(":",A109)+2,SEARCH(":",A109,SEARCH(":",A109)+1)-SEARCH(":",A109)-3)</f>
        <v>#VALUE!</v>
      </c>
      <c r="D109" s="39" t="e">
        <f>"partner:"&amp;MID(A109,SEARCH(":",A109)+1,SEARCH(":",A109,SEARCH(":",A109)+1)-SEARCH(":",A109)-1)</f>
        <v>#VALUE!</v>
      </c>
      <c r="E109" s="39"/>
      <c r="F109" s="40" t="e">
        <f>DATEVALUE(SUBSTITUTE(LEFT(Table2[[#This Row],[Notes]],SEARCH(" ",Table2[[#This Row],[Notes]])-1),".","/"))</f>
        <v>#VALUE!</v>
      </c>
      <c r="G109" s="39"/>
      <c r="H109" s="39"/>
      <c r="I109" s="39"/>
      <c r="J109" s="39"/>
      <c r="K109" s="39"/>
      <c r="L109" s="39"/>
      <c r="M109" s="39"/>
      <c r="N109" s="39"/>
      <c r="O109" s="39"/>
      <c r="P109" s="39"/>
      <c r="Q109" s="39"/>
      <c r="R109" s="39"/>
      <c r="S109" s="39"/>
      <c r="T109" s="39"/>
      <c r="U109" s="39"/>
      <c r="V109" s="39"/>
      <c r="W109" s="39"/>
      <c r="X109" s="39"/>
      <c r="Y109" s="39"/>
      <c r="Z109" s="39"/>
      <c r="AA109" s="39"/>
    </row>
    <row r="110" spans="1:27" x14ac:dyDescent="0.25">
      <c r="A110" s="39"/>
      <c r="B110" s="39">
        <f>COUNTA('in progress'!A:A)-1</f>
        <v>33</v>
      </c>
      <c r="C110" s="39" t="e">
        <f xml:space="preserve"> MID(A110,SEARCH(":",A110)+2,SEARCH(":",A110,SEARCH(":",A110)+1)-SEARCH(":",A110)-3)</f>
        <v>#VALUE!</v>
      </c>
      <c r="D110" s="39" t="e">
        <f>"partner:"&amp;MID(A110,SEARCH(":",A110)+1,SEARCH(":",A110,SEARCH(":",A110)+1)-SEARCH(":",A110)-1)</f>
        <v>#VALUE!</v>
      </c>
      <c r="E110" s="39"/>
      <c r="F110" s="40" t="e">
        <f>DATEVALUE(SUBSTITUTE(LEFT(Table2[[#This Row],[Notes]],SEARCH(" ",Table2[[#This Row],[Notes]])-1),".","/"))</f>
        <v>#VALUE!</v>
      </c>
      <c r="G110" s="39"/>
      <c r="H110" s="39"/>
      <c r="I110" s="39"/>
      <c r="J110" s="39"/>
      <c r="K110" s="39"/>
      <c r="L110" s="39"/>
      <c r="M110" s="39"/>
      <c r="N110" s="39"/>
      <c r="O110" s="39"/>
      <c r="P110" s="39"/>
      <c r="Q110" s="39"/>
      <c r="R110" s="39"/>
      <c r="S110" s="39"/>
      <c r="T110" s="39"/>
      <c r="U110" s="39"/>
      <c r="V110" s="39"/>
      <c r="W110" s="39"/>
      <c r="X110" s="39"/>
      <c r="Y110" s="39"/>
      <c r="Z110" s="39"/>
      <c r="AA110" s="39"/>
    </row>
    <row r="111" spans="1:27" x14ac:dyDescent="0.25">
      <c r="A111" s="39"/>
      <c r="B111" s="39">
        <f>COUNTA('in progress'!A:A)-1</f>
        <v>33</v>
      </c>
      <c r="C111" s="39" t="e">
        <f xml:space="preserve"> MID(A111,SEARCH(":",A111)+2,SEARCH(":",A111,SEARCH(":",A111)+1)-SEARCH(":",A111)-3)</f>
        <v>#VALUE!</v>
      </c>
      <c r="D111" s="39" t="e">
        <f>"partner:"&amp;MID(A111,SEARCH(":",A111)+1,SEARCH(":",A111,SEARCH(":",A111)+1)-SEARCH(":",A111)-1)</f>
        <v>#VALUE!</v>
      </c>
      <c r="E111" s="39"/>
      <c r="F111" s="40" t="e">
        <f>DATEVALUE(SUBSTITUTE(LEFT(Table2[[#This Row],[Notes]],SEARCH(" ",Table2[[#This Row],[Notes]])-1),".","/"))</f>
        <v>#VALUE!</v>
      </c>
      <c r="G111" s="39"/>
      <c r="H111" s="39"/>
      <c r="I111" s="39"/>
      <c r="J111" s="39"/>
      <c r="K111" s="39"/>
      <c r="L111" s="39"/>
      <c r="M111" s="39"/>
      <c r="N111" s="39"/>
      <c r="O111" s="39"/>
      <c r="P111" s="39"/>
      <c r="Q111" s="39"/>
      <c r="R111" s="39"/>
      <c r="S111" s="39"/>
      <c r="T111" s="39"/>
      <c r="U111" s="39"/>
      <c r="V111" s="39"/>
      <c r="W111" s="39"/>
      <c r="X111" s="39"/>
      <c r="Y111" s="39"/>
      <c r="Z111" s="39"/>
      <c r="AA111" s="39"/>
    </row>
    <row r="112" spans="1:27" x14ac:dyDescent="0.25">
      <c r="A112" s="39"/>
      <c r="B112" s="39">
        <f>COUNTA('in progress'!A:A)-1</f>
        <v>33</v>
      </c>
      <c r="C112" s="39" t="e">
        <f xml:space="preserve"> MID(A112,SEARCH(":",A112)+2,SEARCH(":",A112,SEARCH(":",A112)+1)-SEARCH(":",A112)-3)</f>
        <v>#VALUE!</v>
      </c>
      <c r="D112" s="39" t="e">
        <f>"partner:"&amp;MID(A112,SEARCH(":",A112)+1,SEARCH(":",A112,SEARCH(":",A112)+1)-SEARCH(":",A112)-1)</f>
        <v>#VALUE!</v>
      </c>
      <c r="E112" s="39"/>
      <c r="F112" s="40" t="e">
        <f>DATEVALUE(SUBSTITUTE(LEFT(Table2[[#This Row],[Notes]],SEARCH(" ",Table2[[#This Row],[Notes]])-1),".","/"))</f>
        <v>#VALUE!</v>
      </c>
      <c r="G112" s="39"/>
      <c r="H112" s="39"/>
      <c r="I112" s="39"/>
      <c r="J112" s="39"/>
      <c r="K112" s="39"/>
      <c r="L112" s="39"/>
      <c r="M112" s="39"/>
      <c r="N112" s="39"/>
      <c r="O112" s="39"/>
      <c r="P112" s="39"/>
      <c r="Q112" s="39"/>
      <c r="R112" s="39"/>
      <c r="S112" s="39"/>
      <c r="T112" s="39"/>
      <c r="U112" s="39"/>
      <c r="V112" s="39"/>
      <c r="W112" s="39"/>
      <c r="X112" s="39"/>
      <c r="Y112" s="39"/>
      <c r="Z112" s="39"/>
      <c r="AA112" s="39"/>
    </row>
    <row r="113" spans="1:27" x14ac:dyDescent="0.25">
      <c r="A113" s="39"/>
      <c r="B113" s="39">
        <f>COUNTA('in progress'!A:A)-1</f>
        <v>33</v>
      </c>
      <c r="C113" s="39" t="e">
        <f xml:space="preserve"> MID(A113,SEARCH(":",A113)+2,SEARCH(":",A113,SEARCH(":",A113)+1)-SEARCH(":",A113)-3)</f>
        <v>#VALUE!</v>
      </c>
      <c r="D113" s="39" t="e">
        <f>"partner:"&amp;MID(A113,SEARCH(":",A113)+1,SEARCH(":",A113,SEARCH(":",A113)+1)-SEARCH(":",A113)-1)</f>
        <v>#VALUE!</v>
      </c>
      <c r="E113" s="39"/>
      <c r="F113" s="40" t="e">
        <f>DATEVALUE(SUBSTITUTE(LEFT(Table2[[#This Row],[Notes]],SEARCH(" ",Table2[[#This Row],[Notes]])-1),".","/"))</f>
        <v>#VALUE!</v>
      </c>
      <c r="G113" s="39"/>
      <c r="H113" s="39"/>
      <c r="I113" s="39"/>
      <c r="J113" s="39"/>
      <c r="K113" s="39"/>
      <c r="L113" s="39"/>
      <c r="M113" s="39"/>
      <c r="N113" s="39"/>
      <c r="O113" s="39"/>
      <c r="P113" s="39"/>
      <c r="Q113" s="39"/>
      <c r="R113" s="39"/>
      <c r="S113" s="39"/>
      <c r="T113" s="39"/>
      <c r="U113" s="39"/>
      <c r="V113" s="39"/>
      <c r="W113" s="39"/>
      <c r="X113" s="39"/>
      <c r="Y113" s="39"/>
      <c r="Z113" s="39"/>
      <c r="AA113" s="39"/>
    </row>
    <row r="114" spans="1:27" x14ac:dyDescent="0.25">
      <c r="A114" s="39"/>
      <c r="B114" s="39">
        <f>COUNTA('in progress'!A:A)-1</f>
        <v>33</v>
      </c>
      <c r="C114" s="39" t="e">
        <f xml:space="preserve"> MID(A114,SEARCH(":",A114)+2,SEARCH(":",A114,SEARCH(":",A114)+1)-SEARCH(":",A114)-3)</f>
        <v>#VALUE!</v>
      </c>
      <c r="D114" s="39" t="e">
        <f>"partner:"&amp;MID(A114,SEARCH(":",A114)+1,SEARCH(":",A114,SEARCH(":",A114)+1)-SEARCH(":",A114)-1)</f>
        <v>#VALUE!</v>
      </c>
      <c r="E114" s="39"/>
      <c r="F114" s="40" t="e">
        <f>DATEVALUE(SUBSTITUTE(LEFT(Table2[[#This Row],[Notes]],SEARCH(" ",Table2[[#This Row],[Notes]])-1),".","/"))</f>
        <v>#VALUE!</v>
      </c>
      <c r="G114" s="39"/>
      <c r="H114" s="39"/>
      <c r="I114" s="39"/>
      <c r="J114" s="39"/>
      <c r="K114" s="39"/>
      <c r="L114" s="39"/>
      <c r="M114" s="39"/>
      <c r="N114" s="39"/>
      <c r="O114" s="39"/>
      <c r="P114" s="39"/>
      <c r="Q114" s="39"/>
      <c r="R114" s="39"/>
      <c r="S114" s="39"/>
      <c r="T114" s="39"/>
      <c r="U114" s="39"/>
      <c r="V114" s="39"/>
      <c r="W114" s="39"/>
      <c r="X114" s="39"/>
      <c r="Y114" s="39"/>
      <c r="Z114" s="39"/>
      <c r="AA114" s="39"/>
    </row>
    <row r="115" spans="1:27" x14ac:dyDescent="0.25">
      <c r="A115" s="39"/>
      <c r="B115" s="39">
        <f>COUNTA('in progress'!A:A)-1</f>
        <v>33</v>
      </c>
      <c r="C115" s="39" t="e">
        <f xml:space="preserve"> MID(A115,SEARCH(":",A115)+2,SEARCH(":",A115,SEARCH(":",A115)+1)-SEARCH(":",A115)-3)</f>
        <v>#VALUE!</v>
      </c>
      <c r="D115" s="39" t="e">
        <f>"partner:"&amp;MID(A115,SEARCH(":",A115)+1,SEARCH(":",A115,SEARCH(":",A115)+1)-SEARCH(":",A115)-1)</f>
        <v>#VALUE!</v>
      </c>
      <c r="E115" s="39"/>
      <c r="F115" s="40" t="e">
        <f>DATEVALUE(SUBSTITUTE(LEFT(Table2[[#This Row],[Notes]],SEARCH(" ",Table2[[#This Row],[Notes]])-1),".","/"))</f>
        <v>#VALUE!</v>
      </c>
      <c r="G115" s="39"/>
      <c r="H115" s="39"/>
      <c r="I115" s="39"/>
      <c r="J115" s="39"/>
      <c r="K115" s="39"/>
      <c r="L115" s="39"/>
      <c r="M115" s="39"/>
      <c r="N115" s="39"/>
      <c r="O115" s="39"/>
      <c r="P115" s="39"/>
      <c r="Q115" s="39"/>
      <c r="R115" s="39"/>
      <c r="S115" s="39"/>
      <c r="T115" s="39"/>
      <c r="U115" s="39"/>
      <c r="V115" s="39"/>
      <c r="W115" s="39"/>
      <c r="X115" s="39"/>
      <c r="Y115" s="39"/>
      <c r="Z115" s="39"/>
      <c r="AA115" s="39"/>
    </row>
    <row r="116" spans="1:27" x14ac:dyDescent="0.25">
      <c r="A116" s="39"/>
      <c r="B116" s="39">
        <f>COUNTA('in progress'!A:A)-1</f>
        <v>33</v>
      </c>
      <c r="C116" s="39" t="e">
        <f xml:space="preserve"> MID(A116,SEARCH(":",A116)+2,SEARCH(":",A116,SEARCH(":",A116)+1)-SEARCH(":",A116)-3)</f>
        <v>#VALUE!</v>
      </c>
      <c r="D116" s="39" t="e">
        <f>"partner:"&amp;MID(A116,SEARCH(":",A116)+1,SEARCH(":",A116,SEARCH(":",A116)+1)-SEARCH(":",A116)-1)</f>
        <v>#VALUE!</v>
      </c>
      <c r="E116" s="39"/>
      <c r="F116" s="40" t="e">
        <f>DATEVALUE(SUBSTITUTE(LEFT(Table2[[#This Row],[Notes]],SEARCH(" ",Table2[[#This Row],[Notes]])-1),".","/"))</f>
        <v>#VALUE!</v>
      </c>
      <c r="G116" s="39"/>
      <c r="H116" s="39"/>
      <c r="I116" s="39"/>
      <c r="J116" s="39"/>
      <c r="K116" s="39"/>
      <c r="L116" s="39"/>
      <c r="M116" s="39"/>
      <c r="N116" s="39"/>
      <c r="O116" s="39"/>
      <c r="P116" s="39"/>
      <c r="Q116" s="39"/>
      <c r="R116" s="39"/>
      <c r="S116" s="39"/>
      <c r="T116" s="39"/>
      <c r="U116" s="39"/>
      <c r="V116" s="39"/>
      <c r="W116" s="39"/>
      <c r="X116" s="39"/>
      <c r="Y116" s="39"/>
      <c r="Z116" s="39"/>
      <c r="AA116" s="39"/>
    </row>
    <row r="117" spans="1:27" x14ac:dyDescent="0.25">
      <c r="A117" s="39"/>
      <c r="B117" s="39">
        <f>COUNTA('in progress'!A:A)-1</f>
        <v>33</v>
      </c>
      <c r="C117" s="39" t="e">
        <f xml:space="preserve"> MID(A117,SEARCH(":",A117)+2,SEARCH(":",A117,SEARCH(":",A117)+1)-SEARCH(":",A117)-3)</f>
        <v>#VALUE!</v>
      </c>
      <c r="D117" s="39" t="e">
        <f>"partner:"&amp;MID(A117,SEARCH(":",A117)+1,SEARCH(":",A117,SEARCH(":",A117)+1)-SEARCH(":",A117)-1)</f>
        <v>#VALUE!</v>
      </c>
      <c r="E117" s="39"/>
      <c r="F117" s="40" t="e">
        <f>DATEVALUE(SUBSTITUTE(LEFT(Table2[[#This Row],[Notes]],SEARCH(" ",Table2[[#This Row],[Notes]])-1),".","/"))</f>
        <v>#VALUE!</v>
      </c>
      <c r="G117" s="39"/>
      <c r="H117" s="39"/>
      <c r="I117" s="39"/>
      <c r="J117" s="39"/>
      <c r="K117" s="39"/>
      <c r="L117" s="39"/>
      <c r="M117" s="39"/>
      <c r="N117" s="39"/>
      <c r="O117" s="39"/>
      <c r="P117" s="39"/>
      <c r="Q117" s="39"/>
      <c r="R117" s="39"/>
      <c r="S117" s="39"/>
      <c r="T117" s="39"/>
      <c r="U117" s="39"/>
      <c r="V117" s="39"/>
      <c r="W117" s="39"/>
      <c r="X117" s="39"/>
      <c r="Y117" s="39"/>
      <c r="Z117" s="39"/>
      <c r="AA117" s="39"/>
    </row>
    <row r="118" spans="1:27" x14ac:dyDescent="0.25">
      <c r="A118" s="39"/>
      <c r="B118" s="39">
        <f>COUNTA('in progress'!A:A)-1</f>
        <v>33</v>
      </c>
      <c r="C118" s="39" t="e">
        <f xml:space="preserve"> MID(A118,SEARCH(":",A118)+2,SEARCH(":",A118,SEARCH(":",A118)+1)-SEARCH(":",A118)-3)</f>
        <v>#VALUE!</v>
      </c>
      <c r="D118" s="39" t="e">
        <f>"partner:"&amp;MID(A118,SEARCH(":",A118)+1,SEARCH(":",A118,SEARCH(":",A118)+1)-SEARCH(":",A118)-1)</f>
        <v>#VALUE!</v>
      </c>
      <c r="E118" s="39"/>
      <c r="F118" s="40" t="e">
        <f>DATEVALUE(SUBSTITUTE(LEFT(Table2[[#This Row],[Notes]],SEARCH(" ",Table2[[#This Row],[Notes]])-1),".","/"))</f>
        <v>#VALUE!</v>
      </c>
      <c r="G118" s="39"/>
      <c r="H118" s="39"/>
      <c r="I118" s="39"/>
      <c r="J118" s="39"/>
      <c r="K118" s="39"/>
      <c r="L118" s="39"/>
      <c r="M118" s="39"/>
      <c r="N118" s="39"/>
      <c r="O118" s="39"/>
      <c r="P118" s="39"/>
      <c r="Q118" s="39"/>
      <c r="R118" s="39"/>
      <c r="S118" s="39"/>
      <c r="T118" s="39"/>
      <c r="U118" s="39"/>
      <c r="V118" s="39"/>
      <c r="W118" s="39"/>
      <c r="X118" s="39"/>
      <c r="Y118" s="39"/>
      <c r="Z118" s="39"/>
      <c r="AA118" s="39"/>
    </row>
    <row r="119" spans="1:27" x14ac:dyDescent="0.25">
      <c r="A119" s="39"/>
      <c r="B119" s="39">
        <f>COUNTA('in progress'!A:A)-1</f>
        <v>33</v>
      </c>
      <c r="C119" s="39" t="e">
        <f xml:space="preserve"> MID(A119,SEARCH(":",A119)+2,SEARCH(":",A119,SEARCH(":",A119)+1)-SEARCH(":",A119)-3)</f>
        <v>#VALUE!</v>
      </c>
      <c r="D119" s="39" t="e">
        <f>"partner:"&amp;MID(A119,SEARCH(":",A119)+1,SEARCH(":",A119,SEARCH(":",A119)+1)-SEARCH(":",A119)-1)</f>
        <v>#VALUE!</v>
      </c>
      <c r="E119" s="39"/>
      <c r="F119" s="40" t="e">
        <f>DATEVALUE(SUBSTITUTE(LEFT(Table2[[#This Row],[Notes]],SEARCH(" ",Table2[[#This Row],[Notes]])-1),".","/"))</f>
        <v>#VALUE!</v>
      </c>
      <c r="G119" s="39"/>
      <c r="H119" s="39"/>
      <c r="I119" s="39"/>
      <c r="J119" s="39"/>
      <c r="K119" s="39"/>
      <c r="L119" s="39"/>
      <c r="M119" s="39"/>
      <c r="N119" s="39"/>
      <c r="O119" s="39"/>
      <c r="P119" s="39"/>
      <c r="Q119" s="39"/>
      <c r="R119" s="39"/>
      <c r="S119" s="39"/>
      <c r="T119" s="39"/>
      <c r="U119" s="39"/>
      <c r="V119" s="39"/>
      <c r="W119" s="39"/>
      <c r="X119" s="39"/>
      <c r="Y119" s="39"/>
      <c r="Z119" s="39"/>
      <c r="AA119" s="39"/>
    </row>
    <row r="120" spans="1:27" x14ac:dyDescent="0.25">
      <c r="A120" s="39"/>
      <c r="B120" s="39">
        <f>COUNTA('in progress'!A:A)-1</f>
        <v>33</v>
      </c>
      <c r="C120" s="39" t="e">
        <f xml:space="preserve"> MID(A120,SEARCH(":",A120)+2,SEARCH(":",A120,SEARCH(":",A120)+1)-SEARCH(":",A120)-3)</f>
        <v>#VALUE!</v>
      </c>
      <c r="D120" s="39" t="e">
        <f>"partner:"&amp;MID(A120,SEARCH(":",A120)+1,SEARCH(":",A120,SEARCH(":",A120)+1)-SEARCH(":",A120)-1)</f>
        <v>#VALUE!</v>
      </c>
      <c r="E120" s="39"/>
      <c r="F120" s="40" t="e">
        <f>DATEVALUE(SUBSTITUTE(LEFT(Table2[[#This Row],[Notes]],SEARCH(" ",Table2[[#This Row],[Notes]])-1),".","/"))</f>
        <v>#VALUE!</v>
      </c>
      <c r="G120" s="39"/>
      <c r="H120" s="39"/>
      <c r="I120" s="39"/>
      <c r="J120" s="39"/>
      <c r="K120" s="39"/>
      <c r="L120" s="39"/>
      <c r="M120" s="39"/>
      <c r="N120" s="39"/>
      <c r="O120" s="39"/>
      <c r="P120" s="39"/>
      <c r="Q120" s="39"/>
      <c r="R120" s="39"/>
      <c r="S120" s="39"/>
      <c r="T120" s="39"/>
      <c r="U120" s="39"/>
      <c r="V120" s="39"/>
      <c r="W120" s="39"/>
      <c r="X120" s="39"/>
      <c r="Y120" s="39"/>
      <c r="Z120" s="39"/>
      <c r="AA120" s="39"/>
    </row>
    <row r="121" spans="1:27" x14ac:dyDescent="0.25">
      <c r="A121" s="39"/>
      <c r="B121" s="39">
        <f>COUNTA('in progress'!A:A)-1</f>
        <v>33</v>
      </c>
      <c r="C121" s="39" t="e">
        <f xml:space="preserve"> MID(A121,SEARCH(":",A121)+2,SEARCH(":",A121,SEARCH(":",A121)+1)-SEARCH(":",A121)-3)</f>
        <v>#VALUE!</v>
      </c>
      <c r="D121" s="39" t="e">
        <f>"partner:"&amp;MID(A121,SEARCH(":",A121)+1,SEARCH(":",A121,SEARCH(":",A121)+1)-SEARCH(":",A121)-1)</f>
        <v>#VALUE!</v>
      </c>
      <c r="E121" s="39"/>
      <c r="F121" s="40" t="e">
        <f>DATEVALUE(SUBSTITUTE(LEFT(Table2[[#This Row],[Notes]],SEARCH(" ",Table2[[#This Row],[Notes]])-1),".","/"))</f>
        <v>#VALUE!</v>
      </c>
      <c r="G121" s="39"/>
      <c r="H121" s="39"/>
      <c r="I121" s="39"/>
      <c r="J121" s="39"/>
      <c r="K121" s="39"/>
      <c r="L121" s="39"/>
      <c r="M121" s="39"/>
      <c r="N121" s="39"/>
      <c r="O121" s="39"/>
      <c r="P121" s="39"/>
      <c r="Q121" s="39"/>
      <c r="R121" s="39"/>
      <c r="S121" s="39"/>
      <c r="T121" s="39"/>
      <c r="U121" s="39"/>
      <c r="V121" s="39"/>
      <c r="W121" s="39"/>
      <c r="X121" s="39"/>
      <c r="Y121" s="39"/>
      <c r="Z121" s="39"/>
      <c r="AA121" s="39"/>
    </row>
    <row r="122" spans="1:27" x14ac:dyDescent="0.25">
      <c r="A122" s="39"/>
      <c r="B122" s="39">
        <f>COUNTA('in progress'!A:A)-1</f>
        <v>33</v>
      </c>
      <c r="C122" s="39" t="e">
        <f xml:space="preserve"> MID(A122,SEARCH(":",A122)+2,SEARCH(":",A122,SEARCH(":",A122)+1)-SEARCH(":",A122)-3)</f>
        <v>#VALUE!</v>
      </c>
      <c r="D122" s="39" t="e">
        <f>"partner:"&amp;MID(A122,SEARCH(":",A122)+1,SEARCH(":",A122,SEARCH(":",A122)+1)-SEARCH(":",A122)-1)</f>
        <v>#VALUE!</v>
      </c>
      <c r="E122" s="39"/>
      <c r="F122" s="40" t="e">
        <f>DATEVALUE(SUBSTITUTE(LEFT(Table2[[#This Row],[Notes]],SEARCH(" ",Table2[[#This Row],[Notes]])-1),".","/"))</f>
        <v>#VALUE!</v>
      </c>
      <c r="G122" s="39"/>
      <c r="H122" s="39"/>
      <c r="I122" s="39"/>
      <c r="J122" s="39"/>
      <c r="K122" s="39"/>
      <c r="L122" s="39"/>
      <c r="M122" s="39"/>
      <c r="N122" s="39"/>
      <c r="O122" s="39"/>
      <c r="P122" s="39"/>
      <c r="Q122" s="39"/>
      <c r="R122" s="39"/>
      <c r="S122" s="39"/>
      <c r="T122" s="39"/>
      <c r="U122" s="39"/>
      <c r="V122" s="39"/>
      <c r="W122" s="39"/>
      <c r="X122" s="39"/>
      <c r="Y122" s="39"/>
      <c r="Z122" s="39"/>
      <c r="AA122" s="39"/>
    </row>
    <row r="123" spans="1:27" x14ac:dyDescent="0.25">
      <c r="A123" s="39"/>
      <c r="B123" s="39">
        <f>COUNTA('in progress'!A:A)-1</f>
        <v>33</v>
      </c>
      <c r="C123" s="39" t="e">
        <f xml:space="preserve"> MID(A123,SEARCH(":",A123)+2,SEARCH(":",A123,SEARCH(":",A123)+1)-SEARCH(":",A123)-3)</f>
        <v>#VALUE!</v>
      </c>
      <c r="D123" s="39" t="e">
        <f>"partner:"&amp;MID(A123,SEARCH(":",A123)+1,SEARCH(":",A123,SEARCH(":",A123)+1)-SEARCH(":",A123)-1)</f>
        <v>#VALUE!</v>
      </c>
      <c r="E123" s="39"/>
      <c r="F123" s="40" t="e">
        <f>DATEVALUE(SUBSTITUTE(LEFT(Table2[[#This Row],[Notes]],SEARCH(" ",Table2[[#This Row],[Notes]])-1),".","/"))</f>
        <v>#VALUE!</v>
      </c>
      <c r="G123" s="39"/>
      <c r="H123" s="39"/>
      <c r="I123" s="39"/>
      <c r="J123" s="39"/>
      <c r="K123" s="39"/>
      <c r="L123" s="39"/>
      <c r="M123" s="39"/>
      <c r="N123" s="39"/>
      <c r="O123" s="39"/>
      <c r="P123" s="39"/>
      <c r="Q123" s="39"/>
      <c r="R123" s="39"/>
      <c r="S123" s="39"/>
      <c r="T123" s="39"/>
      <c r="U123" s="39"/>
      <c r="V123" s="39"/>
      <c r="W123" s="39"/>
      <c r="X123" s="39"/>
      <c r="Y123" s="39"/>
      <c r="Z123" s="39"/>
      <c r="AA123" s="39"/>
    </row>
    <row r="124" spans="1:27" x14ac:dyDescent="0.25">
      <c r="A124" s="39"/>
      <c r="B124" s="39">
        <f>COUNTA('in progress'!A:A)-1</f>
        <v>33</v>
      </c>
      <c r="C124" s="39" t="e">
        <f xml:space="preserve"> MID(A124,SEARCH(":",A124)+2,SEARCH(":",A124,SEARCH(":",A124)+1)-SEARCH(":",A124)-3)</f>
        <v>#VALUE!</v>
      </c>
      <c r="D124" s="39" t="e">
        <f>"partner:"&amp;MID(A124,SEARCH(":",A124)+1,SEARCH(":",A124,SEARCH(":",A124)+1)-SEARCH(":",A124)-1)</f>
        <v>#VALUE!</v>
      </c>
      <c r="E124" s="39"/>
      <c r="F124" s="40" t="e">
        <f>DATEVALUE(SUBSTITUTE(LEFT(Table2[[#This Row],[Notes]],SEARCH(" ",Table2[[#This Row],[Notes]])-1),".","/"))</f>
        <v>#VALUE!</v>
      </c>
      <c r="G124" s="39"/>
      <c r="H124" s="39"/>
      <c r="I124" s="39"/>
      <c r="J124" s="39"/>
      <c r="K124" s="39"/>
      <c r="L124" s="39"/>
      <c r="M124" s="39"/>
      <c r="N124" s="39"/>
      <c r="O124" s="39"/>
      <c r="P124" s="39"/>
      <c r="Q124" s="39"/>
      <c r="R124" s="39"/>
      <c r="S124" s="39"/>
      <c r="T124" s="39"/>
      <c r="U124" s="39"/>
      <c r="V124" s="39"/>
      <c r="W124" s="39"/>
      <c r="X124" s="39"/>
      <c r="Y124" s="39"/>
      <c r="Z124" s="39"/>
      <c r="AA124" s="39"/>
    </row>
    <row r="125" spans="1:27" x14ac:dyDescent="0.25">
      <c r="A125" s="39"/>
      <c r="B125" s="39">
        <f>COUNTA('in progress'!A:A)-1</f>
        <v>33</v>
      </c>
      <c r="C125" s="39" t="e">
        <f xml:space="preserve"> MID(A125,SEARCH(":",A125)+2,SEARCH(":",A125,SEARCH(":",A125)+1)-SEARCH(":",A125)-3)</f>
        <v>#VALUE!</v>
      </c>
      <c r="D125" s="39" t="e">
        <f>"partner:"&amp;MID(A125,SEARCH(":",A125)+1,SEARCH(":",A125,SEARCH(":",A125)+1)-SEARCH(":",A125)-1)</f>
        <v>#VALUE!</v>
      </c>
      <c r="E125" s="39"/>
      <c r="F125" s="40" t="e">
        <f>DATEVALUE(SUBSTITUTE(LEFT(Table2[[#This Row],[Notes]],SEARCH(" ",Table2[[#This Row],[Notes]])-1),".","/"))</f>
        <v>#VALUE!</v>
      </c>
      <c r="G125" s="39"/>
      <c r="H125" s="39"/>
      <c r="I125" s="39"/>
      <c r="J125" s="39"/>
      <c r="K125" s="39"/>
      <c r="L125" s="39"/>
      <c r="M125" s="39"/>
      <c r="N125" s="39"/>
      <c r="O125" s="39"/>
      <c r="P125" s="39"/>
      <c r="Q125" s="39"/>
      <c r="R125" s="39"/>
      <c r="S125" s="39"/>
      <c r="T125" s="39"/>
      <c r="U125" s="39"/>
      <c r="V125" s="39"/>
      <c r="W125" s="39"/>
      <c r="X125" s="39"/>
      <c r="Y125" s="39"/>
      <c r="Z125" s="39"/>
      <c r="AA125" s="39"/>
    </row>
    <row r="126" spans="1:27" x14ac:dyDescent="0.25">
      <c r="A126" s="39"/>
      <c r="B126" s="39">
        <f>COUNTA('in progress'!A:A)-1</f>
        <v>33</v>
      </c>
      <c r="C126" s="39" t="e">
        <f xml:space="preserve"> MID(A126,SEARCH(":",A126)+2,SEARCH(":",A126,SEARCH(":",A126)+1)-SEARCH(":",A126)-3)</f>
        <v>#VALUE!</v>
      </c>
      <c r="D126" s="39" t="e">
        <f>"partner:"&amp;MID(A126,SEARCH(":",A126)+1,SEARCH(":",A126,SEARCH(":",A126)+1)-SEARCH(":",A126)-1)</f>
        <v>#VALUE!</v>
      </c>
      <c r="E126" s="39"/>
      <c r="F126" s="40" t="e">
        <f>DATEVALUE(SUBSTITUTE(LEFT(Table2[[#This Row],[Notes]],SEARCH(" ",Table2[[#This Row],[Notes]])-1),".","/"))</f>
        <v>#VALUE!</v>
      </c>
      <c r="G126" s="39"/>
      <c r="H126" s="39"/>
      <c r="I126" s="39"/>
      <c r="J126" s="39"/>
      <c r="K126" s="39"/>
      <c r="L126" s="39"/>
      <c r="M126" s="39"/>
      <c r="N126" s="39"/>
      <c r="O126" s="39"/>
      <c r="P126" s="39"/>
      <c r="Q126" s="39"/>
      <c r="R126" s="39"/>
      <c r="S126" s="39"/>
      <c r="T126" s="39"/>
      <c r="U126" s="39"/>
      <c r="V126" s="39"/>
      <c r="W126" s="39"/>
      <c r="X126" s="39"/>
      <c r="Y126" s="39"/>
      <c r="Z126" s="39"/>
      <c r="AA126" s="39"/>
    </row>
    <row r="127" spans="1:27" x14ac:dyDescent="0.25">
      <c r="A127" s="39"/>
      <c r="B127" s="39">
        <f>COUNTA('in progress'!A:A)-1</f>
        <v>33</v>
      </c>
      <c r="C127" s="39" t="e">
        <f xml:space="preserve"> MID(A127,SEARCH(":",A127)+2,SEARCH(":",A127,SEARCH(":",A127)+1)-SEARCH(":",A127)-3)</f>
        <v>#VALUE!</v>
      </c>
      <c r="D127" s="39" t="e">
        <f>"partner:"&amp;MID(A127,SEARCH(":",A127)+1,SEARCH(":",A127,SEARCH(":",A127)+1)-SEARCH(":",A127)-1)</f>
        <v>#VALUE!</v>
      </c>
      <c r="E127" s="39"/>
      <c r="F127" s="40" t="e">
        <f>DATEVALUE(SUBSTITUTE(LEFT(Table2[[#This Row],[Notes]],SEARCH(" ",Table2[[#This Row],[Notes]])-1),".","/"))</f>
        <v>#VALUE!</v>
      </c>
      <c r="G127" s="39"/>
      <c r="H127" s="39"/>
      <c r="I127" s="39"/>
      <c r="J127" s="39"/>
      <c r="K127" s="39"/>
      <c r="L127" s="39"/>
      <c r="M127" s="39"/>
      <c r="N127" s="39"/>
      <c r="O127" s="39"/>
      <c r="P127" s="39"/>
      <c r="Q127" s="39"/>
      <c r="R127" s="39"/>
      <c r="S127" s="39"/>
      <c r="T127" s="39"/>
      <c r="U127" s="39"/>
      <c r="V127" s="39"/>
      <c r="W127" s="39"/>
      <c r="X127" s="39"/>
      <c r="Y127" s="39"/>
      <c r="Z127" s="39"/>
      <c r="AA127" s="39"/>
    </row>
    <row r="128" spans="1:27" x14ac:dyDescent="0.25">
      <c r="A128" s="39"/>
      <c r="B128" s="39">
        <f>COUNTA('in progress'!A:A)-1</f>
        <v>33</v>
      </c>
      <c r="C128" s="39" t="e">
        <f xml:space="preserve"> MID(A128,SEARCH(":",A128)+2,SEARCH(":",A128,SEARCH(":",A128)+1)-SEARCH(":",A128)-3)</f>
        <v>#VALUE!</v>
      </c>
      <c r="D128" s="39" t="e">
        <f>"partner:"&amp;MID(A128,SEARCH(":",A128)+1,SEARCH(":",A128,SEARCH(":",A128)+1)-SEARCH(":",A128)-1)</f>
        <v>#VALUE!</v>
      </c>
      <c r="E128" s="39"/>
      <c r="F128" s="40" t="e">
        <f>DATEVALUE(SUBSTITUTE(LEFT(Table2[[#This Row],[Notes]],SEARCH(" ",Table2[[#This Row],[Notes]])-1),".","/"))</f>
        <v>#VALUE!</v>
      </c>
      <c r="G128" s="39"/>
      <c r="H128" s="39"/>
      <c r="I128" s="39"/>
      <c r="J128" s="39"/>
      <c r="K128" s="39"/>
      <c r="L128" s="39"/>
      <c r="M128" s="39"/>
      <c r="N128" s="39"/>
      <c r="O128" s="39"/>
      <c r="P128" s="39"/>
      <c r="Q128" s="39"/>
      <c r="R128" s="39"/>
      <c r="S128" s="39"/>
      <c r="T128" s="39"/>
      <c r="U128" s="39"/>
      <c r="V128" s="39"/>
      <c r="W128" s="39"/>
      <c r="X128" s="39"/>
      <c r="Y128" s="39"/>
      <c r="Z128" s="39"/>
      <c r="AA128" s="39"/>
    </row>
    <row r="129" spans="1:27" x14ac:dyDescent="0.25">
      <c r="A129" s="39"/>
      <c r="B129" s="39">
        <f>COUNTA('in progress'!A:A)-1</f>
        <v>33</v>
      </c>
      <c r="C129" s="39" t="e">
        <f xml:space="preserve"> MID(A129,SEARCH(":",A129)+2,SEARCH(":",A129,SEARCH(":",A129)+1)-SEARCH(":",A129)-3)</f>
        <v>#VALUE!</v>
      </c>
      <c r="D129" s="39" t="e">
        <f>"partner:"&amp;MID(A129,SEARCH(":",A129)+1,SEARCH(":",A129,SEARCH(":",A129)+1)-SEARCH(":",A129)-1)</f>
        <v>#VALUE!</v>
      </c>
      <c r="E129" s="39"/>
      <c r="F129" s="40" t="e">
        <f>DATEVALUE(SUBSTITUTE(LEFT(Table2[[#This Row],[Notes]],SEARCH(" ",Table2[[#This Row],[Notes]])-1),".","/"))</f>
        <v>#VALUE!</v>
      </c>
      <c r="G129" s="39"/>
      <c r="H129" s="39"/>
      <c r="I129" s="39"/>
      <c r="J129" s="39"/>
      <c r="K129" s="39"/>
      <c r="L129" s="39"/>
      <c r="M129" s="39"/>
      <c r="N129" s="39"/>
      <c r="O129" s="39"/>
      <c r="P129" s="39"/>
      <c r="Q129" s="39"/>
      <c r="R129" s="39"/>
      <c r="S129" s="39"/>
      <c r="T129" s="39"/>
      <c r="U129" s="39"/>
      <c r="V129" s="39"/>
      <c r="W129" s="39"/>
      <c r="X129" s="39"/>
      <c r="Y129" s="39"/>
      <c r="Z129" s="39"/>
      <c r="AA129" s="39"/>
    </row>
    <row r="130" spans="1:27" x14ac:dyDescent="0.25">
      <c r="A130" s="39"/>
      <c r="B130" s="39">
        <f>COUNTA('in progress'!A:A)-1</f>
        <v>33</v>
      </c>
      <c r="C130" s="39" t="e">
        <f xml:space="preserve"> MID(A130,SEARCH(":",A130)+2,SEARCH(":",A130,SEARCH(":",A130)+1)-SEARCH(":",A130)-3)</f>
        <v>#VALUE!</v>
      </c>
      <c r="D130" s="39" t="e">
        <f>"partner:"&amp;MID(A130,SEARCH(":",A130)+1,SEARCH(":",A130,SEARCH(":",A130)+1)-SEARCH(":",A130)-1)</f>
        <v>#VALUE!</v>
      </c>
      <c r="E130" s="39"/>
      <c r="F130" s="40" t="e">
        <f>DATEVALUE(SUBSTITUTE(LEFT(Table2[[#This Row],[Notes]],SEARCH(" ",Table2[[#This Row],[Notes]])-1),".","/"))</f>
        <v>#VALUE!</v>
      </c>
      <c r="G130" s="39"/>
      <c r="H130" s="39"/>
      <c r="I130" s="39"/>
      <c r="J130" s="39"/>
      <c r="K130" s="39"/>
      <c r="L130" s="39"/>
      <c r="M130" s="39"/>
      <c r="N130" s="39"/>
      <c r="O130" s="39"/>
      <c r="P130" s="39"/>
      <c r="Q130" s="39"/>
      <c r="R130" s="39"/>
      <c r="S130" s="39"/>
      <c r="T130" s="39"/>
      <c r="U130" s="39"/>
      <c r="V130" s="39"/>
      <c r="W130" s="39"/>
      <c r="X130" s="39"/>
      <c r="Y130" s="39"/>
      <c r="Z130" s="39"/>
      <c r="AA130" s="39"/>
    </row>
    <row r="131" spans="1:27" x14ac:dyDescent="0.25">
      <c r="A131" s="39"/>
      <c r="B131" s="39">
        <f>COUNTA('in progress'!A:A)-1</f>
        <v>33</v>
      </c>
      <c r="C131" s="39" t="e">
        <f xml:space="preserve"> MID(A131,SEARCH(":",A131)+2,SEARCH(":",A131,SEARCH(":",A131)+1)-SEARCH(":",A131)-3)</f>
        <v>#VALUE!</v>
      </c>
      <c r="D131" s="39" t="e">
        <f>"partner:"&amp;MID(A131,SEARCH(":",A131)+1,SEARCH(":",A131,SEARCH(":",A131)+1)-SEARCH(":",A131)-1)</f>
        <v>#VALUE!</v>
      </c>
      <c r="E131" s="39"/>
      <c r="F131" s="40" t="e">
        <f>DATEVALUE(SUBSTITUTE(LEFT(Table2[[#This Row],[Notes]],SEARCH(" ",Table2[[#This Row],[Notes]])-1),".","/"))</f>
        <v>#VALUE!</v>
      </c>
      <c r="G131" s="39"/>
      <c r="H131" s="39"/>
      <c r="I131" s="39"/>
      <c r="J131" s="39"/>
      <c r="K131" s="39"/>
      <c r="L131" s="39"/>
      <c r="M131" s="39"/>
      <c r="N131" s="39"/>
      <c r="O131" s="39"/>
      <c r="P131" s="39"/>
      <c r="Q131" s="39"/>
      <c r="R131" s="39"/>
      <c r="S131" s="39"/>
      <c r="T131" s="39"/>
      <c r="U131" s="39"/>
      <c r="V131" s="39"/>
      <c r="W131" s="39"/>
      <c r="X131" s="39"/>
      <c r="Y131" s="39"/>
      <c r="Z131" s="39"/>
      <c r="AA131" s="39"/>
    </row>
    <row r="132" spans="1:27" x14ac:dyDescent="0.25">
      <c r="A132" s="39"/>
      <c r="B132" s="39">
        <f>COUNTA('in progress'!A:A)-1</f>
        <v>33</v>
      </c>
      <c r="C132" s="39" t="e">
        <f xml:space="preserve"> MID(A132,SEARCH(":",A132)+2,SEARCH(":",A132,SEARCH(":",A132)+1)-SEARCH(":",A132)-3)</f>
        <v>#VALUE!</v>
      </c>
      <c r="D132" s="39" t="e">
        <f>"partner:"&amp;MID(A132,SEARCH(":",A132)+1,SEARCH(":",A132,SEARCH(":",A132)+1)-SEARCH(":",A132)-1)</f>
        <v>#VALUE!</v>
      </c>
      <c r="E132" s="39"/>
      <c r="F132" s="40" t="e">
        <f>DATEVALUE(SUBSTITUTE(LEFT(Table2[[#This Row],[Notes]],SEARCH(" ",Table2[[#This Row],[Notes]])-1),".","/"))</f>
        <v>#VALUE!</v>
      </c>
      <c r="G132" s="39"/>
      <c r="H132" s="39"/>
      <c r="I132" s="39"/>
      <c r="J132" s="39"/>
      <c r="K132" s="39"/>
      <c r="L132" s="39"/>
      <c r="M132" s="39"/>
      <c r="N132" s="39"/>
      <c r="O132" s="39"/>
      <c r="P132" s="39"/>
      <c r="Q132" s="39"/>
      <c r="R132" s="39"/>
      <c r="S132" s="39"/>
      <c r="T132" s="39"/>
      <c r="U132" s="39"/>
      <c r="V132" s="39"/>
      <c r="W132" s="39"/>
      <c r="X132" s="39"/>
      <c r="Y132" s="39"/>
      <c r="Z132" s="39"/>
      <c r="AA132" s="39"/>
    </row>
    <row r="133" spans="1:27" x14ac:dyDescent="0.25">
      <c r="A133" s="39"/>
      <c r="B133" s="39">
        <f>COUNTA('in progress'!A:A)-1</f>
        <v>33</v>
      </c>
      <c r="C133" s="39" t="e">
        <f xml:space="preserve"> MID(A133,SEARCH(":",A133)+2,SEARCH(":",A133,SEARCH(":",A133)+1)-SEARCH(":",A133)-3)</f>
        <v>#VALUE!</v>
      </c>
      <c r="D133" s="39" t="e">
        <f>"partner:"&amp;MID(A133,SEARCH(":",A133)+1,SEARCH(":",A133,SEARCH(":",A133)+1)-SEARCH(":",A133)-1)</f>
        <v>#VALUE!</v>
      </c>
      <c r="E133" s="39"/>
      <c r="F133" s="40" t="e">
        <f>DATEVALUE(SUBSTITUTE(LEFT(Table2[[#This Row],[Notes]],SEARCH(" ",Table2[[#This Row],[Notes]])-1),".","/"))</f>
        <v>#VALUE!</v>
      </c>
      <c r="G133" s="39"/>
      <c r="H133" s="39"/>
      <c r="I133" s="39"/>
      <c r="J133" s="39"/>
      <c r="K133" s="39"/>
      <c r="L133" s="39"/>
      <c r="M133" s="39"/>
      <c r="N133" s="39"/>
      <c r="O133" s="39"/>
      <c r="P133" s="39"/>
      <c r="Q133" s="39"/>
      <c r="R133" s="39"/>
      <c r="S133" s="39"/>
      <c r="T133" s="39"/>
      <c r="U133" s="39"/>
      <c r="V133" s="39"/>
      <c r="W133" s="39"/>
      <c r="X133" s="39"/>
      <c r="Y133" s="39"/>
      <c r="Z133" s="39"/>
      <c r="AA133" s="39"/>
    </row>
    <row r="134" spans="1:27" x14ac:dyDescent="0.25">
      <c r="A134" s="39"/>
      <c r="B134" s="39">
        <f>COUNTA('in progress'!A:A)-1</f>
        <v>33</v>
      </c>
      <c r="C134" s="39" t="e">
        <f xml:space="preserve"> MID(A134,SEARCH(":",A134)+2,SEARCH(":",A134,SEARCH(":",A134)+1)-SEARCH(":",A134)-3)</f>
        <v>#VALUE!</v>
      </c>
      <c r="D134" s="39" t="e">
        <f>"partner:"&amp;MID(A134,SEARCH(":",A134)+1,SEARCH(":",A134,SEARCH(":",A134)+1)-SEARCH(":",A134)-1)</f>
        <v>#VALUE!</v>
      </c>
      <c r="E134" s="39"/>
      <c r="F134" s="40" t="e">
        <f>DATEVALUE(SUBSTITUTE(LEFT(Table2[[#This Row],[Notes]],SEARCH(" ",Table2[[#This Row],[Notes]])-1),".","/"))</f>
        <v>#VALUE!</v>
      </c>
      <c r="G134" s="39"/>
      <c r="H134" s="39"/>
      <c r="I134" s="39"/>
      <c r="J134" s="39"/>
      <c r="K134" s="39"/>
      <c r="L134" s="39"/>
      <c r="M134" s="39"/>
      <c r="N134" s="39"/>
      <c r="O134" s="39"/>
      <c r="P134" s="39"/>
      <c r="Q134" s="39"/>
      <c r="R134" s="39"/>
      <c r="S134" s="39"/>
      <c r="T134" s="39"/>
      <c r="U134" s="39"/>
      <c r="V134" s="39"/>
      <c r="W134" s="39"/>
      <c r="X134" s="39"/>
      <c r="Y134" s="39"/>
      <c r="Z134" s="39"/>
      <c r="AA134" s="39"/>
    </row>
    <row r="135" spans="1:27" x14ac:dyDescent="0.25">
      <c r="A135" s="39"/>
      <c r="B135" s="39">
        <f>COUNTA('in progress'!A:A)-1</f>
        <v>33</v>
      </c>
      <c r="C135" s="39" t="e">
        <f xml:space="preserve"> MID(A135,SEARCH(":",A135)+2,SEARCH(":",A135,SEARCH(":",A135)+1)-SEARCH(":",A135)-3)</f>
        <v>#VALUE!</v>
      </c>
      <c r="D135" s="39" t="e">
        <f>"partner:"&amp;MID(A135,SEARCH(":",A135)+1,SEARCH(":",A135,SEARCH(":",A135)+1)-SEARCH(":",A135)-1)</f>
        <v>#VALUE!</v>
      </c>
      <c r="E135" s="39"/>
      <c r="F135" s="40" t="e">
        <f>DATEVALUE(SUBSTITUTE(LEFT(Table2[[#This Row],[Notes]],SEARCH(" ",Table2[[#This Row],[Notes]])-1),".","/"))</f>
        <v>#VALUE!</v>
      </c>
      <c r="G135" s="39"/>
      <c r="H135" s="39"/>
      <c r="I135" s="39"/>
      <c r="J135" s="39"/>
      <c r="K135" s="39"/>
      <c r="L135" s="39"/>
      <c r="M135" s="39"/>
      <c r="N135" s="39"/>
      <c r="O135" s="39"/>
      <c r="P135" s="39"/>
      <c r="Q135" s="39"/>
      <c r="R135" s="39"/>
      <c r="S135" s="39"/>
      <c r="T135" s="39"/>
      <c r="U135" s="39"/>
      <c r="V135" s="39"/>
      <c r="W135" s="39"/>
      <c r="X135" s="39"/>
      <c r="Y135" s="39"/>
      <c r="Z135" s="39"/>
      <c r="AA135" s="39"/>
    </row>
    <row r="136" spans="1:27" x14ac:dyDescent="0.25">
      <c r="A136" s="39"/>
      <c r="B136" s="39">
        <f>COUNTA('in progress'!A:A)-1</f>
        <v>33</v>
      </c>
      <c r="C136" s="39" t="e">
        <f xml:space="preserve"> MID(A136,SEARCH(":",A136)+2,SEARCH(":",A136,SEARCH(":",A136)+1)-SEARCH(":",A136)-3)</f>
        <v>#VALUE!</v>
      </c>
      <c r="D136" s="39" t="e">
        <f>"partner:"&amp;MID(A136,SEARCH(":",A136)+1,SEARCH(":",A136,SEARCH(":",A136)+1)-SEARCH(":",A136)-1)</f>
        <v>#VALUE!</v>
      </c>
      <c r="E136" s="39"/>
      <c r="F136" s="40" t="e">
        <f>DATEVALUE(SUBSTITUTE(LEFT(Table2[[#This Row],[Notes]],SEARCH(" ",Table2[[#This Row],[Notes]])-1),".","/"))</f>
        <v>#VALUE!</v>
      </c>
      <c r="G136" s="39"/>
      <c r="H136" s="39"/>
      <c r="I136" s="39"/>
      <c r="J136" s="39"/>
      <c r="K136" s="39"/>
      <c r="L136" s="39"/>
      <c r="M136" s="39"/>
      <c r="N136" s="39"/>
      <c r="O136" s="39"/>
      <c r="P136" s="39"/>
      <c r="Q136" s="39"/>
      <c r="R136" s="39"/>
      <c r="S136" s="39"/>
      <c r="T136" s="39"/>
      <c r="U136" s="39"/>
      <c r="V136" s="39"/>
      <c r="W136" s="39"/>
      <c r="X136" s="39"/>
      <c r="Y136" s="39"/>
      <c r="Z136" s="39"/>
      <c r="AA136" s="39"/>
    </row>
    <row r="137" spans="1:27" x14ac:dyDescent="0.25">
      <c r="A137" s="39"/>
      <c r="B137" s="39">
        <f>COUNTA('in progress'!A:A)-1</f>
        <v>33</v>
      </c>
      <c r="C137" s="39" t="e">
        <f xml:space="preserve"> MID(A137,SEARCH(":",A137)+2,SEARCH(":",A137,SEARCH(":",A137)+1)-SEARCH(":",A137)-3)</f>
        <v>#VALUE!</v>
      </c>
      <c r="D137" s="39" t="e">
        <f>"partner:"&amp;MID(A137,SEARCH(":",A137)+1,SEARCH(":",A137,SEARCH(":",A137)+1)-SEARCH(":",A137)-1)</f>
        <v>#VALUE!</v>
      </c>
      <c r="E137" s="39"/>
      <c r="F137" s="40" t="e">
        <f>DATEVALUE(SUBSTITUTE(LEFT(Table2[[#This Row],[Notes]],SEARCH(" ",Table2[[#This Row],[Notes]])-1),".","/"))</f>
        <v>#VALUE!</v>
      </c>
      <c r="G137" s="39"/>
      <c r="H137" s="39"/>
      <c r="I137" s="39"/>
      <c r="J137" s="39"/>
      <c r="K137" s="39"/>
      <c r="L137" s="39"/>
      <c r="M137" s="39"/>
      <c r="N137" s="39"/>
      <c r="O137" s="39"/>
      <c r="P137" s="39"/>
      <c r="Q137" s="39"/>
      <c r="R137" s="39"/>
      <c r="S137" s="39"/>
      <c r="T137" s="39"/>
      <c r="U137" s="39"/>
      <c r="V137" s="39"/>
      <c r="W137" s="39"/>
      <c r="X137" s="39"/>
      <c r="Y137" s="39"/>
      <c r="Z137" s="39"/>
      <c r="AA137" s="39"/>
    </row>
    <row r="138" spans="1:27" x14ac:dyDescent="0.25">
      <c r="A138" s="39"/>
      <c r="B138" s="39">
        <f>COUNTA('in progress'!A:A)-1</f>
        <v>33</v>
      </c>
      <c r="C138" s="39" t="e">
        <f xml:space="preserve"> MID(A138,SEARCH(":",A138)+2,SEARCH(":",A138,SEARCH(":",A138)+1)-SEARCH(":",A138)-3)</f>
        <v>#VALUE!</v>
      </c>
      <c r="D138" s="39" t="e">
        <f>"partner:"&amp;MID(A138,SEARCH(":",A138)+1,SEARCH(":",A138,SEARCH(":",A138)+1)-SEARCH(":",A138)-1)</f>
        <v>#VALUE!</v>
      </c>
      <c r="E138" s="39"/>
      <c r="F138" s="40" t="e">
        <f>DATEVALUE(SUBSTITUTE(LEFT(Table2[[#This Row],[Notes]],SEARCH(" ",Table2[[#This Row],[Notes]])-1),".","/"))</f>
        <v>#VALUE!</v>
      </c>
      <c r="G138" s="39"/>
      <c r="H138" s="39"/>
      <c r="I138" s="39"/>
      <c r="J138" s="39"/>
      <c r="K138" s="39"/>
      <c r="L138" s="39"/>
      <c r="M138" s="39"/>
      <c r="N138" s="39"/>
      <c r="O138" s="39"/>
      <c r="P138" s="39"/>
      <c r="Q138" s="39"/>
      <c r="R138" s="39"/>
      <c r="S138" s="39"/>
      <c r="T138" s="39"/>
      <c r="U138" s="39"/>
      <c r="V138" s="39"/>
      <c r="W138" s="39"/>
      <c r="X138" s="39"/>
      <c r="Y138" s="39"/>
      <c r="Z138" s="39"/>
      <c r="AA138" s="39"/>
    </row>
    <row r="139" spans="1:27" x14ac:dyDescent="0.25">
      <c r="A139" s="39"/>
      <c r="B139" s="39">
        <f>COUNTA('in progress'!A:A)-1</f>
        <v>33</v>
      </c>
      <c r="C139" s="39" t="e">
        <f xml:space="preserve"> MID(A139,SEARCH(":",A139)+2,SEARCH(":",A139,SEARCH(":",A139)+1)-SEARCH(":",A139)-3)</f>
        <v>#VALUE!</v>
      </c>
      <c r="D139" s="39" t="e">
        <f>"partner:"&amp;MID(A139,SEARCH(":",A139)+1,SEARCH(":",A139,SEARCH(":",A139)+1)-SEARCH(":",A139)-1)</f>
        <v>#VALUE!</v>
      </c>
      <c r="E139" s="39"/>
      <c r="F139" s="40" t="e">
        <f>DATEVALUE(SUBSTITUTE(LEFT(Table2[[#This Row],[Notes]],SEARCH(" ",Table2[[#This Row],[Notes]])-1),".","/"))</f>
        <v>#VALUE!</v>
      </c>
      <c r="G139" s="39"/>
      <c r="H139" s="39"/>
      <c r="I139" s="39"/>
      <c r="J139" s="39"/>
      <c r="K139" s="39"/>
      <c r="L139" s="39"/>
      <c r="M139" s="39"/>
      <c r="N139" s="39"/>
      <c r="O139" s="39"/>
      <c r="P139" s="39"/>
      <c r="Q139" s="39"/>
      <c r="R139" s="39"/>
      <c r="S139" s="39"/>
      <c r="T139" s="39"/>
      <c r="U139" s="39"/>
      <c r="V139" s="39"/>
      <c r="W139" s="39"/>
      <c r="X139" s="39"/>
      <c r="Y139" s="39"/>
      <c r="Z139" s="39"/>
      <c r="AA139" s="39"/>
    </row>
    <row r="140" spans="1:27" x14ac:dyDescent="0.25">
      <c r="A140" s="39"/>
      <c r="B140" s="39">
        <f>COUNTA('in progress'!A:A)-1</f>
        <v>33</v>
      </c>
      <c r="C140" s="39" t="e">
        <f xml:space="preserve"> MID(A140,SEARCH(":",A140)+2,SEARCH(":",A140,SEARCH(":",A140)+1)-SEARCH(":",A140)-3)</f>
        <v>#VALUE!</v>
      </c>
      <c r="D140" s="39" t="e">
        <f>"partner:"&amp;MID(A140,SEARCH(":",A140)+1,SEARCH(":",A140,SEARCH(":",A140)+1)-SEARCH(":",A140)-1)</f>
        <v>#VALUE!</v>
      </c>
      <c r="E140" s="39"/>
      <c r="F140" s="40" t="e">
        <f>DATEVALUE(SUBSTITUTE(LEFT(Table2[[#This Row],[Notes]],SEARCH(" ",Table2[[#This Row],[Notes]])-1),".","/"))</f>
        <v>#VALUE!</v>
      </c>
      <c r="G140" s="39"/>
      <c r="H140" s="39"/>
      <c r="I140" s="39"/>
      <c r="J140" s="39"/>
      <c r="K140" s="39"/>
      <c r="L140" s="39"/>
      <c r="M140" s="39"/>
      <c r="N140" s="39"/>
      <c r="O140" s="39"/>
      <c r="P140" s="39"/>
      <c r="Q140" s="39"/>
      <c r="R140" s="39"/>
      <c r="S140" s="39"/>
      <c r="T140" s="39"/>
      <c r="U140" s="39"/>
      <c r="V140" s="39"/>
      <c r="W140" s="39"/>
      <c r="X140" s="39"/>
      <c r="Y140" s="39"/>
      <c r="Z140" s="39"/>
      <c r="AA140" s="39"/>
    </row>
    <row r="141" spans="1:27" x14ac:dyDescent="0.25">
      <c r="A141" s="39"/>
      <c r="B141" s="39">
        <f>COUNTA('in progress'!A:A)-1</f>
        <v>33</v>
      </c>
      <c r="C141" s="39" t="e">
        <f xml:space="preserve"> MID(A141,SEARCH(":",A141)+2,SEARCH(":",A141,SEARCH(":",A141)+1)-SEARCH(":",A141)-3)</f>
        <v>#VALUE!</v>
      </c>
      <c r="D141" s="39" t="e">
        <f>"partner:"&amp;MID(A141,SEARCH(":",A141)+1,SEARCH(":",A141,SEARCH(":",A141)+1)-SEARCH(":",A141)-1)</f>
        <v>#VALUE!</v>
      </c>
      <c r="E141" s="39"/>
      <c r="F141" s="40" t="e">
        <f>DATEVALUE(SUBSTITUTE(LEFT(Table2[[#This Row],[Notes]],SEARCH(" ",Table2[[#This Row],[Notes]])-1),".","/"))</f>
        <v>#VALUE!</v>
      </c>
      <c r="G141" s="39"/>
      <c r="H141" s="39"/>
      <c r="I141" s="39"/>
      <c r="J141" s="39"/>
      <c r="K141" s="39"/>
      <c r="L141" s="39"/>
      <c r="M141" s="39"/>
      <c r="N141" s="39"/>
      <c r="O141" s="39"/>
      <c r="P141" s="39"/>
      <c r="Q141" s="39"/>
      <c r="R141" s="39"/>
      <c r="S141" s="39"/>
      <c r="T141" s="39"/>
      <c r="U141" s="39"/>
      <c r="V141" s="39"/>
      <c r="W141" s="39"/>
      <c r="X141" s="39"/>
      <c r="Y141" s="39"/>
      <c r="Z141" s="39"/>
      <c r="AA141" s="39"/>
    </row>
    <row r="142" spans="1:27" x14ac:dyDescent="0.25">
      <c r="A142" s="39"/>
      <c r="B142" s="39">
        <f>COUNTA('in progress'!A:A)-1</f>
        <v>33</v>
      </c>
      <c r="C142" s="39" t="e">
        <f xml:space="preserve"> MID(A142,SEARCH(":",A142)+2,SEARCH(":",A142,SEARCH(":",A142)+1)-SEARCH(":",A142)-3)</f>
        <v>#VALUE!</v>
      </c>
      <c r="D142" s="39" t="e">
        <f>"partner:"&amp;MID(A142,SEARCH(":",A142)+1,SEARCH(":",A142,SEARCH(":",A142)+1)-SEARCH(":",A142)-1)</f>
        <v>#VALUE!</v>
      </c>
      <c r="E142" s="39"/>
      <c r="F142" s="40" t="e">
        <f>DATEVALUE(SUBSTITUTE(LEFT(Table2[[#This Row],[Notes]],SEARCH(" ",Table2[[#This Row],[Notes]])-1),".","/"))</f>
        <v>#VALUE!</v>
      </c>
      <c r="G142" s="39"/>
      <c r="H142" s="39"/>
      <c r="I142" s="39"/>
      <c r="J142" s="39"/>
      <c r="K142" s="39"/>
      <c r="L142" s="39"/>
      <c r="M142" s="39"/>
      <c r="N142" s="39"/>
      <c r="O142" s="39"/>
      <c r="P142" s="39"/>
      <c r="Q142" s="39"/>
      <c r="R142" s="39"/>
      <c r="S142" s="39"/>
      <c r="T142" s="39"/>
      <c r="U142" s="39"/>
      <c r="V142" s="39"/>
      <c r="W142" s="39"/>
      <c r="X142" s="39"/>
      <c r="Y142" s="39"/>
      <c r="Z142" s="39"/>
      <c r="AA142" s="39"/>
    </row>
    <row r="143" spans="1:27" x14ac:dyDescent="0.25">
      <c r="A143" s="39"/>
      <c r="B143" s="39">
        <f>COUNTA('in progress'!A:A)-1</f>
        <v>33</v>
      </c>
      <c r="C143" s="39" t="e">
        <f xml:space="preserve"> MID(A143,SEARCH(":",A143)+2,SEARCH(":",A143,SEARCH(":",A143)+1)-SEARCH(":",A143)-3)</f>
        <v>#VALUE!</v>
      </c>
      <c r="D143" s="39" t="e">
        <f>"partner:"&amp;MID(A143,SEARCH(":",A143)+1,SEARCH(":",A143,SEARCH(":",A143)+1)-SEARCH(":",A143)-1)</f>
        <v>#VALUE!</v>
      </c>
      <c r="E143" s="39"/>
      <c r="F143" s="40" t="e">
        <f>DATEVALUE(SUBSTITUTE(LEFT(Table2[[#This Row],[Notes]],SEARCH(" ",Table2[[#This Row],[Notes]])-1),".","/"))</f>
        <v>#VALUE!</v>
      </c>
      <c r="G143" s="39"/>
      <c r="H143" s="39"/>
      <c r="I143" s="39"/>
      <c r="J143" s="39"/>
      <c r="K143" s="39"/>
      <c r="L143" s="39"/>
      <c r="M143" s="39"/>
      <c r="N143" s="39"/>
      <c r="O143" s="39"/>
      <c r="P143" s="39"/>
      <c r="Q143" s="39"/>
      <c r="R143" s="39"/>
      <c r="S143" s="39"/>
      <c r="T143" s="39"/>
      <c r="U143" s="39"/>
      <c r="V143" s="39"/>
      <c r="W143" s="39"/>
      <c r="X143" s="39"/>
      <c r="Y143" s="39"/>
      <c r="Z143" s="39"/>
      <c r="AA143" s="39"/>
    </row>
    <row r="144" spans="1:27" x14ac:dyDescent="0.25">
      <c r="A144" s="39"/>
      <c r="B144" s="39">
        <f>COUNTA('in progress'!A:A)-1</f>
        <v>33</v>
      </c>
      <c r="C144" s="39" t="e">
        <f xml:space="preserve"> MID(A144,SEARCH(":",A144)+2,SEARCH(":",A144,SEARCH(":",A144)+1)-SEARCH(":",A144)-3)</f>
        <v>#VALUE!</v>
      </c>
      <c r="D144" s="39" t="e">
        <f>"partner:"&amp;MID(A144,SEARCH(":",A144)+1,SEARCH(":",A144,SEARCH(":",A144)+1)-SEARCH(":",A144)-1)</f>
        <v>#VALUE!</v>
      </c>
      <c r="E144" s="39"/>
      <c r="F144" s="40" t="e">
        <f>DATEVALUE(SUBSTITUTE(LEFT(Table2[[#This Row],[Notes]],SEARCH(" ",Table2[[#This Row],[Notes]])-1),".","/"))</f>
        <v>#VALUE!</v>
      </c>
      <c r="G144" s="39"/>
      <c r="H144" s="39"/>
      <c r="I144" s="39"/>
      <c r="J144" s="39"/>
      <c r="K144" s="39"/>
      <c r="L144" s="39"/>
      <c r="M144" s="39"/>
      <c r="N144" s="39"/>
      <c r="O144" s="39"/>
      <c r="P144" s="39"/>
      <c r="Q144" s="39"/>
      <c r="R144" s="39"/>
      <c r="S144" s="39"/>
      <c r="T144" s="39"/>
      <c r="U144" s="39"/>
      <c r="V144" s="39"/>
      <c r="W144" s="39"/>
      <c r="X144" s="39"/>
      <c r="Y144" s="39"/>
      <c r="Z144" s="39"/>
      <c r="AA144" s="39"/>
    </row>
    <row r="145" spans="1:27" x14ac:dyDescent="0.25">
      <c r="A145" s="39"/>
      <c r="B145" s="39">
        <f>COUNTA('in progress'!A:A)-1</f>
        <v>33</v>
      </c>
      <c r="C145" s="39" t="e">
        <f xml:space="preserve"> MID(A145,SEARCH(":",A145)+2,SEARCH(":",A145,SEARCH(":",A145)+1)-SEARCH(":",A145)-3)</f>
        <v>#VALUE!</v>
      </c>
      <c r="D145" s="39" t="e">
        <f>"partner:"&amp;MID(A145,SEARCH(":",A145)+1,SEARCH(":",A145,SEARCH(":",A145)+1)-SEARCH(":",A145)-1)</f>
        <v>#VALUE!</v>
      </c>
      <c r="E145" s="39"/>
      <c r="F145" s="40" t="e">
        <f>DATEVALUE(SUBSTITUTE(LEFT(Table2[[#This Row],[Notes]],SEARCH(" ",Table2[[#This Row],[Notes]])-1),".","/"))</f>
        <v>#VALUE!</v>
      </c>
      <c r="G145" s="39"/>
      <c r="H145" s="39"/>
      <c r="I145" s="39"/>
      <c r="J145" s="39"/>
      <c r="K145" s="39"/>
      <c r="L145" s="39"/>
      <c r="M145" s="39"/>
      <c r="N145" s="39"/>
      <c r="O145" s="39"/>
      <c r="P145" s="39"/>
      <c r="Q145" s="39"/>
      <c r="R145" s="39"/>
      <c r="S145" s="39"/>
      <c r="T145" s="39"/>
      <c r="U145" s="39"/>
      <c r="V145" s="39"/>
      <c r="W145" s="39"/>
      <c r="X145" s="39"/>
      <c r="Y145" s="39"/>
      <c r="Z145" s="39"/>
      <c r="AA145" s="39"/>
    </row>
    <row r="146" spans="1:27" x14ac:dyDescent="0.25">
      <c r="A146" s="39"/>
      <c r="B146" s="39">
        <f>COUNTA('in progress'!A:A)-1</f>
        <v>33</v>
      </c>
      <c r="C146" s="39" t="e">
        <f xml:space="preserve"> MID(A146,SEARCH(":",A146)+2,SEARCH(":",A146,SEARCH(":",A146)+1)-SEARCH(":",A146)-3)</f>
        <v>#VALUE!</v>
      </c>
      <c r="D146" s="39" t="e">
        <f>"partner:"&amp;MID(A146,SEARCH(":",A146)+1,SEARCH(":",A146,SEARCH(":",A146)+1)-SEARCH(":",A146)-1)</f>
        <v>#VALUE!</v>
      </c>
      <c r="E146" s="39"/>
      <c r="F146" s="40" t="e">
        <f>DATEVALUE(SUBSTITUTE(LEFT(Table2[[#This Row],[Notes]],SEARCH(" ",Table2[[#This Row],[Notes]])-1),".","/"))</f>
        <v>#VALUE!</v>
      </c>
      <c r="G146" s="39"/>
      <c r="H146" s="39"/>
      <c r="I146" s="39"/>
      <c r="J146" s="39"/>
      <c r="K146" s="39"/>
      <c r="L146" s="39"/>
      <c r="M146" s="39"/>
      <c r="N146" s="39"/>
      <c r="O146" s="39"/>
      <c r="P146" s="39"/>
      <c r="Q146" s="39"/>
      <c r="R146" s="39"/>
      <c r="S146" s="39"/>
      <c r="T146" s="39"/>
      <c r="U146" s="39"/>
      <c r="V146" s="39"/>
      <c r="W146" s="39"/>
      <c r="X146" s="39"/>
      <c r="Y146" s="39"/>
      <c r="Z146" s="39"/>
      <c r="AA146" s="39"/>
    </row>
    <row r="147" spans="1:27" x14ac:dyDescent="0.25">
      <c r="A147" s="39"/>
      <c r="B147" s="39">
        <f>COUNTA('in progress'!A:A)-1</f>
        <v>33</v>
      </c>
      <c r="C147" s="39" t="e">
        <f xml:space="preserve"> MID(A147,SEARCH(":",A147)+2,SEARCH(":",A147,SEARCH(":",A147)+1)-SEARCH(":",A147)-3)</f>
        <v>#VALUE!</v>
      </c>
      <c r="D147" s="39" t="e">
        <f>"partner:"&amp;MID(A147,SEARCH(":",A147)+1,SEARCH(":",A147,SEARCH(":",A147)+1)-SEARCH(":",A147)-1)</f>
        <v>#VALUE!</v>
      </c>
      <c r="E147" s="39"/>
      <c r="F147" s="40" t="e">
        <f>DATEVALUE(SUBSTITUTE(LEFT(Table2[[#This Row],[Notes]],SEARCH(" ",Table2[[#This Row],[Notes]])-1),".","/"))</f>
        <v>#VALUE!</v>
      </c>
      <c r="G147" s="39"/>
      <c r="H147" s="39"/>
      <c r="I147" s="39"/>
      <c r="J147" s="39"/>
      <c r="K147" s="39"/>
      <c r="L147" s="39"/>
      <c r="M147" s="39"/>
      <c r="N147" s="39"/>
      <c r="O147" s="39"/>
      <c r="P147" s="39"/>
      <c r="Q147" s="39"/>
      <c r="R147" s="39"/>
      <c r="S147" s="39"/>
      <c r="T147" s="39"/>
      <c r="U147" s="39"/>
      <c r="V147" s="39"/>
      <c r="W147" s="39"/>
      <c r="X147" s="39"/>
      <c r="Y147" s="39"/>
      <c r="Z147" s="39"/>
      <c r="AA147" s="39"/>
    </row>
    <row r="148" spans="1:27" x14ac:dyDescent="0.25">
      <c r="A148" s="39"/>
      <c r="B148" s="39">
        <f>COUNTA('in progress'!A:A)-1</f>
        <v>33</v>
      </c>
      <c r="C148" s="39" t="e">
        <f xml:space="preserve"> MID(A148,SEARCH(":",A148)+2,SEARCH(":",A148,SEARCH(":",A148)+1)-SEARCH(":",A148)-3)</f>
        <v>#VALUE!</v>
      </c>
      <c r="D148" s="39" t="e">
        <f>"partner:"&amp;MID(A148,SEARCH(":",A148)+1,SEARCH(":",A148,SEARCH(":",A148)+1)-SEARCH(":",A148)-1)</f>
        <v>#VALUE!</v>
      </c>
      <c r="E148" s="39"/>
      <c r="F148" s="40" t="e">
        <f>DATEVALUE(SUBSTITUTE(LEFT(Table2[[#This Row],[Notes]],SEARCH(" ",Table2[[#This Row],[Notes]])-1),".","/"))</f>
        <v>#VALUE!</v>
      </c>
      <c r="G148" s="39"/>
      <c r="H148" s="39"/>
      <c r="I148" s="39"/>
      <c r="J148" s="39"/>
      <c r="K148" s="39"/>
      <c r="L148" s="39"/>
      <c r="M148" s="39"/>
      <c r="N148" s="39"/>
      <c r="O148" s="39"/>
      <c r="P148" s="39"/>
      <c r="Q148" s="39"/>
      <c r="R148" s="39"/>
      <c r="S148" s="39"/>
      <c r="T148" s="39"/>
      <c r="U148" s="39"/>
      <c r="V148" s="39"/>
      <c r="W148" s="39"/>
      <c r="X148" s="39"/>
      <c r="Y148" s="39"/>
      <c r="Z148" s="39"/>
      <c r="AA148" s="39"/>
    </row>
    <row r="149" spans="1:27" x14ac:dyDescent="0.25">
      <c r="A149" s="39"/>
      <c r="B149" s="39">
        <f>COUNTA('in progress'!A:A)-1</f>
        <v>33</v>
      </c>
      <c r="C149" s="39" t="e">
        <f xml:space="preserve"> MID(A149,SEARCH(":",A149)+2,SEARCH(":",A149,SEARCH(":",A149)+1)-SEARCH(":",A149)-3)</f>
        <v>#VALUE!</v>
      </c>
      <c r="D149" s="39" t="e">
        <f>"partner:"&amp;MID(A149,SEARCH(":",A149)+1,SEARCH(":",A149,SEARCH(":",A149)+1)-SEARCH(":",A149)-1)</f>
        <v>#VALUE!</v>
      </c>
      <c r="E149" s="39"/>
      <c r="F149" s="40" t="e">
        <f>DATEVALUE(SUBSTITUTE(LEFT(Table2[[#This Row],[Notes]],SEARCH(" ",Table2[[#This Row],[Notes]])-1),".","/"))</f>
        <v>#VALUE!</v>
      </c>
      <c r="G149" s="39"/>
      <c r="H149" s="39"/>
      <c r="I149" s="39"/>
      <c r="J149" s="39"/>
      <c r="K149" s="39"/>
      <c r="L149" s="39"/>
      <c r="M149" s="39"/>
      <c r="N149" s="39"/>
      <c r="O149" s="39"/>
      <c r="P149" s="39"/>
      <c r="Q149" s="39"/>
      <c r="R149" s="39"/>
      <c r="S149" s="39"/>
      <c r="T149" s="39"/>
      <c r="U149" s="39"/>
      <c r="V149" s="39"/>
      <c r="W149" s="39"/>
      <c r="X149" s="39"/>
      <c r="Y149" s="39"/>
      <c r="Z149" s="39"/>
      <c r="AA149" s="39"/>
    </row>
    <row r="150" spans="1:27" x14ac:dyDescent="0.25">
      <c r="A150" s="39"/>
      <c r="B150" s="39">
        <f>COUNTA('in progress'!A:A)-1</f>
        <v>33</v>
      </c>
      <c r="C150" s="39" t="e">
        <f xml:space="preserve"> MID(A150,SEARCH(":",A150)+2,SEARCH(":",A150,SEARCH(":",A150)+1)-SEARCH(":",A150)-3)</f>
        <v>#VALUE!</v>
      </c>
      <c r="D150" s="39" t="e">
        <f>"partner:"&amp;MID(A150,SEARCH(":",A150)+1,SEARCH(":",A150,SEARCH(":",A150)+1)-SEARCH(":",A150)-1)</f>
        <v>#VALUE!</v>
      </c>
      <c r="E150" s="39"/>
      <c r="F150" s="40" t="e">
        <f>DATEVALUE(SUBSTITUTE(LEFT(Table2[[#This Row],[Notes]],SEARCH(" ",Table2[[#This Row],[Notes]])-1),".","/"))</f>
        <v>#VALUE!</v>
      </c>
      <c r="G150" s="39"/>
      <c r="H150" s="39"/>
      <c r="I150" s="39"/>
      <c r="J150" s="39"/>
      <c r="K150" s="39"/>
      <c r="L150" s="39"/>
      <c r="M150" s="39"/>
      <c r="N150" s="39"/>
      <c r="O150" s="39"/>
      <c r="P150" s="39"/>
      <c r="Q150" s="39"/>
      <c r="R150" s="39"/>
      <c r="S150" s="39"/>
      <c r="T150" s="39"/>
      <c r="U150" s="39"/>
      <c r="V150" s="39"/>
      <c r="W150" s="39"/>
      <c r="X150" s="39"/>
      <c r="Y150" s="39"/>
      <c r="Z150" s="39"/>
      <c r="AA150" s="39"/>
    </row>
    <row r="151" spans="1:27" x14ac:dyDescent="0.25">
      <c r="A151" s="39"/>
      <c r="B151" s="39">
        <f>COUNTA('in progress'!A:A)-1</f>
        <v>33</v>
      </c>
      <c r="C151" s="39" t="e">
        <f xml:space="preserve"> MID(A151,SEARCH(":",A151)+2,SEARCH(":",A151,SEARCH(":",A151)+1)-SEARCH(":",A151)-3)</f>
        <v>#VALUE!</v>
      </c>
      <c r="D151" s="39" t="e">
        <f>"partner:"&amp;MID(A151,SEARCH(":",A151)+1,SEARCH(":",A151,SEARCH(":",A151)+1)-SEARCH(":",A151)-1)</f>
        <v>#VALUE!</v>
      </c>
      <c r="E151" s="39"/>
      <c r="F151" s="40" t="e">
        <f>DATEVALUE(SUBSTITUTE(LEFT(Table2[[#This Row],[Notes]],SEARCH(" ",Table2[[#This Row],[Notes]])-1),".","/"))</f>
        <v>#VALUE!</v>
      </c>
      <c r="G151" s="39"/>
      <c r="H151" s="39"/>
      <c r="I151" s="39"/>
      <c r="J151" s="39"/>
      <c r="K151" s="39"/>
      <c r="L151" s="39"/>
      <c r="M151" s="39"/>
      <c r="N151" s="39"/>
      <c r="O151" s="39"/>
      <c r="P151" s="39"/>
      <c r="Q151" s="39"/>
      <c r="R151" s="39"/>
      <c r="S151" s="39"/>
      <c r="T151" s="39"/>
      <c r="U151" s="39"/>
      <c r="V151" s="39"/>
      <c r="W151" s="39"/>
      <c r="X151" s="39"/>
      <c r="Y151" s="39"/>
      <c r="Z151" s="39"/>
      <c r="AA151" s="39"/>
    </row>
    <row r="152" spans="1:27" x14ac:dyDescent="0.25">
      <c r="A152" s="39"/>
      <c r="B152" s="39">
        <f>COUNTA('in progress'!A:A)-1</f>
        <v>33</v>
      </c>
      <c r="C152" s="39" t="e">
        <f xml:space="preserve"> MID(A152,SEARCH(":",A152)+2,SEARCH(":",A152,SEARCH(":",A152)+1)-SEARCH(":",A152)-3)</f>
        <v>#VALUE!</v>
      </c>
      <c r="D152" s="39" t="e">
        <f>"partner:"&amp;MID(A152,SEARCH(":",A152)+1,SEARCH(":",A152,SEARCH(":",A152)+1)-SEARCH(":",A152)-1)</f>
        <v>#VALUE!</v>
      </c>
      <c r="E152" s="39"/>
      <c r="F152" s="40" t="e">
        <f>DATEVALUE(SUBSTITUTE(LEFT(Table2[[#This Row],[Notes]],SEARCH(" ",Table2[[#This Row],[Notes]])-1),".","/"))</f>
        <v>#VALUE!</v>
      </c>
      <c r="G152" s="39"/>
      <c r="H152" s="39"/>
      <c r="I152" s="39"/>
      <c r="J152" s="39"/>
      <c r="K152" s="39"/>
      <c r="L152" s="39"/>
      <c r="M152" s="39"/>
      <c r="N152" s="39"/>
      <c r="O152" s="39"/>
      <c r="P152" s="39"/>
      <c r="Q152" s="39"/>
      <c r="R152" s="39"/>
      <c r="S152" s="39"/>
      <c r="T152" s="39"/>
      <c r="U152" s="39"/>
      <c r="V152" s="39"/>
      <c r="W152" s="39"/>
      <c r="X152" s="39"/>
      <c r="Y152" s="39"/>
      <c r="Z152" s="39"/>
      <c r="AA152" s="39"/>
    </row>
    <row r="153" spans="1:27" x14ac:dyDescent="0.25">
      <c r="A153" s="39"/>
      <c r="B153" s="39">
        <f>COUNTA('in progress'!A:A)-1</f>
        <v>33</v>
      </c>
      <c r="C153" s="39" t="e">
        <f xml:space="preserve"> MID(A153,SEARCH(":",A153)+2,SEARCH(":",A153,SEARCH(":",A153)+1)-SEARCH(":",A153)-3)</f>
        <v>#VALUE!</v>
      </c>
      <c r="D153" s="39" t="e">
        <f>"partner:"&amp;MID(A153,SEARCH(":",A153)+1,SEARCH(":",A153,SEARCH(":",A153)+1)-SEARCH(":",A153)-1)</f>
        <v>#VALUE!</v>
      </c>
      <c r="E153" s="39"/>
      <c r="F153" s="40" t="e">
        <f>DATEVALUE(SUBSTITUTE(LEFT(Table2[[#This Row],[Notes]],SEARCH(" ",Table2[[#This Row],[Notes]])-1),".","/"))</f>
        <v>#VALUE!</v>
      </c>
      <c r="G153" s="39"/>
      <c r="H153" s="39"/>
      <c r="I153" s="39"/>
      <c r="J153" s="39"/>
      <c r="K153" s="39"/>
      <c r="L153" s="39"/>
      <c r="M153" s="39"/>
      <c r="N153" s="39"/>
      <c r="O153" s="39"/>
      <c r="P153" s="39"/>
      <c r="Q153" s="39"/>
      <c r="R153" s="39"/>
      <c r="S153" s="39"/>
      <c r="T153" s="39"/>
      <c r="U153" s="39"/>
      <c r="V153" s="39"/>
      <c r="W153" s="39"/>
      <c r="X153" s="39"/>
      <c r="Y153" s="39"/>
      <c r="Z153" s="39"/>
      <c r="AA153" s="39"/>
    </row>
    <row r="154" spans="1:27" x14ac:dyDescent="0.25">
      <c r="A154" s="39"/>
      <c r="B154" s="39">
        <f>COUNTA('in progress'!A:A)-1</f>
        <v>33</v>
      </c>
      <c r="C154" s="39" t="e">
        <f xml:space="preserve"> MID(A154,SEARCH(":",A154)+2,SEARCH(":",A154,SEARCH(":",A154)+1)-SEARCH(":",A154)-3)</f>
        <v>#VALUE!</v>
      </c>
      <c r="D154" s="39" t="e">
        <f>"partner:"&amp;MID(A154,SEARCH(":",A154)+1,SEARCH(":",A154,SEARCH(":",A154)+1)-SEARCH(":",A154)-1)</f>
        <v>#VALUE!</v>
      </c>
      <c r="E154" s="39"/>
      <c r="F154" s="40" t="e">
        <f>DATEVALUE(SUBSTITUTE(LEFT(Table2[[#This Row],[Notes]],SEARCH(" ",Table2[[#This Row],[Notes]])-1),".","/"))</f>
        <v>#VALUE!</v>
      </c>
      <c r="G154" s="39"/>
      <c r="H154" s="39"/>
      <c r="I154" s="39"/>
      <c r="J154" s="39"/>
      <c r="K154" s="39"/>
      <c r="L154" s="39"/>
      <c r="M154" s="39"/>
      <c r="N154" s="39"/>
      <c r="O154" s="39"/>
      <c r="P154" s="39"/>
      <c r="Q154" s="39"/>
      <c r="R154" s="39"/>
      <c r="S154" s="39"/>
      <c r="T154" s="39"/>
      <c r="U154" s="39"/>
      <c r="V154" s="39"/>
      <c r="W154" s="39"/>
      <c r="X154" s="39"/>
      <c r="Y154" s="39"/>
      <c r="Z154" s="39"/>
      <c r="AA154" s="39"/>
    </row>
    <row r="155" spans="1:27" x14ac:dyDescent="0.25">
      <c r="A155" s="39"/>
      <c r="B155" s="39">
        <f>COUNTA('in progress'!A:A)-1</f>
        <v>33</v>
      </c>
      <c r="C155" s="39" t="e">
        <f xml:space="preserve"> MID(A155,SEARCH(":",A155)+2,SEARCH(":",A155,SEARCH(":",A155)+1)-SEARCH(":",A155)-3)</f>
        <v>#VALUE!</v>
      </c>
      <c r="D155" s="39" t="e">
        <f>"partner:"&amp;MID(A155,SEARCH(":",A155)+1,SEARCH(":",A155,SEARCH(":",A155)+1)-SEARCH(":",A155)-1)</f>
        <v>#VALUE!</v>
      </c>
      <c r="E155" s="39"/>
      <c r="F155" s="40" t="e">
        <f>DATEVALUE(SUBSTITUTE(LEFT(Table2[[#This Row],[Notes]],SEARCH(" ",Table2[[#This Row],[Notes]])-1),".","/"))</f>
        <v>#VALUE!</v>
      </c>
      <c r="G155" s="39"/>
      <c r="H155" s="39"/>
      <c r="I155" s="39"/>
      <c r="J155" s="39"/>
      <c r="K155" s="39"/>
      <c r="L155" s="39"/>
      <c r="M155" s="39"/>
      <c r="N155" s="39"/>
      <c r="O155" s="39"/>
      <c r="P155" s="39"/>
      <c r="Q155" s="39"/>
      <c r="R155" s="39"/>
      <c r="S155" s="39"/>
      <c r="T155" s="39"/>
      <c r="U155" s="39"/>
      <c r="V155" s="39"/>
      <c r="W155" s="39"/>
      <c r="X155" s="39"/>
      <c r="Y155" s="39"/>
      <c r="Z155" s="39"/>
      <c r="AA155" s="39"/>
    </row>
    <row r="156" spans="1:27" x14ac:dyDescent="0.25">
      <c r="A156" s="39"/>
      <c r="B156" s="39">
        <f>COUNTA('in progress'!A:A)-1</f>
        <v>33</v>
      </c>
      <c r="C156" s="39" t="e">
        <f xml:space="preserve"> MID(A156,SEARCH(":",A156)+2,SEARCH(":",A156,SEARCH(":",A156)+1)-SEARCH(":",A156)-3)</f>
        <v>#VALUE!</v>
      </c>
      <c r="D156" s="39" t="e">
        <f>"partner:"&amp;MID(A156,SEARCH(":",A156)+1,SEARCH(":",A156,SEARCH(":",A156)+1)-SEARCH(":",A156)-1)</f>
        <v>#VALUE!</v>
      </c>
      <c r="E156" s="39"/>
      <c r="F156" s="40" t="e">
        <f>DATEVALUE(SUBSTITUTE(LEFT(Table2[[#This Row],[Notes]],SEARCH(" ",Table2[[#This Row],[Notes]])-1),".","/"))</f>
        <v>#VALUE!</v>
      </c>
      <c r="G156" s="39"/>
      <c r="H156" s="39"/>
      <c r="I156" s="39"/>
      <c r="J156" s="39"/>
      <c r="K156" s="39"/>
      <c r="L156" s="39"/>
      <c r="M156" s="39"/>
      <c r="N156" s="39"/>
      <c r="O156" s="39"/>
      <c r="P156" s="39"/>
      <c r="Q156" s="39"/>
      <c r="R156" s="39"/>
      <c r="S156" s="39"/>
      <c r="T156" s="39"/>
      <c r="U156" s="39"/>
      <c r="V156" s="39"/>
      <c r="W156" s="39"/>
      <c r="X156" s="39"/>
      <c r="Y156" s="39"/>
      <c r="Z156" s="39"/>
      <c r="AA156" s="39"/>
    </row>
    <row r="157" spans="1:27" x14ac:dyDescent="0.25">
      <c r="A157" s="39"/>
      <c r="B157" s="39">
        <f>COUNTA('in progress'!A:A)-1</f>
        <v>33</v>
      </c>
      <c r="C157" s="39" t="e">
        <f xml:space="preserve"> MID(A157,SEARCH(":",A157)+2,SEARCH(":",A157,SEARCH(":",A157)+1)-SEARCH(":",A157)-3)</f>
        <v>#VALUE!</v>
      </c>
      <c r="D157" s="39" t="e">
        <f>"partner:"&amp;MID(A157,SEARCH(":",A157)+1,SEARCH(":",A157,SEARCH(":",A157)+1)-SEARCH(":",A157)-1)</f>
        <v>#VALUE!</v>
      </c>
      <c r="E157" s="39"/>
      <c r="F157" s="40" t="e">
        <f>DATEVALUE(SUBSTITUTE(LEFT(Table2[[#This Row],[Notes]],SEARCH(" ",Table2[[#This Row],[Notes]])-1),".","/"))</f>
        <v>#VALUE!</v>
      </c>
      <c r="G157" s="39"/>
      <c r="H157" s="39"/>
      <c r="I157" s="39"/>
      <c r="J157" s="39"/>
      <c r="K157" s="39"/>
      <c r="L157" s="39"/>
      <c r="M157" s="39"/>
      <c r="N157" s="39"/>
      <c r="O157" s="39"/>
      <c r="P157" s="39"/>
      <c r="Q157" s="39"/>
      <c r="R157" s="39"/>
      <c r="S157" s="39"/>
      <c r="T157" s="39"/>
      <c r="U157" s="39"/>
      <c r="V157" s="39"/>
      <c r="W157" s="39"/>
      <c r="X157" s="39"/>
      <c r="Y157" s="39"/>
      <c r="Z157" s="39"/>
      <c r="AA157" s="39"/>
    </row>
    <row r="158" spans="1:27" x14ac:dyDescent="0.25">
      <c r="A158" s="39"/>
      <c r="B158" s="39">
        <f>COUNTA('in progress'!A:A)-1</f>
        <v>33</v>
      </c>
      <c r="C158" s="39" t="e">
        <f xml:space="preserve"> MID(A158,SEARCH(":",A158)+2,SEARCH(":",A158,SEARCH(":",A158)+1)-SEARCH(":",A158)-3)</f>
        <v>#VALUE!</v>
      </c>
      <c r="D158" s="39" t="e">
        <f>"partner:"&amp;MID(A158,SEARCH(":",A158)+1,SEARCH(":",A158,SEARCH(":",A158)+1)-SEARCH(":",A158)-1)</f>
        <v>#VALUE!</v>
      </c>
      <c r="E158" s="39"/>
      <c r="F158" s="40" t="e">
        <f>DATEVALUE(SUBSTITUTE(LEFT(Table2[[#This Row],[Notes]],SEARCH(" ",Table2[[#This Row],[Notes]])-1),".","/"))</f>
        <v>#VALUE!</v>
      </c>
      <c r="G158" s="39"/>
      <c r="H158" s="39"/>
      <c r="I158" s="39"/>
      <c r="J158" s="39"/>
      <c r="K158" s="39"/>
      <c r="L158" s="39"/>
      <c r="M158" s="39"/>
      <c r="N158" s="39"/>
      <c r="O158" s="39"/>
      <c r="P158" s="39"/>
      <c r="Q158" s="39"/>
      <c r="R158" s="39"/>
      <c r="S158" s="39"/>
      <c r="T158" s="39"/>
      <c r="U158" s="39"/>
      <c r="V158" s="39"/>
      <c r="W158" s="39"/>
      <c r="X158" s="39"/>
      <c r="Y158" s="39"/>
      <c r="Z158" s="39"/>
      <c r="AA158" s="39"/>
    </row>
    <row r="159" spans="1:27" x14ac:dyDescent="0.25">
      <c r="A159" s="39"/>
      <c r="B159" s="39">
        <f>COUNTA('in progress'!A:A)-1</f>
        <v>33</v>
      </c>
      <c r="C159" s="39" t="e">
        <f xml:space="preserve"> MID(A159,SEARCH(":",A159)+2,SEARCH(":",A159,SEARCH(":",A159)+1)-SEARCH(":",A159)-3)</f>
        <v>#VALUE!</v>
      </c>
      <c r="D159" s="39" t="e">
        <f>"partner:"&amp;MID(A159,SEARCH(":",A159)+1,SEARCH(":",A159,SEARCH(":",A159)+1)-SEARCH(":",A159)-1)</f>
        <v>#VALUE!</v>
      </c>
      <c r="E159" s="39"/>
      <c r="F159" s="40" t="e">
        <f>DATEVALUE(SUBSTITUTE(LEFT(Table2[[#This Row],[Notes]],SEARCH(" ",Table2[[#This Row],[Notes]])-1),".","/"))</f>
        <v>#VALUE!</v>
      </c>
      <c r="G159" s="39"/>
      <c r="H159" s="39"/>
      <c r="I159" s="39"/>
      <c r="J159" s="39"/>
      <c r="K159" s="39"/>
      <c r="L159" s="39"/>
      <c r="M159" s="39"/>
      <c r="N159" s="39"/>
      <c r="O159" s="39"/>
      <c r="P159" s="39"/>
      <c r="Q159" s="39"/>
      <c r="R159" s="39"/>
      <c r="S159" s="39"/>
      <c r="T159" s="39"/>
      <c r="U159" s="39"/>
      <c r="V159" s="39"/>
      <c r="W159" s="39"/>
      <c r="X159" s="39"/>
      <c r="Y159" s="39"/>
      <c r="Z159" s="39"/>
      <c r="AA159" s="39"/>
    </row>
    <row r="160" spans="1:27" x14ac:dyDescent="0.25">
      <c r="A160" s="39"/>
      <c r="B160" s="39">
        <f>COUNTA('in progress'!A:A)-1</f>
        <v>33</v>
      </c>
      <c r="C160" s="39" t="e">
        <f xml:space="preserve"> MID(A160,SEARCH(":",A160)+2,SEARCH(":",A160,SEARCH(":",A160)+1)-SEARCH(":",A160)-3)</f>
        <v>#VALUE!</v>
      </c>
      <c r="D160" s="39" t="e">
        <f>"partner:"&amp;MID(A160,SEARCH(":",A160)+1,SEARCH(":",A160,SEARCH(":",A160)+1)-SEARCH(":",A160)-1)</f>
        <v>#VALUE!</v>
      </c>
      <c r="E160" s="39"/>
      <c r="F160" s="40" t="e">
        <f>DATEVALUE(SUBSTITUTE(LEFT(Table2[[#This Row],[Notes]],SEARCH(" ",Table2[[#This Row],[Notes]])-1),".","/"))</f>
        <v>#VALUE!</v>
      </c>
      <c r="G160" s="39"/>
      <c r="H160" s="39"/>
      <c r="I160" s="39"/>
      <c r="J160" s="39"/>
      <c r="K160" s="39"/>
      <c r="L160" s="39"/>
      <c r="M160" s="39"/>
      <c r="N160" s="39"/>
      <c r="O160" s="39"/>
      <c r="P160" s="39"/>
      <c r="Q160" s="39"/>
      <c r="R160" s="39"/>
      <c r="S160" s="39"/>
      <c r="T160" s="39"/>
      <c r="U160" s="39"/>
      <c r="V160" s="39"/>
      <c r="W160" s="39"/>
      <c r="X160" s="39"/>
      <c r="Y160" s="39"/>
      <c r="Z160" s="39"/>
      <c r="AA160" s="39"/>
    </row>
    <row r="161" spans="1:27" x14ac:dyDescent="0.25">
      <c r="A161" s="39"/>
      <c r="B161" s="39">
        <f>COUNTA('in progress'!A:A)-1</f>
        <v>33</v>
      </c>
      <c r="C161" s="39" t="e">
        <f xml:space="preserve"> MID(A161,SEARCH(":",A161)+2,SEARCH(":",A161,SEARCH(":",A161)+1)-SEARCH(":",A161)-3)</f>
        <v>#VALUE!</v>
      </c>
      <c r="D161" s="39" t="e">
        <f>"partner:"&amp;MID(A161,SEARCH(":",A161)+1,SEARCH(":",A161,SEARCH(":",A161)+1)-SEARCH(":",A161)-1)</f>
        <v>#VALUE!</v>
      </c>
      <c r="E161" s="39"/>
      <c r="F161" s="40" t="e">
        <f>DATEVALUE(SUBSTITUTE(LEFT(Table2[[#This Row],[Notes]],SEARCH(" ",Table2[[#This Row],[Notes]])-1),".","/"))</f>
        <v>#VALUE!</v>
      </c>
      <c r="G161" s="39"/>
      <c r="H161" s="39"/>
      <c r="I161" s="39"/>
      <c r="J161" s="39"/>
      <c r="K161" s="39"/>
      <c r="L161" s="39"/>
      <c r="M161" s="39"/>
      <c r="N161" s="39"/>
      <c r="O161" s="39"/>
      <c r="P161" s="39"/>
      <c r="Q161" s="39"/>
      <c r="R161" s="39"/>
      <c r="S161" s="39"/>
      <c r="T161" s="39"/>
      <c r="U161" s="39"/>
      <c r="V161" s="39"/>
      <c r="W161" s="39"/>
      <c r="X161" s="39"/>
      <c r="Y161" s="39"/>
      <c r="Z161" s="39"/>
      <c r="AA161" s="39"/>
    </row>
    <row r="162" spans="1:27" x14ac:dyDescent="0.25">
      <c r="A162" s="39"/>
      <c r="B162" s="39">
        <f>COUNTA('in progress'!A:A)-1</f>
        <v>33</v>
      </c>
      <c r="C162" s="39" t="e">
        <f xml:space="preserve"> MID(A162,SEARCH(":",A162)+2,SEARCH(":",A162,SEARCH(":",A162)+1)-SEARCH(":",A162)-3)</f>
        <v>#VALUE!</v>
      </c>
      <c r="D162" s="39" t="e">
        <f>"partner:"&amp;MID(A162,SEARCH(":",A162)+1,SEARCH(":",A162,SEARCH(":",A162)+1)-SEARCH(":",A162)-1)</f>
        <v>#VALUE!</v>
      </c>
      <c r="E162" s="39"/>
      <c r="F162" s="40" t="e">
        <f>DATEVALUE(SUBSTITUTE(LEFT(Table2[[#This Row],[Notes]],SEARCH(" ",Table2[[#This Row],[Notes]])-1),".","/"))</f>
        <v>#VALUE!</v>
      </c>
      <c r="G162" s="39"/>
      <c r="H162" s="39"/>
      <c r="I162" s="39"/>
      <c r="J162" s="39"/>
      <c r="K162" s="39"/>
      <c r="L162" s="39"/>
      <c r="M162" s="39"/>
      <c r="N162" s="39"/>
      <c r="O162" s="39"/>
      <c r="P162" s="39"/>
      <c r="Q162" s="39"/>
      <c r="R162" s="39"/>
      <c r="S162" s="39"/>
      <c r="T162" s="39"/>
      <c r="U162" s="39"/>
      <c r="V162" s="39"/>
      <c r="W162" s="39"/>
      <c r="X162" s="39"/>
      <c r="Y162" s="39"/>
      <c r="Z162" s="39"/>
      <c r="AA162" s="39"/>
    </row>
    <row r="163" spans="1:27" x14ac:dyDescent="0.25">
      <c r="A163" s="39"/>
      <c r="B163" s="39">
        <f>COUNTA('in progress'!A:A)-1</f>
        <v>33</v>
      </c>
      <c r="C163" s="39" t="e">
        <f xml:space="preserve"> MID(A163,SEARCH(":",A163)+2,SEARCH(":",A163,SEARCH(":",A163)+1)-SEARCH(":",A163)-3)</f>
        <v>#VALUE!</v>
      </c>
      <c r="D163" s="39" t="e">
        <f>"partner:"&amp;MID(A163,SEARCH(":",A163)+1,SEARCH(":",A163,SEARCH(":",A163)+1)-SEARCH(":",A163)-1)</f>
        <v>#VALUE!</v>
      </c>
      <c r="E163" s="39"/>
      <c r="F163" s="40" t="e">
        <f>DATEVALUE(SUBSTITUTE(LEFT(Table2[[#This Row],[Notes]],SEARCH(" ",Table2[[#This Row],[Notes]])-1),".","/"))</f>
        <v>#VALUE!</v>
      </c>
      <c r="G163" s="39"/>
      <c r="H163" s="39"/>
      <c r="I163" s="39"/>
      <c r="J163" s="39"/>
      <c r="K163" s="39"/>
      <c r="L163" s="39"/>
      <c r="M163" s="39"/>
      <c r="N163" s="39"/>
      <c r="O163" s="39"/>
      <c r="P163" s="39"/>
      <c r="Q163" s="39"/>
      <c r="R163" s="39"/>
      <c r="S163" s="39"/>
      <c r="T163" s="39"/>
      <c r="U163" s="39"/>
      <c r="V163" s="39"/>
      <c r="W163" s="39"/>
      <c r="X163" s="39"/>
      <c r="Y163" s="39"/>
      <c r="Z163" s="39"/>
      <c r="AA163" s="39"/>
    </row>
    <row r="164" spans="1:27" x14ac:dyDescent="0.25">
      <c r="A164" s="39"/>
      <c r="B164" s="39">
        <f>COUNTA('in progress'!A:A)-1</f>
        <v>33</v>
      </c>
      <c r="C164" s="39" t="e">
        <f xml:space="preserve"> MID(A164,SEARCH(":",A164)+2,SEARCH(":",A164,SEARCH(":",A164)+1)-SEARCH(":",A164)-3)</f>
        <v>#VALUE!</v>
      </c>
      <c r="D164" s="39" t="e">
        <f>"partner:"&amp;MID(A164,SEARCH(":",A164)+1,SEARCH(":",A164,SEARCH(":",A164)+1)-SEARCH(":",A164)-1)</f>
        <v>#VALUE!</v>
      </c>
      <c r="E164" s="39"/>
      <c r="F164" s="40" t="e">
        <f>DATEVALUE(SUBSTITUTE(LEFT(Table2[[#This Row],[Notes]],SEARCH(" ",Table2[[#This Row],[Notes]])-1),".","/"))</f>
        <v>#VALUE!</v>
      </c>
      <c r="G164" s="39"/>
      <c r="H164" s="39"/>
      <c r="I164" s="39"/>
      <c r="J164" s="39"/>
      <c r="K164" s="39"/>
      <c r="L164" s="39"/>
      <c r="M164" s="39"/>
      <c r="N164" s="39"/>
      <c r="O164" s="39"/>
      <c r="P164" s="39"/>
      <c r="Q164" s="39"/>
      <c r="R164" s="39"/>
      <c r="S164" s="39"/>
      <c r="T164" s="39"/>
      <c r="U164" s="39"/>
      <c r="V164" s="39"/>
      <c r="W164" s="39"/>
      <c r="X164" s="39"/>
      <c r="Y164" s="39"/>
      <c r="Z164" s="39"/>
      <c r="AA164" s="39"/>
    </row>
    <row r="165" spans="1:27" x14ac:dyDescent="0.25">
      <c r="A165" s="39"/>
      <c r="B165" s="39">
        <f>COUNTA('in progress'!A:A)-1</f>
        <v>33</v>
      </c>
      <c r="C165" s="39" t="e">
        <f xml:space="preserve"> MID(A165,SEARCH(":",A165)+2,SEARCH(":",A165,SEARCH(":",A165)+1)-SEARCH(":",A165)-3)</f>
        <v>#VALUE!</v>
      </c>
      <c r="D165" s="39" t="e">
        <f>"partner:"&amp;MID(A165,SEARCH(":",A165)+1,SEARCH(":",A165,SEARCH(":",A165)+1)-SEARCH(":",A165)-1)</f>
        <v>#VALUE!</v>
      </c>
      <c r="E165" s="39"/>
      <c r="F165" s="40" t="e">
        <f>DATEVALUE(SUBSTITUTE(LEFT(#REF!,SEARCH(" ",#REF!)-1),".","/"))</f>
        <v>#REF!</v>
      </c>
      <c r="G165" s="39"/>
      <c r="H165" s="39"/>
      <c r="I165" s="39"/>
      <c r="J165" s="39"/>
      <c r="K165" s="39"/>
      <c r="L165" s="39"/>
      <c r="M165" s="39"/>
      <c r="N165" s="39"/>
      <c r="O165" s="39"/>
      <c r="P165" s="39"/>
      <c r="Q165" s="39"/>
      <c r="R165" s="39"/>
      <c r="S165" s="39"/>
      <c r="T165" s="39"/>
      <c r="U165" s="39"/>
      <c r="V165" s="39"/>
      <c r="W165" s="39"/>
      <c r="X165" s="39"/>
      <c r="Y165" s="39"/>
      <c r="Z165" s="39"/>
      <c r="AA165" s="39"/>
    </row>
    <row r="166" spans="1:27" x14ac:dyDescent="0.25">
      <c r="A166" s="39"/>
      <c r="B166" s="39">
        <f>COUNTA('in progress'!A:A)-1</f>
        <v>33</v>
      </c>
      <c r="C166" s="39" t="e">
        <f xml:space="preserve"> MID(A166,SEARCH(":",A166)+2,SEARCH(":",A166,SEARCH(":",A166)+1)-SEARCH(":",A166)-3)</f>
        <v>#VALUE!</v>
      </c>
      <c r="D166" s="39" t="e">
        <f>"partner:"&amp;MID(A166,SEARCH(":",A166)+1,SEARCH(":",A166,SEARCH(":",A166)+1)-SEARCH(":",A166)-1)</f>
        <v>#VALUE!</v>
      </c>
      <c r="E166" s="39"/>
      <c r="F166" s="40" t="e">
        <f>DATEVALUE(SUBSTITUTE(LEFT(#REF!,SEARCH(" ",#REF!)-1),".","/"))</f>
        <v>#REF!</v>
      </c>
      <c r="G166" s="39"/>
      <c r="H166" s="39"/>
      <c r="I166" s="39"/>
      <c r="J166" s="39"/>
      <c r="K166" s="39"/>
      <c r="L166" s="39"/>
      <c r="M166" s="39"/>
      <c r="N166" s="39"/>
      <c r="O166" s="39"/>
      <c r="P166" s="39"/>
      <c r="Q166" s="39"/>
      <c r="R166" s="39"/>
      <c r="S166" s="39"/>
      <c r="T166" s="39"/>
      <c r="U166" s="39"/>
      <c r="V166" s="39"/>
      <c r="W166" s="39"/>
      <c r="X166" s="39"/>
      <c r="Y166" s="39"/>
      <c r="Z166" s="39"/>
      <c r="AA166" s="39"/>
    </row>
  </sheetData>
  <phoneticPr fontId="9" type="noConversion"/>
  <conditionalFormatting sqref="E1 E23:E1048576">
    <cfRule type="expression" dxfId="100" priority="3">
      <formula>ISBLANK(E1)</formula>
    </cfRule>
  </conditionalFormatting>
  <conditionalFormatting sqref="G167:G1048576 F1:F166">
    <cfRule type="expression" dxfId="99" priority="14">
      <formula>TODAY()-F1&gt;=7</formula>
    </cfRule>
    <cfRule type="expression" dxfId="98" priority="28">
      <formula>TODAY()-F1&gt;=5</formula>
    </cfRule>
    <cfRule type="expression" dxfId="97" priority="29">
      <formula>TODAY()-F1&gt;=3</formula>
    </cfRule>
  </conditionalFormatting>
  <conditionalFormatting sqref="E2:E22">
    <cfRule type="expression" dxfId="96" priority="1">
      <formula>ISBLANK(E2)</formula>
    </cfRule>
  </conditionalFormatting>
  <hyperlinks>
    <hyperlink ref="G26" r:id="rId1" display="mailto:rebeccab@purecountry.com" xr:uid="{00000000-0004-0000-0000-000000000000}"/>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36"/>
  <sheetViews>
    <sheetView topLeftCell="H1" zoomScaleNormal="100" workbookViewId="0">
      <selection activeCell="N1" sqref="N1:Z1"/>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customWidth="1"/>
    <col min="6" max="6" width="2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6" s="9" customFormat="1" ht="29.25" customHeight="1" thickTop="1" thickBot="1" x14ac:dyDescent="0.3">
      <c r="A1" s="1" t="s">
        <v>11</v>
      </c>
      <c r="B1" s="1" t="s">
        <v>30</v>
      </c>
      <c r="C1" s="1" t="s">
        <v>103</v>
      </c>
      <c r="D1" s="15" t="s">
        <v>26</v>
      </c>
      <c r="E1" s="6" t="s">
        <v>12</v>
      </c>
      <c r="F1" s="1" t="s">
        <v>13</v>
      </c>
      <c r="G1" s="1" t="s">
        <v>14</v>
      </c>
      <c r="H1" s="10" t="s">
        <v>23</v>
      </c>
      <c r="I1" s="1" t="s">
        <v>19</v>
      </c>
      <c r="J1" s="1" t="s">
        <v>20</v>
      </c>
      <c r="K1" s="1" t="s">
        <v>21</v>
      </c>
      <c r="L1" s="1" t="s">
        <v>22</v>
      </c>
      <c r="M1" s="1" t="s">
        <v>0</v>
      </c>
      <c r="N1" s="8" t="s">
        <v>1</v>
      </c>
      <c r="O1" s="8" t="s">
        <v>2</v>
      </c>
      <c r="P1" s="8" t="s">
        <v>3</v>
      </c>
      <c r="Q1" s="9" t="s">
        <v>4</v>
      </c>
      <c r="R1" s="9" t="s">
        <v>5</v>
      </c>
      <c r="S1" s="9" t="s">
        <v>6</v>
      </c>
      <c r="T1" s="9" t="s">
        <v>7</v>
      </c>
      <c r="U1" s="9" t="s">
        <v>8</v>
      </c>
      <c r="V1" s="9" t="s">
        <v>9</v>
      </c>
      <c r="W1" s="9" t="s">
        <v>10</v>
      </c>
      <c r="X1" s="9" t="s">
        <v>15</v>
      </c>
      <c r="Y1" s="9" t="s">
        <v>16</v>
      </c>
      <c r="Z1" s="9" t="s">
        <v>17</v>
      </c>
    </row>
    <row r="2" spans="1:26" ht="15.75" thickTop="1" x14ac:dyDescent="0.25">
      <c r="A2" s="27"/>
      <c r="B2" s="27"/>
      <c r="C2" s="27"/>
      <c r="D2" s="25"/>
      <c r="E2" s="20"/>
      <c r="F2" s="16"/>
      <c r="G2" s="16"/>
      <c r="H2" s="22"/>
      <c r="I2" s="16"/>
      <c r="J2" s="16"/>
      <c r="K2" s="16"/>
      <c r="L2" s="16"/>
      <c r="M2" s="16"/>
      <c r="N2" s="16"/>
      <c r="O2" s="16"/>
      <c r="P2" s="16"/>
      <c r="Q2" s="16"/>
      <c r="R2" s="16"/>
      <c r="S2" s="16"/>
      <c r="T2" s="16"/>
      <c r="U2" s="16"/>
      <c r="V2" s="16"/>
      <c r="W2" s="16"/>
      <c r="X2" s="16"/>
      <c r="Y2" s="16"/>
      <c r="Z2" s="16"/>
    </row>
    <row r="3" spans="1:26" x14ac:dyDescent="0.25">
      <c r="A3" s="27"/>
      <c r="B3" s="15"/>
      <c r="C3" s="15"/>
      <c r="D3" s="1"/>
      <c r="E3" s="20"/>
      <c r="F3" s="15"/>
      <c r="G3" s="15"/>
      <c r="H3" s="21"/>
      <c r="I3" s="15"/>
      <c r="J3" s="15"/>
      <c r="K3" s="15"/>
      <c r="L3" s="15"/>
      <c r="M3" s="15"/>
      <c r="N3" s="15"/>
      <c r="O3" s="15"/>
      <c r="P3" s="15"/>
      <c r="Q3" s="15"/>
      <c r="R3" s="15"/>
      <c r="S3" s="15"/>
      <c r="T3" s="15"/>
      <c r="U3" s="15"/>
      <c r="V3" s="15"/>
      <c r="W3" s="15"/>
      <c r="X3" s="15"/>
      <c r="Y3" s="15"/>
      <c r="Z3" s="15"/>
    </row>
    <row r="4" spans="1:26" x14ac:dyDescent="0.25">
      <c r="A4" s="27"/>
      <c r="B4" s="16"/>
      <c r="C4" s="15"/>
      <c r="D4" s="1"/>
      <c r="E4" s="20"/>
      <c r="F4" s="15"/>
      <c r="G4" s="15"/>
      <c r="H4" s="21"/>
      <c r="I4" s="15"/>
      <c r="J4" s="15"/>
      <c r="K4" s="15"/>
      <c r="L4" s="15"/>
      <c r="M4" s="15"/>
      <c r="N4" s="15"/>
      <c r="O4" s="15"/>
      <c r="P4" s="15"/>
      <c r="Q4" s="15"/>
      <c r="R4" s="15"/>
      <c r="S4" s="15"/>
      <c r="T4" s="15"/>
      <c r="U4" s="15"/>
      <c r="V4" s="15"/>
      <c r="W4" s="15"/>
      <c r="X4" s="15"/>
      <c r="Y4" s="15"/>
      <c r="Z4" s="15"/>
    </row>
    <row r="5" spans="1:26" s="1" customFormat="1" x14ac:dyDescent="0.25">
      <c r="A5" s="27"/>
      <c r="B5" s="15"/>
      <c r="C5" s="15"/>
      <c r="E5" s="20"/>
      <c r="F5"/>
      <c r="G5" s="15"/>
      <c r="H5" s="21"/>
      <c r="I5" s="15"/>
      <c r="J5" s="15"/>
      <c r="K5" s="15"/>
      <c r="L5" s="15"/>
      <c r="M5" s="15"/>
      <c r="N5" s="15"/>
      <c r="O5" s="15"/>
      <c r="P5" s="15"/>
      <c r="Q5" s="15"/>
      <c r="R5" s="15"/>
      <c r="S5" s="15"/>
      <c r="T5" s="15"/>
      <c r="U5" s="15"/>
      <c r="V5" s="15"/>
      <c r="W5" s="15"/>
      <c r="X5" s="15"/>
      <c r="Y5" s="15"/>
      <c r="Z5" s="15"/>
    </row>
    <row r="6" spans="1:26" x14ac:dyDescent="0.25">
      <c r="A6" s="27"/>
      <c r="B6" s="15"/>
      <c r="C6" s="15"/>
      <c r="D6" s="15"/>
      <c r="E6" s="20"/>
      <c r="G6" s="15"/>
      <c r="H6" s="21"/>
      <c r="I6" s="15"/>
      <c r="J6" s="15"/>
      <c r="K6" s="15"/>
      <c r="L6" s="15"/>
      <c r="M6" s="15"/>
      <c r="N6" s="15"/>
      <c r="O6" s="15"/>
      <c r="P6" s="15"/>
      <c r="Q6" s="15"/>
      <c r="R6" s="15"/>
      <c r="S6" s="15"/>
      <c r="T6" s="15"/>
      <c r="U6" s="15"/>
      <c r="V6" s="15"/>
      <c r="W6" s="15"/>
      <c r="X6" s="15"/>
      <c r="Y6" s="15"/>
      <c r="Z6" s="15"/>
    </row>
    <row r="7" spans="1:26" s="13" customFormat="1" x14ac:dyDescent="0.25">
      <c r="A7" s="27"/>
      <c r="B7" s="15"/>
      <c r="C7" s="15"/>
      <c r="D7" s="1"/>
      <c r="E7" s="20"/>
      <c r="F7"/>
      <c r="G7" s="15"/>
      <c r="H7" s="21"/>
      <c r="I7" s="15"/>
      <c r="J7" s="15"/>
      <c r="K7" s="15"/>
      <c r="L7" s="15"/>
      <c r="M7" s="15"/>
      <c r="N7" s="15"/>
      <c r="O7" s="15"/>
      <c r="P7" s="15"/>
      <c r="Q7" s="15"/>
      <c r="R7" s="15"/>
      <c r="S7" s="15"/>
      <c r="T7" s="15"/>
      <c r="U7" s="15"/>
      <c r="V7" s="15"/>
      <c r="W7" s="15"/>
      <c r="X7" s="15"/>
      <c r="Y7" s="15"/>
      <c r="Z7" s="15"/>
    </row>
    <row r="8" spans="1:26" s="5" customFormat="1" x14ac:dyDescent="0.25">
      <c r="A8" s="27"/>
      <c r="B8" s="16"/>
      <c r="C8" s="16"/>
      <c r="D8" s="25"/>
      <c r="E8" s="20"/>
      <c r="F8" s="16"/>
      <c r="G8" s="16"/>
      <c r="H8" s="22"/>
      <c r="I8" s="16"/>
      <c r="J8" s="16"/>
      <c r="K8" s="16"/>
      <c r="L8" s="16"/>
      <c r="M8" s="16"/>
      <c r="N8" s="16"/>
      <c r="O8" s="16"/>
      <c r="P8" s="16"/>
      <c r="Q8" s="16"/>
      <c r="R8" s="16"/>
      <c r="S8" s="16"/>
      <c r="T8" s="16"/>
      <c r="U8" s="16"/>
      <c r="V8" s="16"/>
      <c r="W8" s="16"/>
      <c r="X8" s="16"/>
      <c r="Y8" s="16"/>
      <c r="Z8" s="16"/>
    </row>
    <row r="9" spans="1:26" x14ac:dyDescent="0.25">
      <c r="A9" s="27"/>
      <c r="B9" s="15"/>
      <c r="C9" s="15"/>
      <c r="D9" s="15"/>
      <c r="E9" s="20"/>
      <c r="G9" s="15"/>
      <c r="H9" s="21"/>
      <c r="I9" s="15"/>
      <c r="J9" s="15"/>
      <c r="K9" s="15"/>
      <c r="L9" s="15"/>
      <c r="M9" s="15"/>
      <c r="N9" s="15"/>
      <c r="O9" s="15"/>
      <c r="P9" s="15"/>
      <c r="Q9" s="15"/>
      <c r="R9" s="15"/>
      <c r="S9" s="15"/>
      <c r="T9" s="15"/>
      <c r="U9" s="15"/>
      <c r="V9" s="15"/>
      <c r="W9" s="15"/>
      <c r="X9" s="15"/>
      <c r="Y9" s="15"/>
      <c r="Z9" s="15"/>
    </row>
    <row r="10" spans="1:26" s="18" customFormat="1" x14ac:dyDescent="0.25">
      <c r="A10" s="27"/>
      <c r="B10" s="16"/>
      <c r="C10" s="15"/>
      <c r="D10" s="1"/>
      <c r="E10" s="20"/>
      <c r="F10" s="15"/>
      <c r="G10" s="15"/>
      <c r="H10" s="21"/>
      <c r="I10" s="15"/>
      <c r="J10" s="15"/>
      <c r="K10" s="15"/>
      <c r="L10" s="15"/>
      <c r="M10" s="15"/>
      <c r="N10" s="15"/>
      <c r="O10" s="15"/>
      <c r="P10" s="15"/>
      <c r="Q10" s="15"/>
      <c r="R10" s="15"/>
      <c r="S10" s="15"/>
      <c r="T10" s="15"/>
      <c r="U10" s="15"/>
      <c r="V10" s="15"/>
      <c r="W10" s="15"/>
      <c r="X10" s="15"/>
      <c r="Y10" s="15"/>
      <c r="Z10" s="15"/>
    </row>
    <row r="11" spans="1:26" x14ac:dyDescent="0.25">
      <c r="A11" s="27"/>
      <c r="B11" s="15"/>
      <c r="C11" s="15"/>
      <c r="D11" s="1"/>
      <c r="E11" s="20"/>
      <c r="F11" s="15"/>
      <c r="G11" s="15"/>
      <c r="H11" s="21"/>
      <c r="I11" s="15"/>
      <c r="J11" s="15"/>
      <c r="K11" s="15"/>
      <c r="L11" s="15"/>
      <c r="M11" s="15"/>
      <c r="N11" s="15"/>
      <c r="O11" s="15"/>
      <c r="P11" s="15"/>
      <c r="Q11" s="15"/>
      <c r="R11" s="15"/>
      <c r="S11" s="15"/>
      <c r="T11" s="15"/>
      <c r="U11" s="15"/>
      <c r="V11" s="15"/>
      <c r="W11" s="15"/>
      <c r="X11" s="15"/>
      <c r="Y11" s="15"/>
      <c r="Z11" s="15"/>
    </row>
    <row r="12" spans="1:26" s="1" customFormat="1" x14ac:dyDescent="0.25">
      <c r="A12" s="27"/>
      <c r="B12" s="15"/>
      <c r="C12" s="15"/>
      <c r="D12" s="15"/>
      <c r="E12" s="20"/>
      <c r="F12"/>
      <c r="G12" s="15"/>
      <c r="H12" s="21"/>
      <c r="I12" s="15"/>
      <c r="J12" s="15"/>
      <c r="K12" s="15"/>
      <c r="L12" s="15"/>
      <c r="M12" s="15"/>
      <c r="N12" s="15"/>
      <c r="O12" s="15"/>
      <c r="P12" s="15"/>
      <c r="Q12" s="15"/>
      <c r="R12" s="15"/>
      <c r="S12" s="15"/>
      <c r="T12" s="15"/>
      <c r="U12" s="15"/>
      <c r="V12" s="15"/>
      <c r="W12" s="15"/>
      <c r="X12" s="15"/>
      <c r="Y12" s="15"/>
      <c r="Z12" s="15"/>
    </row>
    <row r="13" spans="1:26" x14ac:dyDescent="0.25">
      <c r="A13" s="27"/>
      <c r="B13" s="15"/>
      <c r="C13" s="15"/>
      <c r="D13" s="15"/>
      <c r="E13" s="20"/>
      <c r="G13" s="15"/>
      <c r="H13" s="21"/>
      <c r="I13" s="15"/>
      <c r="J13" s="15"/>
      <c r="K13" s="15"/>
      <c r="L13" s="15"/>
      <c r="M13" s="15"/>
      <c r="N13" s="15"/>
      <c r="O13" s="15"/>
      <c r="P13" s="15"/>
      <c r="Q13" s="15"/>
      <c r="R13" s="15"/>
      <c r="S13" s="15"/>
      <c r="T13" s="15"/>
      <c r="U13" s="15"/>
      <c r="V13" s="15"/>
      <c r="W13" s="15"/>
      <c r="X13" s="15"/>
      <c r="Y13" s="15"/>
      <c r="Z13" s="15"/>
    </row>
    <row r="14" spans="1:26" x14ac:dyDescent="0.25">
      <c r="A14" s="27"/>
      <c r="B14" s="15"/>
      <c r="C14" s="15"/>
      <c r="D14" s="15"/>
      <c r="E14" s="20"/>
      <c r="G14" s="15"/>
      <c r="H14" s="21"/>
      <c r="I14" s="15"/>
      <c r="J14" s="15"/>
      <c r="K14" s="15"/>
      <c r="L14" s="15"/>
      <c r="M14" s="15"/>
      <c r="N14" s="15"/>
      <c r="O14" s="15"/>
      <c r="P14" s="15"/>
      <c r="Q14" s="15"/>
      <c r="R14" s="15"/>
      <c r="S14" s="15"/>
      <c r="T14" s="15"/>
      <c r="U14" s="15"/>
      <c r="V14" s="15"/>
      <c r="W14" s="15"/>
      <c r="X14" s="15"/>
      <c r="Y14" s="15"/>
      <c r="Z14" s="15"/>
    </row>
    <row r="15" spans="1:26" x14ac:dyDescent="0.25">
      <c r="A15" s="27"/>
      <c r="B15" s="15"/>
      <c r="C15" s="15"/>
      <c r="D15" s="15"/>
      <c r="E15" s="20"/>
      <c r="G15" s="15"/>
      <c r="H15" s="21"/>
      <c r="I15" s="15"/>
      <c r="J15" s="15"/>
      <c r="K15" s="15"/>
      <c r="L15" s="15"/>
      <c r="M15" s="15"/>
      <c r="N15" s="15"/>
      <c r="O15" s="15"/>
      <c r="P15" s="15"/>
      <c r="Q15" s="15"/>
      <c r="R15" s="15"/>
      <c r="S15" s="15"/>
      <c r="T15" s="15"/>
      <c r="U15" s="15"/>
      <c r="V15" s="15"/>
      <c r="W15" s="15"/>
      <c r="X15" s="15"/>
      <c r="Y15" s="15"/>
      <c r="Z15" s="15"/>
    </row>
    <row r="16" spans="1:26" s="19" customFormat="1" x14ac:dyDescent="0.25">
      <c r="A16" s="27"/>
      <c r="B16" s="16"/>
      <c r="C16" s="15"/>
      <c r="D16" s="1"/>
      <c r="E16" s="20"/>
      <c r="F16" s="15"/>
      <c r="G16" s="15"/>
      <c r="H16" s="21"/>
      <c r="I16" s="15"/>
      <c r="J16" s="15"/>
      <c r="K16" s="15"/>
      <c r="L16" s="15"/>
      <c r="M16" s="15"/>
      <c r="N16" s="15"/>
      <c r="O16" s="15"/>
      <c r="P16" s="15"/>
      <c r="Q16" s="15"/>
      <c r="R16" s="15"/>
      <c r="S16" s="15"/>
      <c r="T16" s="15"/>
      <c r="U16" s="15"/>
      <c r="V16" s="15"/>
      <c r="W16" s="15"/>
      <c r="X16" s="15"/>
      <c r="Y16" s="15"/>
      <c r="Z16" s="15"/>
    </row>
    <row r="17" spans="1:26" x14ac:dyDescent="0.25">
      <c r="A17" s="27"/>
      <c r="B17" s="16"/>
      <c r="C17" s="16"/>
      <c r="D17" s="25"/>
      <c r="E17" s="20"/>
      <c r="F17" s="16"/>
      <c r="G17" s="16"/>
      <c r="H17" s="22"/>
      <c r="I17" s="16"/>
      <c r="J17" s="16"/>
      <c r="K17" s="16"/>
      <c r="L17" s="16"/>
      <c r="M17" s="16"/>
      <c r="N17" s="16"/>
      <c r="O17" s="16"/>
      <c r="P17" s="16"/>
      <c r="Q17" s="16"/>
      <c r="R17" s="16"/>
      <c r="S17" s="16"/>
      <c r="T17" s="16"/>
      <c r="U17" s="16"/>
      <c r="V17" s="16"/>
      <c r="W17" s="16"/>
      <c r="X17" s="16"/>
      <c r="Y17" s="16"/>
      <c r="Z17" s="16"/>
    </row>
    <row r="18" spans="1:26" s="4" customFormat="1" x14ac:dyDescent="0.25">
      <c r="A18" s="27"/>
      <c r="B18" s="15"/>
      <c r="C18" s="15"/>
      <c r="D18" s="15"/>
      <c r="E18" s="20"/>
      <c r="F18"/>
      <c r="G18" s="15"/>
      <c r="H18" s="21"/>
      <c r="I18" s="15"/>
      <c r="J18" s="15"/>
      <c r="K18" s="15"/>
      <c r="L18" s="15"/>
      <c r="M18" s="15"/>
      <c r="N18" s="15"/>
      <c r="O18" s="15"/>
      <c r="P18" s="15"/>
      <c r="Q18" s="15"/>
      <c r="R18" s="15"/>
      <c r="S18" s="15"/>
      <c r="T18" s="15"/>
      <c r="U18" s="15"/>
      <c r="V18" s="15"/>
      <c r="W18" s="15"/>
      <c r="X18" s="15"/>
      <c r="Y18" s="15"/>
      <c r="Z18" s="15"/>
    </row>
    <row r="19" spans="1:26" s="4" customFormat="1" x14ac:dyDescent="0.25">
      <c r="A19" s="27"/>
      <c r="B19" s="16"/>
      <c r="C19" s="15"/>
      <c r="D19" s="1"/>
      <c r="E19" s="20"/>
      <c r="F19" s="15"/>
      <c r="G19" s="15"/>
      <c r="H19" s="21"/>
      <c r="I19" s="15"/>
      <c r="J19" s="15"/>
      <c r="K19" s="15"/>
      <c r="L19" s="15"/>
      <c r="M19" s="15"/>
      <c r="N19" s="15"/>
      <c r="O19" s="15"/>
      <c r="P19" s="15"/>
      <c r="Q19" s="15"/>
      <c r="R19" s="15"/>
      <c r="S19" s="15"/>
      <c r="T19" s="15"/>
      <c r="U19" s="15"/>
      <c r="V19" s="15"/>
      <c r="W19" s="15"/>
      <c r="X19" s="15"/>
      <c r="Y19" s="15"/>
      <c r="Z19" s="15"/>
    </row>
    <row r="20" spans="1:26" s="4" customFormat="1" x14ac:dyDescent="0.25">
      <c r="A20" s="27"/>
      <c r="B20" s="15"/>
      <c r="C20" s="15"/>
      <c r="D20" s="15"/>
      <c r="E20" s="20"/>
      <c r="F20"/>
      <c r="G20" s="15"/>
      <c r="H20" s="21"/>
      <c r="I20" s="15"/>
      <c r="J20" s="15"/>
      <c r="K20" s="15"/>
      <c r="L20" s="15"/>
      <c r="M20" s="15"/>
      <c r="N20" s="15"/>
      <c r="O20" s="15"/>
      <c r="P20" s="15"/>
      <c r="Q20" s="15"/>
      <c r="R20" s="15"/>
      <c r="S20" s="15"/>
      <c r="T20" s="15"/>
      <c r="U20" s="15"/>
      <c r="V20" s="15"/>
      <c r="W20" s="15"/>
      <c r="X20" s="15"/>
      <c r="Y20" s="15"/>
      <c r="Z20" s="15"/>
    </row>
    <row r="21" spans="1:26" s="24" customFormat="1" x14ac:dyDescent="0.25">
      <c r="A21" s="27"/>
      <c r="B21" s="15"/>
      <c r="C21" s="15"/>
      <c r="D21" s="15"/>
      <c r="E21" s="20"/>
      <c r="F21" s="15"/>
      <c r="G21" s="15"/>
      <c r="H21" s="21"/>
      <c r="I21" s="15"/>
      <c r="J21" s="15"/>
      <c r="K21" s="15"/>
      <c r="L21" s="15"/>
      <c r="M21" s="15"/>
      <c r="N21" s="15"/>
      <c r="O21" s="15"/>
      <c r="P21" s="15"/>
      <c r="Q21" s="15"/>
      <c r="R21" s="15"/>
      <c r="S21" s="15"/>
      <c r="T21" s="15"/>
      <c r="U21" s="15"/>
      <c r="V21" s="15"/>
      <c r="W21" s="15"/>
      <c r="X21" s="15"/>
      <c r="Y21" s="15"/>
      <c r="Z21" s="15"/>
    </row>
    <row r="22" spans="1:26" s="23" customFormat="1" x14ac:dyDescent="0.25">
      <c r="A22" s="27"/>
      <c r="B22" s="16"/>
      <c r="C22" s="15"/>
      <c r="D22" s="1"/>
      <c r="E22" s="20"/>
      <c r="F22" s="15"/>
      <c r="G22" s="15"/>
      <c r="H22" s="21"/>
      <c r="I22" s="15"/>
      <c r="J22" s="15"/>
      <c r="K22" s="15"/>
      <c r="L22" s="15"/>
      <c r="M22" s="15"/>
      <c r="N22" s="15"/>
      <c r="O22" s="15"/>
      <c r="P22" s="15"/>
      <c r="Q22" s="15"/>
      <c r="R22" s="15"/>
      <c r="S22" s="15"/>
      <c r="T22" s="15"/>
      <c r="U22" s="15"/>
      <c r="V22" s="15"/>
      <c r="W22" s="15"/>
      <c r="X22" s="15"/>
      <c r="Y22" s="15"/>
      <c r="Z22" s="15"/>
    </row>
    <row r="23" spans="1:26" x14ac:dyDescent="0.25">
      <c r="A23" s="27"/>
      <c r="B23" s="15"/>
      <c r="C23" s="15"/>
      <c r="D23" s="1"/>
      <c r="E23" s="20"/>
      <c r="G23" s="15"/>
      <c r="H23" s="21"/>
      <c r="I23" s="15"/>
      <c r="J23" s="15"/>
      <c r="K23" s="15"/>
      <c r="L23" s="15"/>
      <c r="M23" s="15"/>
      <c r="N23" s="15"/>
      <c r="O23" s="15"/>
      <c r="P23" s="15"/>
      <c r="Q23" s="15"/>
      <c r="R23" s="15"/>
      <c r="S23" s="15"/>
      <c r="T23" s="15"/>
      <c r="U23" s="15"/>
      <c r="V23" s="15"/>
      <c r="W23" s="15"/>
      <c r="X23" s="15"/>
      <c r="Y23" s="15"/>
      <c r="Z23" s="15"/>
    </row>
    <row r="24" spans="1:26" s="14" customFormat="1" ht="15.75" customHeight="1" x14ac:dyDescent="0.25">
      <c r="A24" s="27"/>
      <c r="B24" s="15"/>
      <c r="C24" s="15"/>
      <c r="D24" s="15"/>
      <c r="E24" s="20"/>
      <c r="F24"/>
      <c r="G24" s="15"/>
      <c r="H24" s="21"/>
      <c r="I24" s="15"/>
      <c r="J24" s="15"/>
      <c r="K24" s="15"/>
      <c r="L24" s="15"/>
      <c r="M24" s="15"/>
      <c r="N24" s="15"/>
      <c r="O24" s="15"/>
      <c r="P24" s="15"/>
      <c r="Q24" s="15"/>
      <c r="R24" s="15"/>
      <c r="S24" s="15"/>
      <c r="T24" s="15"/>
      <c r="U24" s="15"/>
      <c r="V24" s="15"/>
      <c r="W24" s="15"/>
      <c r="X24" s="15"/>
      <c r="Y24" s="15"/>
      <c r="Z24" s="15"/>
    </row>
    <row r="25" spans="1:26" x14ac:dyDescent="0.25">
      <c r="A25" s="27"/>
      <c r="B25" s="15"/>
      <c r="C25" s="15"/>
      <c r="D25" s="1"/>
      <c r="E25" s="20"/>
      <c r="G25" s="15"/>
      <c r="H25" s="21"/>
      <c r="I25" s="15"/>
      <c r="J25" s="15"/>
      <c r="K25" s="15"/>
      <c r="L25" s="15"/>
      <c r="M25" s="15"/>
      <c r="N25" s="15"/>
      <c r="O25" s="15"/>
      <c r="P25" s="15"/>
      <c r="Q25" s="15"/>
      <c r="R25" s="15"/>
      <c r="S25" s="15"/>
      <c r="T25" s="15"/>
      <c r="U25" s="15"/>
      <c r="V25" s="15"/>
      <c r="W25" s="15"/>
      <c r="X25" s="15"/>
      <c r="Y25" s="15"/>
      <c r="Z25" s="15"/>
    </row>
    <row r="26" spans="1:26" x14ac:dyDescent="0.25">
      <c r="A26" s="27"/>
      <c r="B26" s="15"/>
      <c r="C26" s="15"/>
      <c r="D26" s="15"/>
      <c r="E26" s="20"/>
      <c r="G26" s="15"/>
      <c r="H26" s="21"/>
      <c r="I26" s="15"/>
      <c r="J26" s="15"/>
      <c r="K26" s="15"/>
      <c r="L26" s="15"/>
      <c r="M26" s="15"/>
      <c r="N26" s="15"/>
      <c r="O26" s="15"/>
      <c r="P26" s="15"/>
      <c r="Q26" s="15"/>
      <c r="R26" s="15"/>
      <c r="S26" s="15"/>
      <c r="T26" s="15"/>
      <c r="U26" s="15"/>
      <c r="V26" s="15"/>
      <c r="W26" s="15"/>
      <c r="X26" s="15"/>
      <c r="Y26" s="15"/>
      <c r="Z26" s="15"/>
    </row>
    <row r="27" spans="1:26" x14ac:dyDescent="0.25">
      <c r="A27" s="27"/>
      <c r="B27" s="15"/>
      <c r="C27" s="15"/>
      <c r="D27" s="1"/>
      <c r="E27" s="20"/>
      <c r="F27" s="29"/>
      <c r="G27" s="15"/>
      <c r="H27" s="21"/>
      <c r="I27" s="15"/>
      <c r="J27" s="15"/>
      <c r="K27" s="15"/>
      <c r="L27" s="15"/>
      <c r="M27" s="15"/>
      <c r="N27" s="15"/>
      <c r="O27" s="15"/>
      <c r="P27" s="15"/>
      <c r="Q27" s="15"/>
      <c r="R27" s="15"/>
      <c r="S27" s="15"/>
      <c r="T27" s="15"/>
      <c r="U27" s="15"/>
      <c r="V27" s="15"/>
      <c r="W27" s="15"/>
      <c r="X27" s="15"/>
      <c r="Y27" s="15"/>
      <c r="Z27" s="15"/>
    </row>
    <row r="28" spans="1:26" x14ac:dyDescent="0.25">
      <c r="A28" s="27"/>
      <c r="B28" s="15"/>
      <c r="C28" s="15"/>
      <c r="D28" s="1"/>
      <c r="E28" s="20"/>
      <c r="F28" s="15"/>
      <c r="G28" s="15"/>
      <c r="H28" s="21"/>
      <c r="I28" s="15"/>
      <c r="J28" s="15"/>
      <c r="K28" s="15"/>
      <c r="L28" s="15"/>
      <c r="M28" s="15"/>
      <c r="N28" s="15"/>
      <c r="O28" s="15"/>
      <c r="P28" s="15"/>
      <c r="Q28" s="15"/>
      <c r="R28" s="15"/>
      <c r="S28" s="15"/>
      <c r="T28" s="15"/>
      <c r="U28" s="15"/>
      <c r="V28" s="15"/>
      <c r="W28" s="15"/>
      <c r="X28" s="15"/>
      <c r="Y28" s="15"/>
      <c r="Z28" s="15"/>
    </row>
    <row r="29" spans="1:26" ht="15.75" thickBot="1" x14ac:dyDescent="0.3">
      <c r="A29" s="27"/>
      <c r="B29" s="16"/>
      <c r="C29" s="15"/>
      <c r="D29" s="1"/>
      <c r="E29" s="20"/>
      <c r="F29" s="15"/>
      <c r="G29" s="15"/>
      <c r="H29" s="21"/>
      <c r="I29" s="15"/>
      <c r="J29" s="15"/>
      <c r="K29" s="15"/>
      <c r="L29" s="15"/>
      <c r="M29" s="15"/>
      <c r="N29" s="15"/>
      <c r="O29" s="15"/>
      <c r="P29" s="15"/>
      <c r="Q29" s="15"/>
      <c r="R29" s="15"/>
      <c r="S29" s="15"/>
      <c r="T29" s="15"/>
      <c r="U29" s="15"/>
      <c r="V29" s="15"/>
      <c r="W29" s="15"/>
      <c r="X29" s="15"/>
      <c r="Y29" s="15"/>
      <c r="Z29" s="15"/>
    </row>
    <row r="30" spans="1:26" s="7" customFormat="1" x14ac:dyDescent="0.25">
      <c r="A30" s="27"/>
      <c r="B30" s="16"/>
      <c r="C30" s="15"/>
      <c r="D30" s="1"/>
      <c r="E30" s="20"/>
      <c r="F30" s="15"/>
      <c r="G30" s="15"/>
      <c r="H30" s="21"/>
      <c r="I30" s="15"/>
      <c r="J30" s="15"/>
      <c r="K30" s="15"/>
      <c r="L30" s="15"/>
      <c r="M30" s="15"/>
      <c r="N30" s="15"/>
      <c r="O30" s="15"/>
      <c r="P30" s="15"/>
      <c r="Q30" s="15"/>
      <c r="R30" s="15"/>
      <c r="S30" s="15"/>
      <c r="T30" s="15"/>
      <c r="U30" s="15"/>
      <c r="V30" s="15"/>
      <c r="W30" s="15"/>
      <c r="X30" s="15"/>
      <c r="Y30" s="15"/>
      <c r="Z30" s="15"/>
    </row>
    <row r="31" spans="1:26" x14ac:dyDescent="0.25">
      <c r="A31" s="27"/>
      <c r="B31" s="16"/>
      <c r="C31" s="15"/>
      <c r="D31" s="1"/>
      <c r="E31" s="20"/>
      <c r="F31" s="15"/>
      <c r="G31" s="15"/>
      <c r="H31" s="21"/>
      <c r="I31" s="15"/>
      <c r="J31" s="15"/>
      <c r="K31" s="15"/>
      <c r="L31" s="15"/>
      <c r="M31" s="15"/>
      <c r="N31" s="15"/>
      <c r="O31" s="15"/>
      <c r="P31" s="15"/>
      <c r="Q31" s="15"/>
      <c r="R31" s="15"/>
      <c r="S31" s="15"/>
      <c r="T31" s="15"/>
      <c r="U31" s="15"/>
      <c r="V31" s="15"/>
      <c r="W31" s="15"/>
      <c r="X31" s="15"/>
      <c r="Y31" s="15"/>
      <c r="Z31" s="15"/>
    </row>
    <row r="32" spans="1:26" x14ac:dyDescent="0.25">
      <c r="A32" s="27"/>
      <c r="B32" s="16"/>
      <c r="C32" s="15"/>
      <c r="D32" s="1"/>
      <c r="E32" s="20"/>
      <c r="F32" s="15"/>
      <c r="G32" s="15"/>
      <c r="H32" s="21"/>
      <c r="I32" s="15"/>
      <c r="J32" s="15"/>
      <c r="K32" s="15"/>
      <c r="L32" s="15"/>
      <c r="M32" s="15"/>
      <c r="N32" s="15"/>
      <c r="O32" s="15"/>
      <c r="P32" s="15"/>
      <c r="Q32" s="15"/>
      <c r="R32" s="15"/>
      <c r="S32" s="15"/>
      <c r="T32" s="15"/>
      <c r="U32" s="15"/>
      <c r="V32" s="15"/>
      <c r="W32" s="15"/>
      <c r="X32" s="15"/>
      <c r="Y32" s="15"/>
      <c r="Z32" s="15"/>
    </row>
    <row r="33" spans="1:26" x14ac:dyDescent="0.25">
      <c r="A33" s="27"/>
      <c r="B33" s="15"/>
      <c r="C33" s="15"/>
      <c r="D33" s="15"/>
      <c r="E33" s="20"/>
      <c r="F33" s="15"/>
      <c r="G33" s="15"/>
      <c r="H33" s="21"/>
      <c r="I33" s="15"/>
      <c r="J33" s="15"/>
      <c r="K33" s="15"/>
      <c r="L33" s="15"/>
      <c r="M33" s="15"/>
      <c r="N33" s="15"/>
      <c r="O33" s="15"/>
      <c r="P33" s="15"/>
      <c r="Q33" s="15"/>
      <c r="R33" s="15"/>
      <c r="S33" s="15"/>
      <c r="T33" s="15"/>
      <c r="U33" s="15"/>
      <c r="V33" s="15"/>
      <c r="W33" s="15"/>
      <c r="X33" s="15"/>
      <c r="Y33" s="15"/>
      <c r="Z33" s="15"/>
    </row>
    <row r="34" spans="1:26" x14ac:dyDescent="0.25">
      <c r="A34" s="27"/>
      <c r="B34" s="15"/>
      <c r="C34" s="15"/>
      <c r="D34" s="15"/>
      <c r="E34" s="20"/>
      <c r="F34" s="15"/>
      <c r="G34" s="15"/>
      <c r="H34" s="21"/>
      <c r="I34" s="15"/>
      <c r="J34" s="15"/>
      <c r="K34" s="15"/>
      <c r="L34" s="15"/>
      <c r="M34" s="15"/>
      <c r="N34" s="15"/>
      <c r="O34" s="15"/>
      <c r="P34" s="15"/>
      <c r="Q34" s="15"/>
      <c r="R34" s="15"/>
      <c r="S34" s="15"/>
      <c r="T34" s="15"/>
      <c r="U34" s="15"/>
      <c r="V34" s="15"/>
      <c r="W34" s="15"/>
      <c r="X34" s="15"/>
      <c r="Y34" s="15"/>
      <c r="Z34" s="15"/>
    </row>
    <row r="35" spans="1:26" x14ac:dyDescent="0.25">
      <c r="A35" s="27"/>
      <c r="B35" s="15"/>
      <c r="C35" s="15"/>
      <c r="D35" s="15"/>
      <c r="E35" s="20"/>
      <c r="F35" s="15"/>
      <c r="G35" s="15"/>
      <c r="H35" s="21"/>
      <c r="I35" s="15"/>
      <c r="J35" s="15"/>
      <c r="K35" s="15"/>
      <c r="L35" s="15"/>
      <c r="M35" s="15"/>
      <c r="N35" s="15"/>
      <c r="O35" s="15"/>
      <c r="P35" s="15"/>
      <c r="Q35" s="15"/>
      <c r="R35" s="15"/>
      <c r="S35" s="15"/>
      <c r="T35" s="15"/>
      <c r="U35" s="15"/>
      <c r="V35" s="15"/>
      <c r="W35" s="15"/>
      <c r="X35" s="15"/>
      <c r="Y35" s="15"/>
      <c r="Z35" s="15"/>
    </row>
    <row r="36" spans="1:26" x14ac:dyDescent="0.25">
      <c r="A36" s="27"/>
      <c r="B36" s="15"/>
      <c r="C36" s="15"/>
      <c r="D36" s="15"/>
      <c r="E36" s="20"/>
      <c r="F36" s="15"/>
      <c r="G36" s="15"/>
      <c r="H36" s="21"/>
      <c r="I36" s="15"/>
      <c r="J36" s="15"/>
      <c r="K36" s="15"/>
      <c r="L36" s="15"/>
      <c r="M36" s="15"/>
      <c r="N36" s="15"/>
      <c r="O36" s="15"/>
      <c r="P36" s="15"/>
      <c r="Q36" s="15"/>
      <c r="R36" s="15"/>
      <c r="S36" s="15"/>
      <c r="T36" s="15"/>
      <c r="U36" s="15"/>
      <c r="V36" s="15"/>
      <c r="W36" s="15"/>
      <c r="X36" s="15"/>
      <c r="Y36" s="15"/>
      <c r="Z36" s="15"/>
    </row>
    <row r="37" spans="1:26" x14ac:dyDescent="0.25">
      <c r="A37" s="27"/>
      <c r="B37" s="15"/>
      <c r="C37" s="15"/>
      <c r="D37" s="15"/>
      <c r="E37" s="20"/>
      <c r="F37" s="15"/>
      <c r="G37" s="15"/>
      <c r="H37" s="21"/>
      <c r="I37" s="15"/>
      <c r="J37" s="15"/>
      <c r="K37" s="15"/>
      <c r="L37" s="15"/>
      <c r="M37" s="15"/>
      <c r="N37" s="15"/>
      <c r="O37" s="15"/>
      <c r="P37" s="15"/>
      <c r="Q37" s="15"/>
      <c r="R37" s="15"/>
      <c r="S37" s="15"/>
      <c r="T37" s="15"/>
      <c r="U37" s="15"/>
      <c r="V37" s="15"/>
      <c r="W37" s="15"/>
      <c r="X37" s="15"/>
      <c r="Y37" s="15"/>
      <c r="Z37" s="15"/>
    </row>
    <row r="38" spans="1:26" x14ac:dyDescent="0.25">
      <c r="B38" s="15"/>
      <c r="C38" s="15"/>
      <c r="D38" s="15"/>
      <c r="E38" s="20"/>
      <c r="F38" s="15"/>
      <c r="G38" s="15"/>
      <c r="H38" s="21"/>
      <c r="I38" s="15"/>
      <c r="J38" s="15"/>
      <c r="K38" s="15"/>
      <c r="L38" s="15"/>
      <c r="M38" s="15"/>
      <c r="N38" s="15"/>
      <c r="O38" s="15"/>
      <c r="P38" s="15"/>
      <c r="Q38" s="15"/>
      <c r="R38" s="15"/>
      <c r="S38" s="15"/>
      <c r="T38" s="15"/>
      <c r="U38" s="15"/>
      <c r="V38" s="15"/>
      <c r="W38" s="15"/>
      <c r="X38" s="15"/>
      <c r="Y38" s="15"/>
      <c r="Z38" s="15"/>
    </row>
    <row r="39" spans="1:26" x14ac:dyDescent="0.25">
      <c r="B39" s="15" t="e">
        <f t="shared" ref="B39:B65" si="0" xml:space="preserve"> MID(A39,SEARCH(":",A39)+2,SEARCH(":",A39,SEARCH(":",A39)+1)-SEARCH(":",A39)-3)</f>
        <v>#VALUE!</v>
      </c>
      <c r="C39" s="15" t="e">
        <f t="shared" ref="C39:C65" si="1">"partner:"&amp;MID(A39,SEARCH(":",A39)+1,SEARCH(":",A39,SEARCH(":",A39)+1)-SEARCH(":",A39)-1)</f>
        <v>#VALUE!</v>
      </c>
      <c r="D39" s="15"/>
      <c r="E39" s="20">
        <f ca="1">IF(ISERROR(#REF!),TODAY(),#REF!)</f>
        <v>44557</v>
      </c>
      <c r="F39" s="15"/>
      <c r="G39" s="15"/>
      <c r="H39" s="21"/>
      <c r="I39" s="15"/>
      <c r="J39" s="15"/>
      <c r="K39" s="15"/>
      <c r="L39" s="15"/>
      <c r="M39" s="15"/>
      <c r="N39" s="15"/>
      <c r="O39" s="15"/>
      <c r="P39" s="15"/>
      <c r="Q39" s="15"/>
      <c r="R39" s="15"/>
      <c r="S39" s="15"/>
      <c r="T39" s="15"/>
      <c r="U39" s="15"/>
      <c r="V39" s="15"/>
      <c r="W39" s="15"/>
      <c r="X39" s="15"/>
      <c r="Y39" s="15"/>
      <c r="Z39" s="15"/>
    </row>
    <row r="40" spans="1:26" x14ac:dyDescent="0.25">
      <c r="B40" s="15" t="e">
        <f t="shared" si="0"/>
        <v>#VALUE!</v>
      </c>
      <c r="C40" s="15" t="e">
        <f t="shared" si="1"/>
        <v>#VALUE!</v>
      </c>
      <c r="D40" s="15"/>
      <c r="E40" s="20">
        <f ca="1">IF(ISERROR(#REF!),TODAY(),#REF!)</f>
        <v>44557</v>
      </c>
      <c r="F40" s="15"/>
      <c r="G40" s="15"/>
      <c r="H40" s="21"/>
      <c r="I40" s="15"/>
      <c r="J40" s="15"/>
      <c r="K40" s="15"/>
      <c r="L40" s="15"/>
      <c r="M40" s="15"/>
      <c r="N40" s="15"/>
      <c r="O40" s="15"/>
      <c r="P40" s="15"/>
      <c r="Q40" s="15"/>
      <c r="R40" s="15"/>
      <c r="S40" s="15"/>
      <c r="T40" s="15"/>
      <c r="U40" s="15"/>
      <c r="V40" s="15"/>
      <c r="W40" s="15"/>
      <c r="X40" s="15"/>
      <c r="Y40" s="15"/>
      <c r="Z40" s="15"/>
    </row>
    <row r="41" spans="1:26" x14ac:dyDescent="0.25">
      <c r="B41" s="15" t="e">
        <f t="shared" si="0"/>
        <v>#VALUE!</v>
      </c>
      <c r="C41" s="15" t="e">
        <f t="shared" si="1"/>
        <v>#VALUE!</v>
      </c>
      <c r="D41" s="15"/>
      <c r="E41" s="20">
        <f ca="1">IF(ISERROR(#REF!),TODAY(),#REF!)</f>
        <v>44557</v>
      </c>
      <c r="F41" s="15"/>
      <c r="G41" s="15"/>
      <c r="H41" s="21"/>
      <c r="I41" s="15"/>
      <c r="J41" s="15"/>
      <c r="K41" s="15"/>
      <c r="L41" s="15"/>
      <c r="M41" s="15"/>
      <c r="N41" s="15"/>
      <c r="O41" s="15"/>
      <c r="P41" s="15"/>
      <c r="Q41" s="15"/>
      <c r="R41" s="15"/>
      <c r="S41" s="15"/>
      <c r="T41" s="15"/>
      <c r="U41" s="15"/>
      <c r="V41" s="15"/>
      <c r="W41" s="15"/>
      <c r="X41" s="15"/>
      <c r="Y41" s="15"/>
      <c r="Z41" s="15"/>
    </row>
    <row r="42" spans="1:26" x14ac:dyDescent="0.25">
      <c r="B42" s="15" t="e">
        <f t="shared" si="0"/>
        <v>#VALUE!</v>
      </c>
      <c r="C42" s="15" t="e">
        <f t="shared" si="1"/>
        <v>#VALUE!</v>
      </c>
      <c r="D42" s="15"/>
      <c r="E42" s="20">
        <f ca="1">IF(ISERROR(#REF!),TODAY(),#REF!)</f>
        <v>44557</v>
      </c>
      <c r="F42" s="15"/>
      <c r="G42" s="15"/>
      <c r="H42" s="21"/>
      <c r="I42" s="15"/>
      <c r="J42" s="15"/>
      <c r="K42" s="15"/>
      <c r="L42" s="15"/>
      <c r="M42" s="15"/>
      <c r="N42" s="15"/>
      <c r="O42" s="15"/>
      <c r="P42" s="15"/>
      <c r="Q42" s="15"/>
      <c r="R42" s="15"/>
      <c r="S42" s="15"/>
      <c r="T42" s="15"/>
      <c r="U42" s="15"/>
      <c r="V42" s="15"/>
      <c r="W42" s="15"/>
      <c r="X42" s="15"/>
      <c r="Y42" s="15"/>
      <c r="Z42" s="15"/>
    </row>
    <row r="43" spans="1:26" x14ac:dyDescent="0.25">
      <c r="B43" s="15" t="e">
        <f t="shared" si="0"/>
        <v>#VALUE!</v>
      </c>
      <c r="C43" s="15" t="e">
        <f t="shared" si="1"/>
        <v>#VALUE!</v>
      </c>
      <c r="D43" s="15"/>
      <c r="E43" s="20">
        <f ca="1">IF(ISERROR(#REF!),TODAY(),#REF!)</f>
        <v>44557</v>
      </c>
      <c r="F43" s="15"/>
      <c r="G43" s="15"/>
      <c r="H43" s="21"/>
      <c r="I43" s="15"/>
      <c r="J43" s="15"/>
      <c r="K43" s="15"/>
      <c r="L43" s="15"/>
      <c r="M43" s="15"/>
      <c r="N43" s="15"/>
      <c r="O43" s="15"/>
      <c r="P43" s="15"/>
      <c r="Q43" s="15"/>
      <c r="R43" s="15"/>
      <c r="S43" s="15"/>
      <c r="T43" s="15"/>
      <c r="U43" s="15"/>
      <c r="V43" s="15"/>
      <c r="W43" s="15"/>
      <c r="X43" s="15"/>
      <c r="Y43" s="15"/>
      <c r="Z43" s="15"/>
    </row>
    <row r="44" spans="1:26" x14ac:dyDescent="0.25">
      <c r="B44" s="15" t="e">
        <f t="shared" si="0"/>
        <v>#VALUE!</v>
      </c>
      <c r="C44" s="15" t="e">
        <f t="shared" si="1"/>
        <v>#VALUE!</v>
      </c>
      <c r="D44" s="15"/>
      <c r="E44" s="20">
        <f ca="1">IF(ISERROR(#REF!),TODAY(),#REF!)</f>
        <v>44557</v>
      </c>
      <c r="F44" s="15"/>
      <c r="G44" s="15"/>
      <c r="H44" s="21"/>
      <c r="I44" s="15"/>
      <c r="J44" s="15"/>
      <c r="K44" s="15"/>
      <c r="L44" s="15"/>
      <c r="M44" s="15"/>
      <c r="N44" s="15"/>
      <c r="O44" s="15"/>
      <c r="P44" s="15"/>
      <c r="Q44" s="15"/>
      <c r="R44" s="15"/>
      <c r="S44" s="15"/>
      <c r="T44" s="15"/>
      <c r="U44" s="15"/>
      <c r="V44" s="15"/>
      <c r="W44" s="15"/>
      <c r="X44" s="15"/>
      <c r="Y44" s="15"/>
      <c r="Z44" s="15"/>
    </row>
    <row r="45" spans="1:26" x14ac:dyDescent="0.25">
      <c r="B45" s="15" t="e">
        <f t="shared" si="0"/>
        <v>#VALUE!</v>
      </c>
      <c r="C45" s="15" t="e">
        <f t="shared" si="1"/>
        <v>#VALUE!</v>
      </c>
      <c r="D45" s="15"/>
      <c r="E45" s="20">
        <f ca="1">IF(ISERROR(#REF!),TODAY(),#REF!)</f>
        <v>44557</v>
      </c>
      <c r="F45" s="15"/>
      <c r="G45" s="15"/>
      <c r="H45" s="21"/>
      <c r="I45" s="15"/>
      <c r="J45" s="15"/>
      <c r="K45" s="15"/>
      <c r="L45" s="15"/>
      <c r="M45" s="15"/>
      <c r="N45" s="15"/>
      <c r="O45" s="15"/>
      <c r="P45" s="15"/>
      <c r="Q45" s="15"/>
      <c r="R45" s="15"/>
      <c r="S45" s="15"/>
      <c r="T45" s="15"/>
      <c r="U45" s="15"/>
      <c r="V45" s="15"/>
      <c r="W45" s="15"/>
      <c r="X45" s="15"/>
      <c r="Y45" s="15"/>
      <c r="Z45" s="15"/>
    </row>
    <row r="46" spans="1:26" x14ac:dyDescent="0.25">
      <c r="B46" s="15" t="e">
        <f t="shared" si="0"/>
        <v>#VALUE!</v>
      </c>
      <c r="C46" s="15" t="e">
        <f t="shared" si="1"/>
        <v>#VALUE!</v>
      </c>
      <c r="D46" s="15"/>
      <c r="E46" s="20">
        <f ca="1">IF(ISERROR(#REF!),TODAY(),#REF!)</f>
        <v>44557</v>
      </c>
      <c r="F46" s="15"/>
      <c r="G46" s="15"/>
      <c r="H46" s="21"/>
      <c r="I46" s="15"/>
      <c r="J46" s="15"/>
      <c r="K46" s="15"/>
      <c r="L46" s="15"/>
      <c r="M46" s="15"/>
      <c r="N46" s="15"/>
      <c r="O46" s="15"/>
      <c r="P46" s="15"/>
      <c r="Q46" s="15"/>
      <c r="R46" s="15"/>
      <c r="S46" s="15"/>
      <c r="T46" s="15"/>
      <c r="U46" s="15"/>
      <c r="V46" s="15"/>
      <c r="W46" s="15"/>
      <c r="X46" s="15"/>
      <c r="Y46" s="15"/>
      <c r="Z46" s="15"/>
    </row>
    <row r="47" spans="1:26" x14ac:dyDescent="0.25">
      <c r="B47" s="15" t="e">
        <f t="shared" si="0"/>
        <v>#VALUE!</v>
      </c>
      <c r="C47" s="15" t="e">
        <f t="shared" si="1"/>
        <v>#VALUE!</v>
      </c>
      <c r="D47" s="15"/>
      <c r="E47" s="20">
        <f ca="1">IF(ISERROR(#REF!),TODAY(),#REF!)</f>
        <v>44557</v>
      </c>
      <c r="F47" s="15"/>
      <c r="G47" s="15"/>
      <c r="H47" s="21"/>
      <c r="I47" s="15"/>
      <c r="J47" s="15"/>
      <c r="K47" s="15"/>
      <c r="L47" s="15"/>
      <c r="M47" s="15"/>
      <c r="N47" s="15"/>
      <c r="O47" s="15"/>
      <c r="P47" s="15"/>
      <c r="Q47" s="15"/>
      <c r="R47" s="15"/>
      <c r="S47" s="15"/>
      <c r="T47" s="15"/>
      <c r="U47" s="15"/>
      <c r="V47" s="15"/>
      <c r="W47" s="15"/>
      <c r="X47" s="15"/>
      <c r="Y47" s="15"/>
      <c r="Z47" s="15"/>
    </row>
    <row r="48" spans="1:26" x14ac:dyDescent="0.25">
      <c r="B48" s="15" t="e">
        <f t="shared" si="0"/>
        <v>#VALUE!</v>
      </c>
      <c r="C48" s="15" t="e">
        <f t="shared" si="1"/>
        <v>#VALUE!</v>
      </c>
      <c r="D48" s="15"/>
      <c r="E48" s="20">
        <f ca="1">IF(ISERROR(#REF!),TODAY(),#REF!)</f>
        <v>44557</v>
      </c>
      <c r="F48" s="15"/>
      <c r="G48" s="15"/>
      <c r="H48" s="21"/>
      <c r="I48" s="15"/>
      <c r="J48" s="15"/>
      <c r="K48" s="15"/>
      <c r="L48" s="15"/>
      <c r="M48" s="15"/>
      <c r="N48" s="15"/>
      <c r="O48" s="15"/>
      <c r="P48" s="15"/>
      <c r="Q48" s="15"/>
      <c r="R48" s="15"/>
      <c r="S48" s="15"/>
      <c r="T48" s="15"/>
      <c r="U48" s="15"/>
      <c r="V48" s="15"/>
      <c r="W48" s="15"/>
      <c r="X48" s="15"/>
      <c r="Y48" s="15"/>
      <c r="Z48" s="15"/>
    </row>
    <row r="49" spans="2:26" x14ac:dyDescent="0.25">
      <c r="B49" s="15" t="e">
        <f t="shared" si="0"/>
        <v>#VALUE!</v>
      </c>
      <c r="C49" s="15" t="e">
        <f t="shared" si="1"/>
        <v>#VALUE!</v>
      </c>
      <c r="D49" s="15"/>
      <c r="E49" s="20">
        <f ca="1">IF(ISERROR(#REF!),TODAY(),#REF!)</f>
        <v>44557</v>
      </c>
      <c r="F49" s="15"/>
      <c r="G49" s="15"/>
      <c r="H49" s="21"/>
      <c r="I49" s="15"/>
      <c r="J49" s="15"/>
      <c r="K49" s="15"/>
      <c r="L49" s="15"/>
      <c r="M49" s="15"/>
      <c r="N49" s="15"/>
      <c r="O49" s="15"/>
      <c r="P49" s="15"/>
      <c r="Q49" s="15"/>
      <c r="R49" s="15"/>
      <c r="S49" s="15"/>
      <c r="T49" s="15"/>
      <c r="U49" s="15"/>
      <c r="V49" s="15"/>
      <c r="W49" s="15"/>
      <c r="X49" s="15"/>
      <c r="Y49" s="15"/>
      <c r="Z49" s="15"/>
    </row>
    <row r="50" spans="2:26" x14ac:dyDescent="0.25">
      <c r="B50" s="15" t="e">
        <f t="shared" si="0"/>
        <v>#VALUE!</v>
      </c>
      <c r="C50" s="15" t="e">
        <f t="shared" si="1"/>
        <v>#VALUE!</v>
      </c>
      <c r="D50" s="15"/>
      <c r="E50" s="20">
        <f ca="1">IF(ISERROR(#REF!),TODAY(),#REF!)</f>
        <v>44557</v>
      </c>
      <c r="F50" s="15"/>
      <c r="G50" s="15"/>
      <c r="H50" s="21"/>
      <c r="I50" s="15"/>
      <c r="J50" s="15"/>
      <c r="K50" s="15"/>
      <c r="L50" s="15"/>
      <c r="M50" s="15"/>
      <c r="N50" s="15"/>
      <c r="O50" s="15"/>
      <c r="P50" s="15"/>
      <c r="Q50" s="15"/>
      <c r="R50" s="15"/>
      <c r="S50" s="15"/>
      <c r="T50" s="15"/>
      <c r="U50" s="15"/>
      <c r="V50" s="15"/>
      <c r="W50" s="15"/>
      <c r="X50" s="15"/>
      <c r="Y50" s="15"/>
      <c r="Z50" s="15"/>
    </row>
    <row r="51" spans="2:26" x14ac:dyDescent="0.25">
      <c r="B51" s="15" t="e">
        <f t="shared" si="0"/>
        <v>#VALUE!</v>
      </c>
      <c r="C51" s="15" t="e">
        <f t="shared" si="1"/>
        <v>#VALUE!</v>
      </c>
      <c r="D51" s="15"/>
      <c r="E51" s="20">
        <f ca="1">IF(ISERROR(#REF!),TODAY(),#REF!)</f>
        <v>44557</v>
      </c>
      <c r="F51" s="15"/>
      <c r="G51" s="15"/>
      <c r="H51" s="21"/>
      <c r="I51" s="15"/>
      <c r="J51" s="15"/>
      <c r="K51" s="15"/>
      <c r="L51" s="15"/>
      <c r="M51" s="15"/>
      <c r="N51" s="15"/>
      <c r="O51" s="15"/>
      <c r="P51" s="15"/>
      <c r="Q51" s="15"/>
      <c r="R51" s="15"/>
      <c r="S51" s="15"/>
      <c r="T51" s="15"/>
      <c r="U51" s="15"/>
      <c r="V51" s="15"/>
      <c r="W51" s="15"/>
      <c r="X51" s="15"/>
      <c r="Y51" s="15"/>
      <c r="Z51" s="15"/>
    </row>
    <row r="52" spans="2:26" x14ac:dyDescent="0.25">
      <c r="B52" s="15" t="e">
        <f t="shared" si="0"/>
        <v>#VALUE!</v>
      </c>
      <c r="C52" s="15" t="e">
        <f t="shared" si="1"/>
        <v>#VALUE!</v>
      </c>
      <c r="D52" s="15"/>
      <c r="E52" s="20">
        <f ca="1">IF(ISERROR(#REF!),TODAY(),#REF!)</f>
        <v>44557</v>
      </c>
      <c r="F52" s="15"/>
      <c r="G52" s="15"/>
      <c r="H52" s="21"/>
      <c r="I52" s="15"/>
      <c r="J52" s="15"/>
      <c r="K52" s="15"/>
      <c r="L52" s="15"/>
      <c r="M52" s="15"/>
      <c r="N52" s="15"/>
      <c r="O52" s="15"/>
      <c r="P52" s="15"/>
      <c r="Q52" s="15"/>
      <c r="R52" s="15"/>
      <c r="S52" s="15"/>
      <c r="T52" s="15"/>
      <c r="U52" s="15"/>
      <c r="V52" s="15"/>
      <c r="W52" s="15"/>
      <c r="X52" s="15"/>
      <c r="Y52" s="15"/>
      <c r="Z52" s="15"/>
    </row>
    <row r="53" spans="2:26" x14ac:dyDescent="0.25">
      <c r="B53" s="15" t="e">
        <f t="shared" si="0"/>
        <v>#VALUE!</v>
      </c>
      <c r="C53" s="15" t="e">
        <f t="shared" si="1"/>
        <v>#VALUE!</v>
      </c>
      <c r="D53" s="15"/>
      <c r="E53" s="20">
        <f ca="1">IF(ISERROR(#REF!),TODAY(),#REF!)</f>
        <v>44557</v>
      </c>
      <c r="F53" s="15"/>
      <c r="G53" s="15"/>
      <c r="H53" s="21"/>
      <c r="I53" s="15"/>
      <c r="J53" s="15"/>
      <c r="K53" s="15"/>
      <c r="L53" s="15"/>
      <c r="M53" s="15"/>
      <c r="N53" s="15"/>
      <c r="O53" s="15"/>
      <c r="P53" s="15"/>
      <c r="Q53" s="15"/>
      <c r="R53" s="15"/>
      <c r="S53" s="15"/>
      <c r="T53" s="15"/>
      <c r="U53" s="15"/>
      <c r="V53" s="15"/>
      <c r="W53" s="15"/>
      <c r="X53" s="15"/>
      <c r="Y53" s="15"/>
      <c r="Z53" s="15"/>
    </row>
    <row r="54" spans="2:26" x14ac:dyDescent="0.25">
      <c r="B54" s="15" t="e">
        <f t="shared" si="0"/>
        <v>#VALUE!</v>
      </c>
      <c r="C54" s="15" t="e">
        <f t="shared" si="1"/>
        <v>#VALUE!</v>
      </c>
      <c r="D54" s="15"/>
      <c r="E54" s="20">
        <f ca="1">IF(ISERROR(#REF!),TODAY(),#REF!)</f>
        <v>44557</v>
      </c>
      <c r="F54" s="15"/>
      <c r="G54" s="15"/>
      <c r="H54" s="21"/>
      <c r="I54" s="15"/>
      <c r="J54" s="15"/>
      <c r="K54" s="15"/>
      <c r="L54" s="15"/>
      <c r="M54" s="15"/>
      <c r="N54" s="15"/>
      <c r="O54" s="15"/>
      <c r="P54" s="15"/>
      <c r="Q54" s="15"/>
      <c r="R54" s="15"/>
      <c r="S54" s="15"/>
      <c r="T54" s="15"/>
      <c r="U54" s="15"/>
      <c r="V54" s="15"/>
      <c r="W54" s="15"/>
      <c r="X54" s="15"/>
      <c r="Y54" s="15"/>
      <c r="Z54" s="15"/>
    </row>
    <row r="55" spans="2:26" x14ac:dyDescent="0.25">
      <c r="B55" s="15" t="e">
        <f t="shared" si="0"/>
        <v>#VALUE!</v>
      </c>
      <c r="C55" s="15" t="e">
        <f t="shared" si="1"/>
        <v>#VALUE!</v>
      </c>
      <c r="D55" s="15"/>
      <c r="E55" s="20">
        <f ca="1">IF(ISERROR(#REF!),TODAY(),#REF!)</f>
        <v>44557</v>
      </c>
      <c r="F55" s="15"/>
      <c r="G55" s="15"/>
      <c r="H55" s="21"/>
      <c r="I55" s="15"/>
      <c r="J55" s="15"/>
      <c r="K55" s="15"/>
      <c r="L55" s="15"/>
      <c r="M55" s="15"/>
      <c r="N55" s="15"/>
      <c r="O55" s="15"/>
      <c r="P55" s="15"/>
      <c r="Q55" s="15"/>
      <c r="R55" s="15"/>
      <c r="S55" s="15"/>
      <c r="T55" s="15"/>
      <c r="U55" s="15"/>
      <c r="V55" s="15"/>
      <c r="W55" s="15"/>
      <c r="X55" s="15"/>
      <c r="Y55" s="15"/>
      <c r="Z55" s="15"/>
    </row>
    <row r="56" spans="2:26" x14ac:dyDescent="0.25">
      <c r="B56" s="15" t="e">
        <f t="shared" si="0"/>
        <v>#VALUE!</v>
      </c>
      <c r="C56" s="15" t="e">
        <f t="shared" si="1"/>
        <v>#VALUE!</v>
      </c>
      <c r="D56" s="15"/>
      <c r="E56" s="20">
        <f ca="1">IF(ISERROR(#REF!),TODAY(),#REF!)</f>
        <v>44557</v>
      </c>
      <c r="F56" s="15"/>
      <c r="G56" s="15"/>
      <c r="H56" s="21"/>
      <c r="I56" s="15"/>
      <c r="J56" s="15"/>
      <c r="K56" s="15"/>
      <c r="L56" s="15"/>
      <c r="M56" s="15"/>
      <c r="N56" s="15"/>
      <c r="O56" s="15"/>
      <c r="P56" s="15"/>
      <c r="Q56" s="15"/>
      <c r="R56" s="15"/>
      <c r="S56" s="15"/>
      <c r="T56" s="15"/>
      <c r="U56" s="15"/>
      <c r="V56" s="15"/>
      <c r="W56" s="15"/>
      <c r="X56" s="15"/>
      <c r="Y56" s="15"/>
      <c r="Z56" s="15"/>
    </row>
    <row r="57" spans="2:26" x14ac:dyDescent="0.25">
      <c r="B57" s="15" t="e">
        <f t="shared" si="0"/>
        <v>#VALUE!</v>
      </c>
      <c r="C57" s="15" t="e">
        <f t="shared" si="1"/>
        <v>#VALUE!</v>
      </c>
      <c r="D57" s="15"/>
      <c r="E57" s="20">
        <f ca="1">IF(ISERROR(#REF!),TODAY(),#REF!)</f>
        <v>44557</v>
      </c>
      <c r="F57" s="15"/>
      <c r="G57" s="15"/>
      <c r="H57" s="21"/>
      <c r="I57" s="15"/>
      <c r="J57" s="15"/>
      <c r="K57" s="15"/>
      <c r="L57" s="15"/>
      <c r="M57" s="15"/>
      <c r="N57" s="15"/>
      <c r="O57" s="15"/>
      <c r="P57" s="15"/>
      <c r="Q57" s="15"/>
      <c r="R57" s="15"/>
      <c r="S57" s="15"/>
      <c r="T57" s="15"/>
      <c r="U57" s="15"/>
      <c r="V57" s="15"/>
      <c r="W57" s="15"/>
      <c r="X57" s="15"/>
      <c r="Y57" s="15"/>
      <c r="Z57" s="15"/>
    </row>
    <row r="58" spans="2:26" x14ac:dyDescent="0.25">
      <c r="B58" s="15" t="e">
        <f t="shared" si="0"/>
        <v>#VALUE!</v>
      </c>
      <c r="C58" s="15" t="e">
        <f t="shared" si="1"/>
        <v>#VALUE!</v>
      </c>
      <c r="D58" s="15"/>
      <c r="E58" s="20">
        <f ca="1">IF(ISERROR(#REF!),TODAY(),#REF!)</f>
        <v>44557</v>
      </c>
      <c r="F58" s="15"/>
      <c r="G58" s="15"/>
      <c r="H58" s="21"/>
      <c r="I58" s="15"/>
      <c r="J58" s="15"/>
      <c r="K58" s="15"/>
      <c r="L58" s="15"/>
      <c r="M58" s="15"/>
      <c r="N58" s="15"/>
      <c r="O58" s="15"/>
      <c r="P58" s="15"/>
      <c r="Q58" s="15"/>
      <c r="R58" s="15"/>
      <c r="S58" s="15"/>
      <c r="T58" s="15"/>
      <c r="U58" s="15"/>
      <c r="V58" s="15"/>
      <c r="W58" s="15"/>
      <c r="X58" s="15"/>
      <c r="Y58" s="15"/>
      <c r="Z58" s="15"/>
    </row>
    <row r="59" spans="2:26" x14ac:dyDescent="0.25">
      <c r="B59" s="15" t="e">
        <f t="shared" si="0"/>
        <v>#VALUE!</v>
      </c>
      <c r="C59" s="15" t="e">
        <f t="shared" si="1"/>
        <v>#VALUE!</v>
      </c>
      <c r="D59" s="15"/>
      <c r="E59" s="20">
        <f ca="1">IF(ISERROR(#REF!),TODAY(),#REF!)</f>
        <v>44557</v>
      </c>
      <c r="F59" s="15"/>
      <c r="G59" s="15"/>
      <c r="H59" s="21"/>
      <c r="I59" s="15"/>
      <c r="J59" s="15"/>
      <c r="K59" s="15"/>
      <c r="L59" s="15"/>
      <c r="M59" s="15"/>
      <c r="N59" s="15"/>
      <c r="O59" s="15"/>
      <c r="P59" s="15"/>
      <c r="Q59" s="15"/>
      <c r="R59" s="15"/>
      <c r="S59" s="15"/>
      <c r="T59" s="15"/>
      <c r="U59" s="15"/>
      <c r="V59" s="15"/>
      <c r="W59" s="15"/>
      <c r="X59" s="15"/>
      <c r="Y59" s="15"/>
      <c r="Z59" s="15"/>
    </row>
    <row r="60" spans="2:26" x14ac:dyDescent="0.25">
      <c r="B60" s="15" t="e">
        <f t="shared" si="0"/>
        <v>#VALUE!</v>
      </c>
      <c r="C60" s="15" t="e">
        <f t="shared" si="1"/>
        <v>#VALUE!</v>
      </c>
      <c r="D60" s="15"/>
      <c r="E60" s="20">
        <f ca="1">IF(ISERROR(#REF!),TODAY(),#REF!)</f>
        <v>44557</v>
      </c>
      <c r="F60" s="15"/>
      <c r="G60" s="15"/>
      <c r="H60" s="21"/>
      <c r="I60" s="15"/>
      <c r="J60" s="15"/>
      <c r="K60" s="15"/>
      <c r="L60" s="15"/>
      <c r="M60" s="15"/>
      <c r="N60" s="15"/>
      <c r="O60" s="15"/>
      <c r="P60" s="15"/>
      <c r="Q60" s="15"/>
      <c r="R60" s="15"/>
      <c r="S60" s="15"/>
      <c r="T60" s="15"/>
      <c r="U60" s="15"/>
      <c r="V60" s="15"/>
      <c r="W60" s="15"/>
      <c r="X60" s="15"/>
      <c r="Y60" s="15"/>
      <c r="Z60" s="15"/>
    </row>
    <row r="61" spans="2:26" x14ac:dyDescent="0.25">
      <c r="B61" s="15" t="e">
        <f t="shared" si="0"/>
        <v>#VALUE!</v>
      </c>
      <c r="C61" s="15" t="e">
        <f t="shared" si="1"/>
        <v>#VALUE!</v>
      </c>
      <c r="D61" s="15"/>
      <c r="E61" s="20">
        <f ca="1">IF(ISERROR(#REF!),TODAY(),#REF!)</f>
        <v>44557</v>
      </c>
      <c r="F61" s="15"/>
      <c r="G61" s="15"/>
      <c r="H61" s="21"/>
      <c r="I61" s="15"/>
      <c r="J61" s="15"/>
      <c r="K61" s="15"/>
      <c r="L61" s="15"/>
      <c r="M61" s="15"/>
      <c r="N61" s="15"/>
      <c r="O61" s="15"/>
      <c r="P61" s="15"/>
      <c r="Q61" s="15"/>
      <c r="R61" s="15"/>
      <c r="S61" s="15"/>
      <c r="T61" s="15"/>
      <c r="U61" s="15"/>
      <c r="V61" s="15"/>
      <c r="W61" s="15"/>
      <c r="X61" s="15"/>
      <c r="Y61" s="15"/>
      <c r="Z61" s="15"/>
    </row>
    <row r="62" spans="2:26" x14ac:dyDescent="0.25">
      <c r="B62" s="15" t="e">
        <f t="shared" si="0"/>
        <v>#VALUE!</v>
      </c>
      <c r="C62" s="15" t="e">
        <f t="shared" si="1"/>
        <v>#VALUE!</v>
      </c>
      <c r="D62" s="15"/>
      <c r="E62" s="20">
        <f ca="1">IF(ISERROR(#REF!),TODAY(),#REF!)</f>
        <v>44557</v>
      </c>
      <c r="F62" s="15"/>
      <c r="G62" s="15"/>
      <c r="H62" s="21"/>
      <c r="I62" s="15"/>
      <c r="J62" s="15"/>
      <c r="K62" s="15"/>
      <c r="L62" s="15"/>
      <c r="M62" s="15"/>
      <c r="N62" s="15"/>
      <c r="O62" s="15"/>
      <c r="P62" s="15"/>
      <c r="Q62" s="15"/>
      <c r="R62" s="15"/>
      <c r="S62" s="15"/>
      <c r="T62" s="15"/>
      <c r="U62" s="15"/>
      <c r="V62" s="15"/>
      <c r="W62" s="15"/>
      <c r="X62" s="15"/>
      <c r="Y62" s="15"/>
      <c r="Z62" s="15"/>
    </row>
    <row r="63" spans="2:26" x14ac:dyDescent="0.25">
      <c r="B63" s="15" t="e">
        <f t="shared" si="0"/>
        <v>#VALUE!</v>
      </c>
      <c r="C63" s="15" t="e">
        <f t="shared" si="1"/>
        <v>#VALUE!</v>
      </c>
      <c r="D63" s="15"/>
      <c r="E63" s="20">
        <f ca="1">IF(ISERROR(#REF!),TODAY(),#REF!)</f>
        <v>44557</v>
      </c>
      <c r="F63" s="15"/>
      <c r="G63" s="15"/>
      <c r="H63" s="21"/>
      <c r="I63" s="15"/>
      <c r="J63" s="15"/>
      <c r="K63" s="15"/>
      <c r="L63" s="15"/>
      <c r="M63" s="15"/>
      <c r="N63" s="15"/>
      <c r="O63" s="15"/>
      <c r="P63" s="15"/>
      <c r="Q63" s="15"/>
      <c r="R63" s="15"/>
      <c r="S63" s="15"/>
      <c r="T63" s="15"/>
      <c r="U63" s="15"/>
      <c r="V63" s="15"/>
      <c r="W63" s="15"/>
      <c r="X63" s="15"/>
      <c r="Y63" s="15"/>
      <c r="Z63" s="15"/>
    </row>
    <row r="64" spans="2:26" x14ac:dyDescent="0.25">
      <c r="B64" s="15" t="e">
        <f t="shared" si="0"/>
        <v>#VALUE!</v>
      </c>
      <c r="C64" s="15" t="e">
        <f t="shared" si="1"/>
        <v>#VALUE!</v>
      </c>
      <c r="D64" s="15"/>
      <c r="E64" s="20">
        <f ca="1">IF(ISERROR(#REF!),TODAY(),#REF!)</f>
        <v>44557</v>
      </c>
      <c r="F64" s="15"/>
      <c r="G64" s="15"/>
      <c r="H64" s="21"/>
      <c r="I64" s="15"/>
      <c r="J64" s="15"/>
      <c r="K64" s="15"/>
      <c r="L64" s="15"/>
      <c r="M64" s="15"/>
      <c r="N64" s="15"/>
      <c r="O64" s="15"/>
      <c r="P64" s="15"/>
      <c r="Q64" s="15"/>
      <c r="R64" s="15"/>
      <c r="S64" s="15"/>
      <c r="T64" s="15"/>
      <c r="U64" s="15"/>
      <c r="V64" s="15"/>
      <c r="W64" s="15"/>
      <c r="X64" s="15"/>
      <c r="Y64" s="15"/>
      <c r="Z64" s="15"/>
    </row>
    <row r="65" spans="2:26" x14ac:dyDescent="0.25">
      <c r="B65" s="15" t="e">
        <f t="shared" si="0"/>
        <v>#VALUE!</v>
      </c>
      <c r="C65" s="15" t="e">
        <f t="shared" si="1"/>
        <v>#VALUE!</v>
      </c>
      <c r="D65" s="15"/>
      <c r="E65" s="20">
        <f ca="1">IF(ISERROR(#REF!),TODAY(),#REF!)</f>
        <v>44557</v>
      </c>
      <c r="F65" s="15"/>
      <c r="G65" s="15"/>
      <c r="H65" s="21"/>
      <c r="I65" s="15"/>
      <c r="J65" s="15"/>
      <c r="K65" s="15"/>
      <c r="L65" s="15"/>
      <c r="M65" s="15"/>
      <c r="N65" s="15"/>
      <c r="O65" s="15"/>
      <c r="P65" s="15"/>
      <c r="Q65" s="15"/>
      <c r="R65" s="15"/>
      <c r="S65" s="15"/>
      <c r="T65" s="15"/>
      <c r="U65" s="15"/>
      <c r="V65" s="15"/>
      <c r="W65" s="15"/>
      <c r="X65" s="15"/>
      <c r="Y65" s="15"/>
      <c r="Z65" s="15"/>
    </row>
    <row r="66" spans="2:26" x14ac:dyDescent="0.25">
      <c r="B66" s="15" t="e">
        <f t="shared" ref="B66:B129" si="2" xml:space="preserve"> MID(A66,SEARCH(":",A66)+2,SEARCH(":",A66,SEARCH(":",A66)+1)-SEARCH(":",A66)-3)</f>
        <v>#VALUE!</v>
      </c>
      <c r="C66" s="15" t="e">
        <f t="shared" ref="C66:C97" si="3">"partner:"&amp;MID(A66,SEARCH(":",A66)+1,SEARCH(":",A66,SEARCH(":",A66)+1)-SEARCH(":",A66)-1)</f>
        <v>#VALUE!</v>
      </c>
      <c r="D66" s="15"/>
      <c r="E66" s="20">
        <f ca="1">IF(ISERROR(#REF!),TODAY(),#REF!)</f>
        <v>44557</v>
      </c>
      <c r="F66" s="15"/>
      <c r="G66" s="15"/>
      <c r="H66" s="21"/>
      <c r="I66" s="15"/>
      <c r="J66" s="15"/>
      <c r="K66" s="15"/>
      <c r="L66" s="15"/>
      <c r="M66" s="15"/>
      <c r="N66" s="15"/>
      <c r="O66" s="15"/>
      <c r="P66" s="15"/>
      <c r="Q66" s="15"/>
      <c r="R66" s="15"/>
      <c r="S66" s="15"/>
      <c r="T66" s="15"/>
      <c r="U66" s="15"/>
      <c r="V66" s="15"/>
      <c r="W66" s="15"/>
      <c r="X66" s="15"/>
      <c r="Y66" s="15"/>
      <c r="Z66" s="15"/>
    </row>
    <row r="67" spans="2:26" x14ac:dyDescent="0.25">
      <c r="B67" s="15" t="e">
        <f t="shared" si="2"/>
        <v>#VALUE!</v>
      </c>
      <c r="C67" s="15" t="e">
        <f t="shared" si="3"/>
        <v>#VALUE!</v>
      </c>
      <c r="D67" s="15"/>
      <c r="E67" s="20">
        <f ca="1">IF(ISERROR(#REF!),TODAY(),#REF!)</f>
        <v>44557</v>
      </c>
      <c r="F67" s="15"/>
      <c r="G67" s="15"/>
      <c r="H67" s="21"/>
      <c r="I67" s="15"/>
      <c r="J67" s="15"/>
      <c r="K67" s="15"/>
      <c r="L67" s="15"/>
      <c r="M67" s="15"/>
      <c r="N67" s="15"/>
      <c r="O67" s="15"/>
      <c r="P67" s="15"/>
      <c r="Q67" s="15"/>
      <c r="R67" s="15"/>
      <c r="S67" s="15"/>
      <c r="T67" s="15"/>
      <c r="U67" s="15"/>
      <c r="V67" s="15"/>
      <c r="W67" s="15"/>
      <c r="X67" s="15"/>
      <c r="Y67" s="15"/>
      <c r="Z67" s="15"/>
    </row>
    <row r="68" spans="2:26" x14ac:dyDescent="0.25">
      <c r="B68" s="15" t="e">
        <f t="shared" si="2"/>
        <v>#VALUE!</v>
      </c>
      <c r="C68" s="15" t="e">
        <f t="shared" si="3"/>
        <v>#VALUE!</v>
      </c>
      <c r="D68" s="15"/>
      <c r="E68" s="20">
        <f ca="1">IF(ISERROR(#REF!),TODAY(),#REF!)</f>
        <v>44557</v>
      </c>
      <c r="F68" s="15"/>
      <c r="G68" s="15"/>
      <c r="H68" s="21"/>
      <c r="I68" s="15"/>
      <c r="J68" s="15"/>
      <c r="K68" s="15"/>
      <c r="L68" s="15"/>
      <c r="M68" s="15"/>
      <c r="N68" s="15"/>
      <c r="O68" s="15"/>
      <c r="P68" s="15"/>
      <c r="Q68" s="15"/>
      <c r="R68" s="15"/>
      <c r="S68" s="15"/>
      <c r="T68" s="15"/>
      <c r="U68" s="15"/>
      <c r="V68" s="15"/>
      <c r="W68" s="15"/>
      <c r="X68" s="15"/>
      <c r="Y68" s="15"/>
      <c r="Z68" s="15"/>
    </row>
    <row r="69" spans="2:26" x14ac:dyDescent="0.25">
      <c r="B69" s="15" t="e">
        <f t="shared" si="2"/>
        <v>#VALUE!</v>
      </c>
      <c r="C69" s="15" t="e">
        <f t="shared" si="3"/>
        <v>#VALUE!</v>
      </c>
      <c r="D69" s="15"/>
      <c r="E69" s="20">
        <f ca="1">IF(ISERROR(#REF!),TODAY(),#REF!)</f>
        <v>44557</v>
      </c>
      <c r="F69" s="15"/>
      <c r="G69" s="15"/>
      <c r="H69" s="21"/>
      <c r="I69" s="15"/>
      <c r="J69" s="15"/>
      <c r="K69" s="15"/>
      <c r="L69" s="15"/>
      <c r="M69" s="15"/>
      <c r="N69" s="15"/>
      <c r="O69" s="15"/>
      <c r="P69" s="15"/>
      <c r="Q69" s="15"/>
      <c r="R69" s="15"/>
      <c r="S69" s="15"/>
      <c r="T69" s="15"/>
      <c r="U69" s="15"/>
      <c r="V69" s="15"/>
      <c r="W69" s="15"/>
      <c r="X69" s="15"/>
      <c r="Y69" s="15"/>
      <c r="Z69" s="15"/>
    </row>
    <row r="70" spans="2:26" x14ac:dyDescent="0.25">
      <c r="B70" s="15" t="e">
        <f t="shared" si="2"/>
        <v>#VALUE!</v>
      </c>
      <c r="C70" s="15" t="e">
        <f t="shared" si="3"/>
        <v>#VALUE!</v>
      </c>
      <c r="D70" s="15"/>
      <c r="E70" s="20">
        <f ca="1">IF(ISERROR(#REF!),TODAY(),#REF!)</f>
        <v>44557</v>
      </c>
      <c r="F70" s="15"/>
      <c r="G70" s="15"/>
      <c r="H70" s="21"/>
      <c r="I70" s="15"/>
      <c r="J70" s="15"/>
      <c r="K70" s="15"/>
      <c r="L70" s="15"/>
      <c r="M70" s="15"/>
      <c r="N70" s="15"/>
      <c r="O70" s="15"/>
      <c r="P70" s="15"/>
      <c r="Q70" s="15"/>
      <c r="R70" s="15"/>
      <c r="S70" s="15"/>
      <c r="T70" s="15"/>
      <c r="U70" s="15"/>
      <c r="V70" s="15"/>
      <c r="W70" s="15"/>
      <c r="X70" s="15"/>
      <c r="Y70" s="15"/>
      <c r="Z70" s="15"/>
    </row>
    <row r="71" spans="2:26" x14ac:dyDescent="0.25">
      <c r="B71" s="15" t="e">
        <f t="shared" si="2"/>
        <v>#VALUE!</v>
      </c>
      <c r="C71" s="15" t="e">
        <f t="shared" si="3"/>
        <v>#VALUE!</v>
      </c>
      <c r="D71" s="15"/>
      <c r="E71" s="20">
        <f ca="1">IF(ISERROR(#REF!),TODAY(),#REF!)</f>
        <v>44557</v>
      </c>
      <c r="F71" s="15"/>
      <c r="G71" s="15"/>
      <c r="H71" s="21"/>
      <c r="I71" s="15"/>
      <c r="J71" s="15"/>
      <c r="K71" s="15"/>
      <c r="L71" s="15"/>
      <c r="M71" s="15"/>
      <c r="N71" s="15"/>
      <c r="O71" s="15"/>
      <c r="P71" s="15"/>
      <c r="Q71" s="15"/>
      <c r="R71" s="15"/>
      <c r="S71" s="15"/>
      <c r="T71" s="15"/>
      <c r="U71" s="15"/>
      <c r="V71" s="15"/>
      <c r="W71" s="15"/>
      <c r="X71" s="15"/>
      <c r="Y71" s="15"/>
      <c r="Z71" s="15"/>
    </row>
    <row r="72" spans="2:26" x14ac:dyDescent="0.25">
      <c r="B72" s="15" t="e">
        <f t="shared" si="2"/>
        <v>#VALUE!</v>
      </c>
      <c r="C72" s="15" t="e">
        <f t="shared" si="3"/>
        <v>#VALUE!</v>
      </c>
      <c r="D72" s="15"/>
      <c r="E72" s="20">
        <f ca="1">IF(ISERROR(#REF!),TODAY(),#REF!)</f>
        <v>44557</v>
      </c>
      <c r="F72" s="15"/>
      <c r="G72" s="15"/>
      <c r="H72" s="21"/>
      <c r="I72" s="15"/>
      <c r="J72" s="15"/>
      <c r="K72" s="15"/>
      <c r="L72" s="15"/>
      <c r="M72" s="15"/>
      <c r="N72" s="15"/>
      <c r="O72" s="15"/>
      <c r="P72" s="15"/>
      <c r="Q72" s="15"/>
      <c r="R72" s="15"/>
      <c r="S72" s="15"/>
      <c r="T72" s="15"/>
      <c r="U72" s="15"/>
      <c r="V72" s="15"/>
      <c r="W72" s="15"/>
      <c r="X72" s="15"/>
      <c r="Y72" s="15"/>
      <c r="Z72" s="15"/>
    </row>
    <row r="73" spans="2:26" x14ac:dyDescent="0.25">
      <c r="B73" s="15" t="e">
        <f t="shared" si="2"/>
        <v>#VALUE!</v>
      </c>
      <c r="C73" s="15" t="e">
        <f t="shared" si="3"/>
        <v>#VALUE!</v>
      </c>
      <c r="D73" s="15"/>
      <c r="E73" s="20">
        <f ca="1">IF(ISERROR(#REF!),TODAY(),#REF!)</f>
        <v>44557</v>
      </c>
      <c r="F73" s="15"/>
      <c r="G73" s="15"/>
      <c r="H73" s="21"/>
      <c r="I73" s="15"/>
      <c r="J73" s="15"/>
      <c r="K73" s="15"/>
      <c r="L73" s="15"/>
      <c r="M73" s="15"/>
      <c r="N73" s="15"/>
      <c r="O73" s="15"/>
      <c r="P73" s="15"/>
      <c r="Q73" s="15"/>
      <c r="R73" s="15"/>
      <c r="S73" s="15"/>
      <c r="T73" s="15"/>
      <c r="U73" s="15"/>
      <c r="V73" s="15"/>
      <c r="W73" s="15"/>
      <c r="X73" s="15"/>
      <c r="Y73" s="15"/>
      <c r="Z73" s="15"/>
    </row>
    <row r="74" spans="2:26" x14ac:dyDescent="0.25">
      <c r="B74" s="15" t="e">
        <f t="shared" si="2"/>
        <v>#VALUE!</v>
      </c>
      <c r="C74" s="15" t="e">
        <f t="shared" si="3"/>
        <v>#VALUE!</v>
      </c>
      <c r="D74" s="15"/>
      <c r="E74" s="20">
        <f ca="1">IF(ISERROR(#REF!),TODAY(),#REF!)</f>
        <v>44557</v>
      </c>
      <c r="F74" s="15"/>
      <c r="G74" s="15"/>
      <c r="H74" s="21"/>
      <c r="I74" s="15"/>
      <c r="J74" s="15"/>
      <c r="K74" s="15"/>
      <c r="L74" s="15"/>
      <c r="M74" s="15"/>
      <c r="N74" s="15"/>
      <c r="O74" s="15"/>
      <c r="P74" s="15"/>
      <c r="Q74" s="15"/>
      <c r="R74" s="15"/>
      <c r="S74" s="15"/>
      <c r="T74" s="15"/>
      <c r="U74" s="15"/>
      <c r="V74" s="15"/>
      <c r="W74" s="15"/>
      <c r="X74" s="15"/>
      <c r="Y74" s="15"/>
      <c r="Z74" s="15"/>
    </row>
    <row r="75" spans="2:26" x14ac:dyDescent="0.25">
      <c r="B75" s="15" t="e">
        <f t="shared" si="2"/>
        <v>#VALUE!</v>
      </c>
      <c r="C75" s="15" t="e">
        <f t="shared" si="3"/>
        <v>#VALUE!</v>
      </c>
      <c r="D75" s="15"/>
      <c r="E75" s="20">
        <f ca="1">IF(ISERROR(#REF!),TODAY(),#REF!)</f>
        <v>44557</v>
      </c>
      <c r="F75" s="15"/>
      <c r="G75" s="15"/>
      <c r="H75" s="21"/>
      <c r="I75" s="15"/>
      <c r="J75" s="15"/>
      <c r="K75" s="15"/>
      <c r="L75" s="15"/>
      <c r="M75" s="15"/>
      <c r="N75" s="15"/>
      <c r="O75" s="15"/>
      <c r="P75" s="15"/>
      <c r="Q75" s="15"/>
      <c r="R75" s="15"/>
      <c r="S75" s="15"/>
      <c r="T75" s="15"/>
      <c r="U75" s="15"/>
      <c r="V75" s="15"/>
      <c r="W75" s="15"/>
      <c r="X75" s="15"/>
      <c r="Y75" s="15"/>
      <c r="Z75" s="15"/>
    </row>
    <row r="76" spans="2:26" x14ac:dyDescent="0.25">
      <c r="B76" s="15" t="e">
        <f t="shared" si="2"/>
        <v>#VALUE!</v>
      </c>
      <c r="C76" s="15" t="e">
        <f t="shared" si="3"/>
        <v>#VALUE!</v>
      </c>
      <c r="D76" s="15"/>
      <c r="E76" s="20">
        <f ca="1">IF(ISERROR(#REF!),TODAY(),#REF!)</f>
        <v>44557</v>
      </c>
      <c r="F76" s="15"/>
      <c r="G76" s="15"/>
      <c r="H76" s="21"/>
      <c r="I76" s="15"/>
      <c r="J76" s="15"/>
      <c r="K76" s="15"/>
      <c r="L76" s="15"/>
      <c r="M76" s="15"/>
      <c r="N76" s="15"/>
      <c r="O76" s="15"/>
      <c r="P76" s="15"/>
      <c r="Q76" s="15"/>
      <c r="R76" s="15"/>
      <c r="S76" s="15"/>
      <c r="T76" s="15"/>
      <c r="U76" s="15"/>
      <c r="V76" s="15"/>
      <c r="W76" s="15"/>
      <c r="X76" s="15"/>
      <c r="Y76" s="15"/>
      <c r="Z76" s="15"/>
    </row>
    <row r="77" spans="2:26" x14ac:dyDescent="0.25">
      <c r="B77" s="15" t="e">
        <f t="shared" si="2"/>
        <v>#VALUE!</v>
      </c>
      <c r="C77" s="15" t="e">
        <f t="shared" si="3"/>
        <v>#VALUE!</v>
      </c>
      <c r="D77" s="15"/>
      <c r="E77" s="20">
        <f ca="1">IF(ISERROR(#REF!),TODAY(),#REF!)</f>
        <v>44557</v>
      </c>
      <c r="F77" s="15"/>
      <c r="G77" s="15"/>
      <c r="H77" s="21"/>
      <c r="I77" s="15"/>
      <c r="J77" s="15"/>
      <c r="K77" s="15"/>
      <c r="L77" s="15"/>
      <c r="M77" s="15"/>
      <c r="N77" s="15"/>
      <c r="O77" s="15"/>
      <c r="P77" s="15"/>
      <c r="Q77" s="15"/>
      <c r="R77" s="15"/>
      <c r="S77" s="15"/>
      <c r="T77" s="15"/>
      <c r="U77" s="15"/>
      <c r="V77" s="15"/>
      <c r="W77" s="15"/>
      <c r="X77" s="15"/>
      <c r="Y77" s="15"/>
      <c r="Z77" s="15"/>
    </row>
    <row r="78" spans="2:26" x14ac:dyDescent="0.25">
      <c r="B78" s="15" t="e">
        <f t="shared" si="2"/>
        <v>#VALUE!</v>
      </c>
      <c r="C78" s="15" t="e">
        <f t="shared" si="3"/>
        <v>#VALUE!</v>
      </c>
      <c r="D78" s="15"/>
      <c r="E78" s="20">
        <f ca="1">IF(ISERROR(#REF!),TODAY(),#REF!)</f>
        <v>44557</v>
      </c>
      <c r="F78" s="15"/>
      <c r="G78" s="15"/>
      <c r="H78" s="21"/>
      <c r="I78" s="15"/>
      <c r="J78" s="15"/>
      <c r="K78" s="15"/>
      <c r="L78" s="15"/>
      <c r="M78" s="15"/>
      <c r="N78" s="15"/>
      <c r="O78" s="15"/>
      <c r="P78" s="15"/>
      <c r="Q78" s="15"/>
      <c r="R78" s="15"/>
      <c r="S78" s="15"/>
      <c r="T78" s="15"/>
      <c r="U78" s="15"/>
      <c r="V78" s="15"/>
      <c r="W78" s="15"/>
      <c r="X78" s="15"/>
      <c r="Y78" s="15"/>
      <c r="Z78" s="15"/>
    </row>
    <row r="79" spans="2:26" x14ac:dyDescent="0.25">
      <c r="B79" s="15" t="e">
        <f t="shared" si="2"/>
        <v>#VALUE!</v>
      </c>
      <c r="C79" s="15" t="e">
        <f t="shared" si="3"/>
        <v>#VALUE!</v>
      </c>
      <c r="D79" s="15"/>
      <c r="E79" s="20">
        <f ca="1">IF(ISERROR(#REF!),TODAY(),#REF!)</f>
        <v>44557</v>
      </c>
      <c r="F79" s="15"/>
      <c r="G79" s="15"/>
      <c r="H79" s="21"/>
      <c r="I79" s="15"/>
      <c r="J79" s="15"/>
      <c r="K79" s="15"/>
      <c r="L79" s="15"/>
      <c r="M79" s="15"/>
      <c r="N79" s="15"/>
      <c r="O79" s="15"/>
      <c r="P79" s="15"/>
      <c r="Q79" s="15"/>
      <c r="R79" s="15"/>
      <c r="S79" s="15"/>
      <c r="T79" s="15"/>
      <c r="U79" s="15"/>
      <c r="V79" s="15"/>
      <c r="W79" s="15"/>
      <c r="X79" s="15"/>
      <c r="Y79" s="15"/>
      <c r="Z79" s="15"/>
    </row>
    <row r="80" spans="2:26" x14ac:dyDescent="0.25">
      <c r="B80" s="15" t="e">
        <f t="shared" si="2"/>
        <v>#VALUE!</v>
      </c>
      <c r="C80" s="15" t="e">
        <f t="shared" si="3"/>
        <v>#VALUE!</v>
      </c>
      <c r="D80" s="15"/>
      <c r="E80" s="20">
        <f ca="1">IF(ISERROR(#REF!),TODAY(),#REF!)</f>
        <v>44557</v>
      </c>
      <c r="F80" s="15"/>
      <c r="G80" s="15"/>
      <c r="H80" s="21"/>
      <c r="I80" s="15"/>
      <c r="J80" s="15"/>
      <c r="K80" s="15"/>
      <c r="L80" s="15"/>
      <c r="M80" s="15"/>
      <c r="N80" s="15"/>
      <c r="O80" s="15"/>
      <c r="P80" s="15"/>
      <c r="Q80" s="15"/>
      <c r="R80" s="15"/>
      <c r="S80" s="15"/>
      <c r="T80" s="15"/>
      <c r="U80" s="15"/>
      <c r="V80" s="15"/>
      <c r="W80" s="15"/>
      <c r="X80" s="15"/>
      <c r="Y80" s="15"/>
      <c r="Z80" s="15"/>
    </row>
    <row r="81" spans="2:26" x14ac:dyDescent="0.25">
      <c r="B81" s="15" t="e">
        <f t="shared" si="2"/>
        <v>#VALUE!</v>
      </c>
      <c r="C81" s="15" t="e">
        <f t="shared" si="3"/>
        <v>#VALUE!</v>
      </c>
      <c r="D81" s="15"/>
      <c r="E81" s="20">
        <f ca="1">IF(ISERROR(#REF!),TODAY(),#REF!)</f>
        <v>44557</v>
      </c>
      <c r="F81" s="15"/>
      <c r="G81" s="15"/>
      <c r="H81" s="21"/>
      <c r="I81" s="15"/>
      <c r="J81" s="15"/>
      <c r="K81" s="15"/>
      <c r="L81" s="15"/>
      <c r="M81" s="15"/>
      <c r="N81" s="15"/>
      <c r="O81" s="15"/>
      <c r="P81" s="15"/>
      <c r="Q81" s="15"/>
      <c r="R81" s="15"/>
      <c r="S81" s="15"/>
      <c r="T81" s="15"/>
      <c r="U81" s="15"/>
      <c r="V81" s="15"/>
      <c r="W81" s="15"/>
      <c r="X81" s="15"/>
      <c r="Y81" s="15"/>
      <c r="Z81" s="15"/>
    </row>
    <row r="82" spans="2:26" x14ac:dyDescent="0.25">
      <c r="B82" s="15" t="e">
        <f t="shared" si="2"/>
        <v>#VALUE!</v>
      </c>
      <c r="C82" s="15" t="e">
        <f t="shared" si="3"/>
        <v>#VALUE!</v>
      </c>
      <c r="D82" s="15"/>
      <c r="E82" s="20">
        <f ca="1">IF(ISERROR(#REF!),TODAY(),#REF!)</f>
        <v>44557</v>
      </c>
      <c r="F82" s="15"/>
      <c r="G82" s="15"/>
      <c r="H82" s="21"/>
      <c r="I82" s="15"/>
      <c r="J82" s="15"/>
      <c r="K82" s="15"/>
      <c r="L82" s="15"/>
      <c r="M82" s="15"/>
      <c r="N82" s="15"/>
      <c r="O82" s="15"/>
      <c r="P82" s="15"/>
      <c r="Q82" s="15"/>
      <c r="R82" s="15"/>
      <c r="S82" s="15"/>
      <c r="T82" s="15"/>
      <c r="U82" s="15"/>
      <c r="V82" s="15"/>
      <c r="W82" s="15"/>
      <c r="X82" s="15"/>
      <c r="Y82" s="15"/>
      <c r="Z82" s="15"/>
    </row>
    <row r="83" spans="2:26" x14ac:dyDescent="0.25">
      <c r="B83" s="15" t="e">
        <f t="shared" si="2"/>
        <v>#VALUE!</v>
      </c>
      <c r="C83" s="15" t="e">
        <f t="shared" si="3"/>
        <v>#VALUE!</v>
      </c>
      <c r="D83" s="15"/>
      <c r="E83" s="20">
        <f ca="1">IF(ISERROR(#REF!),TODAY(),#REF!)</f>
        <v>44557</v>
      </c>
      <c r="F83" s="15"/>
      <c r="G83" s="15"/>
      <c r="H83" s="21"/>
      <c r="I83" s="15"/>
      <c r="J83" s="15"/>
      <c r="K83" s="15"/>
      <c r="L83" s="15"/>
      <c r="M83" s="15"/>
      <c r="N83" s="15"/>
      <c r="O83" s="15"/>
      <c r="P83" s="15"/>
      <c r="Q83" s="15"/>
      <c r="R83" s="15"/>
      <c r="S83" s="15"/>
      <c r="T83" s="15"/>
      <c r="U83" s="15"/>
      <c r="V83" s="15"/>
      <c r="W83" s="15"/>
      <c r="X83" s="15"/>
      <c r="Y83" s="15"/>
      <c r="Z83" s="15"/>
    </row>
    <row r="84" spans="2:26" x14ac:dyDescent="0.25">
      <c r="B84" s="15" t="e">
        <f t="shared" si="2"/>
        <v>#VALUE!</v>
      </c>
      <c r="C84" s="15" t="e">
        <f t="shared" si="3"/>
        <v>#VALUE!</v>
      </c>
      <c r="D84" s="15"/>
      <c r="E84" s="20">
        <f ca="1">IF(ISERROR(#REF!),TODAY(),#REF!)</f>
        <v>44557</v>
      </c>
      <c r="F84" s="15"/>
      <c r="G84" s="15"/>
      <c r="H84" s="21"/>
      <c r="I84" s="15"/>
      <c r="J84" s="15"/>
      <c r="K84" s="15"/>
      <c r="L84" s="15"/>
      <c r="M84" s="15"/>
      <c r="N84" s="15"/>
      <c r="O84" s="15"/>
      <c r="P84" s="15"/>
      <c r="Q84" s="15"/>
      <c r="R84" s="15"/>
      <c r="S84" s="15"/>
      <c r="T84" s="15"/>
      <c r="U84" s="15"/>
      <c r="V84" s="15"/>
      <c r="W84" s="15"/>
      <c r="X84" s="15"/>
      <c r="Y84" s="15"/>
      <c r="Z84" s="15"/>
    </row>
    <row r="85" spans="2:26" x14ac:dyDescent="0.25">
      <c r="B85" s="15" t="e">
        <f t="shared" si="2"/>
        <v>#VALUE!</v>
      </c>
      <c r="C85" s="15" t="e">
        <f t="shared" si="3"/>
        <v>#VALUE!</v>
      </c>
      <c r="D85" s="15"/>
      <c r="E85" s="20">
        <f ca="1">IF(ISERROR(#REF!),TODAY(),#REF!)</f>
        <v>44557</v>
      </c>
      <c r="F85" s="15"/>
      <c r="G85" s="15"/>
      <c r="H85" s="21"/>
      <c r="I85" s="15"/>
      <c r="J85" s="15"/>
      <c r="K85" s="15"/>
      <c r="L85" s="15"/>
      <c r="M85" s="15"/>
      <c r="N85" s="15"/>
      <c r="O85" s="15"/>
      <c r="P85" s="15"/>
      <c r="Q85" s="15"/>
      <c r="R85" s="15"/>
      <c r="S85" s="15"/>
      <c r="T85" s="15"/>
      <c r="U85" s="15"/>
      <c r="V85" s="15"/>
      <c r="W85" s="15"/>
      <c r="X85" s="15"/>
      <c r="Y85" s="15"/>
      <c r="Z85" s="15"/>
    </row>
    <row r="86" spans="2:26" x14ac:dyDescent="0.25">
      <c r="B86" s="15" t="e">
        <f t="shared" si="2"/>
        <v>#VALUE!</v>
      </c>
      <c r="C86" s="15" t="e">
        <f t="shared" si="3"/>
        <v>#VALUE!</v>
      </c>
      <c r="D86" s="15"/>
      <c r="E86" s="20">
        <f ca="1">IF(ISERROR(#REF!),TODAY(),#REF!)</f>
        <v>44557</v>
      </c>
      <c r="F86" s="15"/>
      <c r="G86" s="15"/>
      <c r="H86" s="21"/>
      <c r="I86" s="15"/>
      <c r="J86" s="15"/>
      <c r="K86" s="15"/>
      <c r="L86" s="15"/>
      <c r="M86" s="15"/>
      <c r="N86" s="15"/>
      <c r="O86" s="15"/>
      <c r="P86" s="15"/>
      <c r="Q86" s="15"/>
      <c r="R86" s="15"/>
      <c r="S86" s="15"/>
      <c r="T86" s="15"/>
      <c r="U86" s="15"/>
      <c r="V86" s="15"/>
      <c r="W86" s="15"/>
      <c r="X86" s="15"/>
      <c r="Y86" s="15"/>
      <c r="Z86" s="15"/>
    </row>
    <row r="87" spans="2:26" x14ac:dyDescent="0.25">
      <c r="B87" s="15" t="e">
        <f t="shared" si="2"/>
        <v>#VALUE!</v>
      </c>
      <c r="C87" s="15" t="e">
        <f t="shared" si="3"/>
        <v>#VALUE!</v>
      </c>
      <c r="D87" s="15"/>
      <c r="E87" s="20">
        <f ca="1">IF(ISERROR(#REF!),TODAY(),#REF!)</f>
        <v>44557</v>
      </c>
      <c r="F87" s="15"/>
      <c r="G87" s="15"/>
      <c r="H87" s="21"/>
      <c r="I87" s="15"/>
      <c r="J87" s="15"/>
      <c r="K87" s="15"/>
      <c r="L87" s="15"/>
      <c r="M87" s="15"/>
      <c r="N87" s="15"/>
      <c r="O87" s="15"/>
      <c r="P87" s="15"/>
      <c r="Q87" s="15"/>
      <c r="R87" s="15"/>
      <c r="S87" s="15"/>
      <c r="T87" s="15"/>
      <c r="U87" s="15"/>
      <c r="V87" s="15"/>
      <c r="W87" s="15"/>
      <c r="X87" s="15"/>
      <c r="Y87" s="15"/>
      <c r="Z87" s="15"/>
    </row>
    <row r="88" spans="2:26" x14ac:dyDescent="0.25">
      <c r="B88" s="15" t="e">
        <f t="shared" si="2"/>
        <v>#VALUE!</v>
      </c>
      <c r="C88" s="15" t="e">
        <f t="shared" si="3"/>
        <v>#VALUE!</v>
      </c>
      <c r="D88" s="15"/>
      <c r="E88" s="20">
        <f ca="1">IF(ISERROR(#REF!),TODAY(),#REF!)</f>
        <v>44557</v>
      </c>
      <c r="F88" s="15"/>
      <c r="G88" s="15"/>
      <c r="H88" s="21"/>
      <c r="I88" s="15"/>
      <c r="J88" s="15"/>
      <c r="K88" s="15"/>
      <c r="L88" s="15"/>
      <c r="M88" s="15"/>
      <c r="N88" s="15"/>
      <c r="O88" s="15"/>
      <c r="P88" s="15"/>
      <c r="Q88" s="15"/>
      <c r="R88" s="15"/>
      <c r="S88" s="15"/>
      <c r="T88" s="15"/>
      <c r="U88" s="15"/>
      <c r="V88" s="15"/>
      <c r="W88" s="15"/>
      <c r="X88" s="15"/>
      <c r="Y88" s="15"/>
      <c r="Z88" s="15"/>
    </row>
    <row r="89" spans="2:26" x14ac:dyDescent="0.25">
      <c r="B89" s="15" t="e">
        <f t="shared" si="2"/>
        <v>#VALUE!</v>
      </c>
      <c r="C89" s="15" t="e">
        <f t="shared" si="3"/>
        <v>#VALUE!</v>
      </c>
      <c r="D89" s="15"/>
      <c r="E89" s="20">
        <f ca="1">IF(ISERROR(#REF!),TODAY(),#REF!)</f>
        <v>44557</v>
      </c>
      <c r="F89" s="15"/>
      <c r="G89" s="15"/>
      <c r="H89" s="21"/>
      <c r="I89" s="15"/>
      <c r="J89" s="15"/>
      <c r="K89" s="15"/>
      <c r="L89" s="15"/>
      <c r="M89" s="15"/>
      <c r="N89" s="15"/>
      <c r="O89" s="15"/>
      <c r="P89" s="15"/>
      <c r="Q89" s="15"/>
      <c r="R89" s="15"/>
      <c r="S89" s="15"/>
      <c r="T89" s="15"/>
      <c r="U89" s="15"/>
      <c r="V89" s="15"/>
      <c r="W89" s="15"/>
      <c r="X89" s="15"/>
      <c r="Y89" s="15"/>
      <c r="Z89" s="15"/>
    </row>
    <row r="90" spans="2:26" x14ac:dyDescent="0.25">
      <c r="B90" s="15" t="e">
        <f t="shared" si="2"/>
        <v>#VALUE!</v>
      </c>
      <c r="C90" s="15" t="e">
        <f t="shared" si="3"/>
        <v>#VALUE!</v>
      </c>
      <c r="D90" s="15"/>
      <c r="E90" s="20">
        <f ca="1">IF(ISERROR(#REF!),TODAY(),#REF!)</f>
        <v>44557</v>
      </c>
      <c r="F90" s="15"/>
      <c r="G90" s="15"/>
      <c r="H90" s="21"/>
      <c r="I90" s="15"/>
      <c r="J90" s="15"/>
      <c r="K90" s="15"/>
      <c r="L90" s="15"/>
      <c r="M90" s="15"/>
      <c r="N90" s="15"/>
      <c r="O90" s="15"/>
      <c r="P90" s="15"/>
      <c r="Q90" s="15"/>
      <c r="R90" s="15"/>
      <c r="S90" s="15"/>
      <c r="T90" s="15"/>
      <c r="U90" s="15"/>
      <c r="V90" s="15"/>
      <c r="W90" s="15"/>
      <c r="X90" s="15"/>
      <c r="Y90" s="15"/>
      <c r="Z90" s="15"/>
    </row>
    <row r="91" spans="2:26" x14ac:dyDescent="0.25">
      <c r="B91" s="15" t="e">
        <f t="shared" si="2"/>
        <v>#VALUE!</v>
      </c>
      <c r="C91" s="15" t="e">
        <f t="shared" si="3"/>
        <v>#VALUE!</v>
      </c>
      <c r="D91" s="15"/>
      <c r="E91" s="20">
        <f ca="1">IF(ISERROR(#REF!),TODAY(),#REF!)</f>
        <v>44557</v>
      </c>
      <c r="F91" s="15"/>
      <c r="G91" s="15"/>
      <c r="H91" s="21"/>
      <c r="I91" s="15"/>
      <c r="J91" s="15"/>
      <c r="K91" s="15"/>
      <c r="L91" s="15"/>
      <c r="M91" s="15"/>
      <c r="N91" s="15"/>
      <c r="O91" s="15"/>
      <c r="P91" s="15"/>
      <c r="Q91" s="15"/>
      <c r="R91" s="15"/>
      <c r="S91" s="15"/>
      <c r="T91" s="15"/>
      <c r="U91" s="15"/>
      <c r="V91" s="15"/>
      <c r="W91" s="15"/>
      <c r="X91" s="15"/>
      <c r="Y91" s="15"/>
      <c r="Z91" s="15"/>
    </row>
    <row r="92" spans="2:26" x14ac:dyDescent="0.25">
      <c r="B92" s="15" t="e">
        <f t="shared" si="2"/>
        <v>#VALUE!</v>
      </c>
      <c r="C92" s="15" t="e">
        <f t="shared" si="3"/>
        <v>#VALUE!</v>
      </c>
      <c r="D92" s="15"/>
      <c r="E92" s="20">
        <f ca="1">IF(ISERROR(#REF!),TODAY(),#REF!)</f>
        <v>44557</v>
      </c>
      <c r="F92" s="15"/>
      <c r="G92" s="15"/>
      <c r="H92" s="21"/>
      <c r="I92" s="15"/>
      <c r="J92" s="15"/>
      <c r="K92" s="15"/>
      <c r="L92" s="15"/>
      <c r="M92" s="15"/>
      <c r="N92" s="15"/>
      <c r="O92" s="15"/>
      <c r="P92" s="15"/>
      <c r="Q92" s="15"/>
      <c r="R92" s="15"/>
      <c r="S92" s="15"/>
      <c r="T92" s="15"/>
      <c r="U92" s="15"/>
      <c r="V92" s="15"/>
      <c r="W92" s="15"/>
      <c r="X92" s="15"/>
      <c r="Y92" s="15"/>
      <c r="Z92" s="15"/>
    </row>
    <row r="93" spans="2:26" x14ac:dyDescent="0.25">
      <c r="B93" s="15" t="e">
        <f t="shared" si="2"/>
        <v>#VALUE!</v>
      </c>
      <c r="C93" s="15" t="e">
        <f t="shared" si="3"/>
        <v>#VALUE!</v>
      </c>
      <c r="D93" s="15"/>
      <c r="E93" s="20">
        <f ca="1">IF(ISERROR(#REF!),TODAY(),#REF!)</f>
        <v>44557</v>
      </c>
      <c r="F93" s="15"/>
      <c r="G93" s="15"/>
      <c r="H93" s="21"/>
      <c r="I93" s="15"/>
      <c r="J93" s="15"/>
      <c r="K93" s="15"/>
      <c r="L93" s="15"/>
      <c r="M93" s="15"/>
      <c r="N93" s="15"/>
      <c r="O93" s="15"/>
      <c r="P93" s="15"/>
      <c r="Q93" s="15"/>
      <c r="R93" s="15"/>
      <c r="S93" s="15"/>
      <c r="T93" s="15"/>
      <c r="U93" s="15"/>
      <c r="V93" s="15"/>
      <c r="W93" s="15"/>
      <c r="X93" s="15"/>
      <c r="Y93" s="15"/>
      <c r="Z93" s="15"/>
    </row>
    <row r="94" spans="2:26" x14ac:dyDescent="0.25">
      <c r="B94" s="15" t="e">
        <f t="shared" si="2"/>
        <v>#VALUE!</v>
      </c>
      <c r="C94" s="15" t="e">
        <f t="shared" si="3"/>
        <v>#VALUE!</v>
      </c>
      <c r="D94" s="15"/>
      <c r="E94" s="20">
        <f ca="1">IF(ISERROR(#REF!),TODAY(),#REF!)</f>
        <v>44557</v>
      </c>
      <c r="F94" s="15"/>
      <c r="G94" s="15"/>
      <c r="H94" s="21"/>
      <c r="I94" s="15"/>
      <c r="J94" s="15"/>
      <c r="K94" s="15"/>
      <c r="L94" s="15"/>
      <c r="M94" s="15"/>
      <c r="N94" s="15"/>
      <c r="O94" s="15"/>
      <c r="P94" s="15"/>
      <c r="Q94" s="15"/>
      <c r="R94" s="15"/>
      <c r="S94" s="15"/>
      <c r="T94" s="15"/>
      <c r="U94" s="15"/>
      <c r="V94" s="15"/>
      <c r="W94" s="15"/>
      <c r="X94" s="15"/>
      <c r="Y94" s="15"/>
      <c r="Z94" s="15"/>
    </row>
    <row r="95" spans="2:26" x14ac:dyDescent="0.25">
      <c r="B95" s="15" t="e">
        <f t="shared" si="2"/>
        <v>#VALUE!</v>
      </c>
      <c r="C95" s="15" t="e">
        <f t="shared" si="3"/>
        <v>#VALUE!</v>
      </c>
      <c r="D95" s="15"/>
      <c r="E95" s="20">
        <f ca="1">IF(ISERROR(#REF!),TODAY(),#REF!)</f>
        <v>44557</v>
      </c>
      <c r="F95" s="15"/>
      <c r="G95" s="15"/>
      <c r="H95" s="21"/>
      <c r="I95" s="15"/>
      <c r="J95" s="15"/>
      <c r="K95" s="15"/>
      <c r="L95" s="15"/>
      <c r="M95" s="15"/>
      <c r="N95" s="15"/>
      <c r="O95" s="15"/>
      <c r="P95" s="15"/>
      <c r="Q95" s="15"/>
      <c r="R95" s="15"/>
      <c r="S95" s="15"/>
      <c r="T95" s="15"/>
      <c r="U95" s="15"/>
      <c r="V95" s="15"/>
      <c r="W95" s="15"/>
      <c r="X95" s="15"/>
      <c r="Y95" s="15"/>
      <c r="Z95" s="15"/>
    </row>
    <row r="96" spans="2:26" x14ac:dyDescent="0.25">
      <c r="B96" s="15" t="e">
        <f t="shared" si="2"/>
        <v>#VALUE!</v>
      </c>
      <c r="C96" s="15" t="e">
        <f t="shared" si="3"/>
        <v>#VALUE!</v>
      </c>
      <c r="D96" s="15"/>
      <c r="E96" s="20">
        <f ca="1">IF(ISERROR(#REF!),TODAY(),#REF!)</f>
        <v>44557</v>
      </c>
      <c r="F96" s="15"/>
      <c r="G96" s="15"/>
      <c r="H96" s="21"/>
      <c r="I96" s="15"/>
      <c r="J96" s="15"/>
      <c r="K96" s="15"/>
      <c r="L96" s="15"/>
      <c r="M96" s="15"/>
      <c r="N96" s="15"/>
      <c r="O96" s="15"/>
      <c r="P96" s="15"/>
      <c r="Q96" s="15"/>
      <c r="R96" s="15"/>
      <c r="S96" s="15"/>
      <c r="T96" s="15"/>
      <c r="U96" s="15"/>
      <c r="V96" s="15"/>
      <c r="W96" s="15"/>
      <c r="X96" s="15"/>
      <c r="Y96" s="15"/>
      <c r="Z96" s="15"/>
    </row>
    <row r="97" spans="2:26" x14ac:dyDescent="0.25">
      <c r="B97" s="15" t="e">
        <f t="shared" si="2"/>
        <v>#VALUE!</v>
      </c>
      <c r="C97" s="15" t="e">
        <f t="shared" si="3"/>
        <v>#VALUE!</v>
      </c>
      <c r="D97" s="15"/>
      <c r="E97" s="20">
        <f ca="1">IF(ISERROR(#REF!),TODAY(),#REF!)</f>
        <v>44557</v>
      </c>
      <c r="F97" s="15"/>
      <c r="G97" s="15"/>
      <c r="H97" s="21"/>
      <c r="I97" s="15"/>
      <c r="J97" s="15"/>
      <c r="K97" s="15"/>
      <c r="L97" s="15"/>
      <c r="M97" s="15"/>
      <c r="N97" s="15"/>
      <c r="O97" s="15"/>
      <c r="P97" s="15"/>
      <c r="Q97" s="15"/>
      <c r="R97" s="15"/>
      <c r="S97" s="15"/>
      <c r="T97" s="15"/>
      <c r="U97" s="15"/>
      <c r="V97" s="15"/>
      <c r="W97" s="15"/>
      <c r="X97" s="15"/>
      <c r="Y97" s="15"/>
      <c r="Z97" s="15"/>
    </row>
    <row r="98" spans="2:26" x14ac:dyDescent="0.25">
      <c r="B98" s="15" t="e">
        <f t="shared" si="2"/>
        <v>#VALUE!</v>
      </c>
      <c r="C98" s="15" t="e">
        <f t="shared" ref="C98:C129" si="4">"partner:"&amp;MID(A98,SEARCH(":",A98)+1,SEARCH(":",A98,SEARCH(":",A98)+1)-SEARCH(":",A98)-1)</f>
        <v>#VALUE!</v>
      </c>
      <c r="D98" s="15"/>
      <c r="E98" s="20">
        <f ca="1">IF(ISERROR(#REF!),TODAY(),#REF!)</f>
        <v>44557</v>
      </c>
      <c r="F98" s="15"/>
      <c r="G98" s="15"/>
      <c r="H98" s="21"/>
      <c r="I98" s="15"/>
      <c r="J98" s="15"/>
      <c r="K98" s="15"/>
      <c r="L98" s="15"/>
      <c r="M98" s="15"/>
      <c r="N98" s="15"/>
      <c r="O98" s="15"/>
      <c r="P98" s="15"/>
      <c r="Q98" s="15"/>
      <c r="R98" s="15"/>
      <c r="S98" s="15"/>
      <c r="T98" s="15"/>
      <c r="U98" s="15"/>
      <c r="V98" s="15"/>
      <c r="W98" s="15"/>
      <c r="X98" s="15"/>
      <c r="Y98" s="15"/>
      <c r="Z98" s="15"/>
    </row>
    <row r="99" spans="2:26" x14ac:dyDescent="0.25">
      <c r="B99" s="15" t="e">
        <f t="shared" si="2"/>
        <v>#VALUE!</v>
      </c>
      <c r="C99" s="15" t="e">
        <f t="shared" si="4"/>
        <v>#VALUE!</v>
      </c>
      <c r="D99" s="15"/>
      <c r="E99" s="20">
        <f ca="1">IF(ISERROR(#REF!),TODAY(),#REF!)</f>
        <v>44557</v>
      </c>
      <c r="F99" s="15"/>
      <c r="G99" s="15"/>
      <c r="H99" s="21"/>
      <c r="I99" s="15"/>
      <c r="J99" s="15"/>
      <c r="K99" s="15"/>
      <c r="L99" s="15"/>
      <c r="M99" s="15"/>
      <c r="N99" s="15"/>
      <c r="O99" s="15"/>
      <c r="P99" s="15"/>
      <c r="Q99" s="15"/>
      <c r="R99" s="15"/>
      <c r="S99" s="15"/>
      <c r="T99" s="15"/>
      <c r="U99" s="15"/>
      <c r="V99" s="15"/>
      <c r="W99" s="15"/>
      <c r="X99" s="15"/>
      <c r="Y99" s="15"/>
      <c r="Z99" s="15"/>
    </row>
    <row r="100" spans="2:26" x14ac:dyDescent="0.25">
      <c r="B100" s="15" t="e">
        <f t="shared" si="2"/>
        <v>#VALUE!</v>
      </c>
      <c r="C100" s="15" t="e">
        <f t="shared" si="4"/>
        <v>#VALUE!</v>
      </c>
      <c r="D100" s="15"/>
      <c r="E100" s="20">
        <f ca="1">IF(ISERROR(#REF!),TODAY(),#REF!)</f>
        <v>44557</v>
      </c>
      <c r="F100" s="15"/>
      <c r="G100" s="15"/>
      <c r="H100" s="21"/>
      <c r="I100" s="15"/>
      <c r="J100" s="15"/>
      <c r="K100" s="15"/>
      <c r="L100" s="15"/>
      <c r="M100" s="15"/>
      <c r="N100" s="15"/>
      <c r="O100" s="15"/>
      <c r="P100" s="15"/>
      <c r="Q100" s="15"/>
      <c r="R100" s="15"/>
      <c r="S100" s="15"/>
      <c r="T100" s="15"/>
      <c r="U100" s="15"/>
      <c r="V100" s="15"/>
      <c r="W100" s="15"/>
      <c r="X100" s="15"/>
      <c r="Y100" s="15"/>
      <c r="Z100" s="15"/>
    </row>
    <row r="101" spans="2:26" x14ac:dyDescent="0.25">
      <c r="B101" s="15" t="e">
        <f t="shared" si="2"/>
        <v>#VALUE!</v>
      </c>
      <c r="C101" s="15" t="e">
        <f t="shared" si="4"/>
        <v>#VALUE!</v>
      </c>
      <c r="D101" s="15"/>
      <c r="E101" s="20">
        <f ca="1">IF(ISERROR(#REF!),TODAY(),#REF!)</f>
        <v>44557</v>
      </c>
      <c r="F101" s="15"/>
      <c r="G101" s="15"/>
      <c r="H101" s="21"/>
      <c r="I101" s="15"/>
      <c r="J101" s="15"/>
      <c r="K101" s="15"/>
      <c r="L101" s="15"/>
      <c r="M101" s="15"/>
      <c r="N101" s="15"/>
      <c r="O101" s="15"/>
      <c r="P101" s="15"/>
      <c r="Q101" s="15"/>
      <c r="R101" s="15"/>
      <c r="S101" s="15"/>
      <c r="T101" s="15"/>
      <c r="U101" s="15"/>
      <c r="V101" s="15"/>
      <c r="W101" s="15"/>
      <c r="X101" s="15"/>
      <c r="Y101" s="15"/>
      <c r="Z101" s="15"/>
    </row>
    <row r="102" spans="2:26" x14ac:dyDescent="0.25">
      <c r="B102" s="15" t="e">
        <f t="shared" si="2"/>
        <v>#VALUE!</v>
      </c>
      <c r="C102" s="15" t="e">
        <f t="shared" si="4"/>
        <v>#VALUE!</v>
      </c>
      <c r="D102" s="15"/>
      <c r="E102" s="20">
        <f ca="1">IF(ISERROR(#REF!),TODAY(),#REF!)</f>
        <v>44557</v>
      </c>
      <c r="F102" s="15"/>
      <c r="G102" s="15"/>
      <c r="H102" s="21"/>
      <c r="I102" s="15"/>
      <c r="J102" s="15"/>
      <c r="K102" s="15"/>
      <c r="L102" s="15"/>
      <c r="M102" s="15"/>
      <c r="N102" s="15"/>
      <c r="O102" s="15"/>
      <c r="P102" s="15"/>
      <c r="Q102" s="15"/>
      <c r="R102" s="15"/>
      <c r="S102" s="15"/>
      <c r="T102" s="15"/>
      <c r="U102" s="15"/>
      <c r="V102" s="15"/>
      <c r="W102" s="15"/>
      <c r="X102" s="15"/>
      <c r="Y102" s="15"/>
      <c r="Z102" s="15"/>
    </row>
    <row r="103" spans="2:26" x14ac:dyDescent="0.25">
      <c r="B103" s="15" t="e">
        <f t="shared" si="2"/>
        <v>#VALUE!</v>
      </c>
      <c r="C103" s="15" t="e">
        <f t="shared" si="4"/>
        <v>#VALUE!</v>
      </c>
      <c r="D103" s="15"/>
      <c r="E103" s="20">
        <f ca="1">IF(ISERROR(#REF!),TODAY(),#REF!)</f>
        <v>44557</v>
      </c>
      <c r="F103" s="15"/>
      <c r="G103" s="15"/>
      <c r="H103" s="21"/>
      <c r="I103" s="15"/>
      <c r="J103" s="15"/>
      <c r="K103" s="15"/>
      <c r="L103" s="15"/>
      <c r="M103" s="15"/>
      <c r="N103" s="15"/>
      <c r="O103" s="15"/>
      <c r="P103" s="15"/>
      <c r="Q103" s="15"/>
      <c r="R103" s="15"/>
      <c r="S103" s="15"/>
      <c r="T103" s="15"/>
      <c r="U103" s="15"/>
      <c r="V103" s="15"/>
      <c r="W103" s="15"/>
      <c r="X103" s="15"/>
      <c r="Y103" s="15"/>
      <c r="Z103" s="15"/>
    </row>
    <row r="104" spans="2:26" x14ac:dyDescent="0.25">
      <c r="B104" s="15" t="e">
        <f t="shared" si="2"/>
        <v>#VALUE!</v>
      </c>
      <c r="C104" s="15" t="e">
        <f t="shared" si="4"/>
        <v>#VALUE!</v>
      </c>
      <c r="D104" s="15"/>
      <c r="E104" s="20">
        <f ca="1">IF(ISERROR(#REF!),TODAY(),#REF!)</f>
        <v>44557</v>
      </c>
      <c r="F104" s="15"/>
      <c r="G104" s="15"/>
      <c r="H104" s="21"/>
      <c r="I104" s="15"/>
      <c r="J104" s="15"/>
      <c r="K104" s="15"/>
      <c r="L104" s="15"/>
      <c r="M104" s="15"/>
      <c r="N104" s="15"/>
      <c r="O104" s="15"/>
      <c r="P104" s="15"/>
      <c r="Q104" s="15"/>
      <c r="R104" s="15"/>
      <c r="S104" s="15"/>
      <c r="T104" s="15"/>
      <c r="U104" s="15"/>
      <c r="V104" s="15"/>
      <c r="W104" s="15"/>
      <c r="X104" s="15"/>
      <c r="Y104" s="15"/>
      <c r="Z104" s="15"/>
    </row>
    <row r="105" spans="2:26" x14ac:dyDescent="0.25">
      <c r="B105" s="15" t="e">
        <f t="shared" si="2"/>
        <v>#VALUE!</v>
      </c>
      <c r="C105" s="15" t="e">
        <f t="shared" si="4"/>
        <v>#VALUE!</v>
      </c>
      <c r="D105" s="15"/>
      <c r="E105" s="20">
        <f ca="1">IF(ISERROR(#REF!),TODAY(),#REF!)</f>
        <v>44557</v>
      </c>
      <c r="F105" s="15"/>
      <c r="G105" s="15"/>
      <c r="H105" s="21"/>
      <c r="I105" s="15"/>
      <c r="J105" s="15"/>
      <c r="K105" s="15"/>
      <c r="L105" s="15"/>
      <c r="M105" s="15"/>
      <c r="N105" s="15"/>
      <c r="O105" s="15"/>
      <c r="P105" s="15"/>
      <c r="Q105" s="15"/>
      <c r="R105" s="15"/>
      <c r="S105" s="15"/>
      <c r="T105" s="15"/>
      <c r="U105" s="15"/>
      <c r="V105" s="15"/>
      <c r="W105" s="15"/>
      <c r="X105" s="15"/>
      <c r="Y105" s="15"/>
      <c r="Z105" s="15"/>
    </row>
    <row r="106" spans="2:26" x14ac:dyDescent="0.25">
      <c r="B106" s="15" t="e">
        <f t="shared" si="2"/>
        <v>#VALUE!</v>
      </c>
      <c r="C106" s="15" t="e">
        <f t="shared" si="4"/>
        <v>#VALUE!</v>
      </c>
      <c r="D106" s="15"/>
      <c r="E106" s="20">
        <f ca="1">IF(ISERROR(#REF!),TODAY(),#REF!)</f>
        <v>44557</v>
      </c>
      <c r="F106" s="15"/>
      <c r="G106" s="15"/>
      <c r="H106" s="21"/>
      <c r="I106" s="15"/>
      <c r="J106" s="15"/>
      <c r="K106" s="15"/>
      <c r="L106" s="15"/>
      <c r="M106" s="15"/>
      <c r="N106" s="15"/>
      <c r="O106" s="15"/>
      <c r="P106" s="15"/>
      <c r="Q106" s="15"/>
      <c r="R106" s="15"/>
      <c r="S106" s="15"/>
      <c r="T106" s="15"/>
      <c r="U106" s="15"/>
      <c r="V106" s="15"/>
      <c r="W106" s="15"/>
      <c r="X106" s="15"/>
      <c r="Y106" s="15"/>
      <c r="Z106" s="15"/>
    </row>
    <row r="107" spans="2:26" x14ac:dyDescent="0.25">
      <c r="B107" s="15" t="e">
        <f t="shared" si="2"/>
        <v>#VALUE!</v>
      </c>
      <c r="C107" s="15" t="e">
        <f t="shared" si="4"/>
        <v>#VALUE!</v>
      </c>
      <c r="D107" s="15"/>
      <c r="E107" s="20">
        <f ca="1">IF(ISERROR(#REF!),TODAY(),#REF!)</f>
        <v>44557</v>
      </c>
      <c r="F107" s="15"/>
      <c r="G107" s="15"/>
      <c r="H107" s="21"/>
      <c r="I107" s="15"/>
      <c r="J107" s="15"/>
      <c r="K107" s="15"/>
      <c r="L107" s="15"/>
      <c r="M107" s="15"/>
      <c r="N107" s="15"/>
      <c r="O107" s="15"/>
      <c r="P107" s="15"/>
      <c r="Q107" s="15"/>
      <c r="R107" s="15"/>
      <c r="S107" s="15"/>
      <c r="T107" s="15"/>
      <c r="U107" s="15"/>
      <c r="V107" s="15"/>
      <c r="W107" s="15"/>
      <c r="X107" s="15"/>
      <c r="Y107" s="15"/>
      <c r="Z107" s="15"/>
    </row>
    <row r="108" spans="2:26" x14ac:dyDescent="0.25">
      <c r="B108" s="15" t="e">
        <f t="shared" si="2"/>
        <v>#VALUE!</v>
      </c>
      <c r="C108" s="15" t="e">
        <f t="shared" si="4"/>
        <v>#VALUE!</v>
      </c>
      <c r="D108" s="15"/>
      <c r="E108" s="20">
        <f ca="1">IF(ISERROR(#REF!),TODAY(),#REF!)</f>
        <v>44557</v>
      </c>
      <c r="F108" s="15"/>
      <c r="G108" s="15"/>
      <c r="H108" s="21"/>
      <c r="I108" s="15"/>
      <c r="J108" s="15"/>
      <c r="K108" s="15"/>
      <c r="L108" s="15"/>
      <c r="M108" s="15"/>
      <c r="N108" s="15"/>
      <c r="O108" s="15"/>
      <c r="P108" s="15"/>
      <c r="Q108" s="15"/>
      <c r="R108" s="15"/>
      <c r="S108" s="15"/>
      <c r="T108" s="15"/>
      <c r="U108" s="15"/>
      <c r="V108" s="15"/>
      <c r="W108" s="15"/>
      <c r="X108" s="15"/>
      <c r="Y108" s="15"/>
      <c r="Z108" s="15"/>
    </row>
    <row r="109" spans="2:26" x14ac:dyDescent="0.25">
      <c r="B109" s="15" t="e">
        <f t="shared" si="2"/>
        <v>#VALUE!</v>
      </c>
      <c r="C109" s="15" t="e">
        <f t="shared" si="4"/>
        <v>#VALUE!</v>
      </c>
      <c r="D109" s="15"/>
      <c r="E109" s="20">
        <f ca="1">IF(ISERROR(#REF!),TODAY(),#REF!)</f>
        <v>44557</v>
      </c>
      <c r="F109" s="15"/>
      <c r="G109" s="15"/>
      <c r="H109" s="21"/>
      <c r="I109" s="15"/>
      <c r="J109" s="15"/>
      <c r="K109" s="15"/>
      <c r="L109" s="15"/>
      <c r="M109" s="15"/>
      <c r="N109" s="15"/>
      <c r="O109" s="15"/>
      <c r="P109" s="15"/>
      <c r="Q109" s="15"/>
      <c r="R109" s="15"/>
      <c r="S109" s="15"/>
      <c r="T109" s="15"/>
      <c r="U109" s="15"/>
      <c r="V109" s="15"/>
      <c r="W109" s="15"/>
      <c r="X109" s="15"/>
      <c r="Y109" s="15"/>
      <c r="Z109" s="15"/>
    </row>
    <row r="110" spans="2:26" x14ac:dyDescent="0.25">
      <c r="B110" s="15" t="e">
        <f t="shared" si="2"/>
        <v>#VALUE!</v>
      </c>
      <c r="C110" s="15" t="e">
        <f t="shared" si="4"/>
        <v>#VALUE!</v>
      </c>
      <c r="D110" s="15"/>
      <c r="E110" s="20">
        <f ca="1">IF(ISERROR(#REF!),TODAY(),#REF!)</f>
        <v>44557</v>
      </c>
      <c r="F110" s="15"/>
      <c r="G110" s="15"/>
      <c r="H110" s="21"/>
      <c r="I110" s="15"/>
      <c r="J110" s="15"/>
      <c r="K110" s="15"/>
      <c r="L110" s="15"/>
      <c r="M110" s="15"/>
      <c r="N110" s="15"/>
      <c r="O110" s="15"/>
      <c r="P110" s="15"/>
      <c r="Q110" s="15"/>
      <c r="R110" s="15"/>
      <c r="S110" s="15"/>
      <c r="T110" s="15"/>
      <c r="U110" s="15"/>
      <c r="V110" s="15"/>
      <c r="W110" s="15"/>
      <c r="X110" s="15"/>
      <c r="Y110" s="15"/>
      <c r="Z110" s="15"/>
    </row>
    <row r="111" spans="2:26" x14ac:dyDescent="0.25">
      <c r="B111" s="15" t="e">
        <f t="shared" si="2"/>
        <v>#VALUE!</v>
      </c>
      <c r="C111" s="15" t="e">
        <f t="shared" si="4"/>
        <v>#VALUE!</v>
      </c>
      <c r="D111" s="15"/>
      <c r="E111" s="20">
        <f ca="1">IF(ISERROR(#REF!),TODAY(),#REF!)</f>
        <v>44557</v>
      </c>
      <c r="F111" s="15"/>
      <c r="G111" s="15"/>
      <c r="H111" s="21"/>
      <c r="I111" s="15"/>
      <c r="J111" s="15"/>
      <c r="K111" s="15"/>
      <c r="L111" s="15"/>
      <c r="M111" s="15"/>
      <c r="N111" s="15"/>
      <c r="O111" s="15"/>
      <c r="P111" s="15"/>
      <c r="Q111" s="15"/>
      <c r="R111" s="15"/>
      <c r="S111" s="15"/>
      <c r="T111" s="15"/>
      <c r="U111" s="15"/>
      <c r="V111" s="15"/>
      <c r="W111" s="15"/>
      <c r="X111" s="15"/>
      <c r="Y111" s="15"/>
      <c r="Z111" s="15"/>
    </row>
    <row r="112" spans="2:26" x14ac:dyDescent="0.25">
      <c r="B112" s="15" t="e">
        <f t="shared" si="2"/>
        <v>#VALUE!</v>
      </c>
      <c r="C112" s="15" t="e">
        <f t="shared" si="4"/>
        <v>#VALUE!</v>
      </c>
      <c r="D112" s="15"/>
      <c r="E112" s="20">
        <f ca="1">IF(ISERROR(#REF!),TODAY(),#REF!)</f>
        <v>44557</v>
      </c>
      <c r="F112" s="15"/>
      <c r="G112" s="15"/>
      <c r="H112" s="21"/>
      <c r="I112" s="15"/>
      <c r="J112" s="15"/>
      <c r="K112" s="15"/>
      <c r="L112" s="15"/>
      <c r="M112" s="15"/>
      <c r="N112" s="15"/>
      <c r="O112" s="15"/>
      <c r="P112" s="15"/>
      <c r="Q112" s="15"/>
      <c r="R112" s="15"/>
      <c r="S112" s="15"/>
      <c r="T112" s="15"/>
      <c r="U112" s="15"/>
      <c r="V112" s="15"/>
      <c r="W112" s="15"/>
      <c r="X112" s="15"/>
      <c r="Y112" s="15"/>
      <c r="Z112" s="15"/>
    </row>
    <row r="113" spans="2:26" x14ac:dyDescent="0.25">
      <c r="B113" s="15" t="e">
        <f t="shared" si="2"/>
        <v>#VALUE!</v>
      </c>
      <c r="C113" s="15" t="e">
        <f t="shared" si="4"/>
        <v>#VALUE!</v>
      </c>
      <c r="D113" s="15"/>
      <c r="E113" s="20">
        <f ca="1">IF(ISERROR(#REF!),TODAY(),#REF!)</f>
        <v>44557</v>
      </c>
      <c r="F113" s="15"/>
      <c r="G113" s="15"/>
      <c r="H113" s="21"/>
      <c r="I113" s="15"/>
      <c r="J113" s="15"/>
      <c r="K113" s="15"/>
      <c r="L113" s="15"/>
      <c r="M113" s="15"/>
      <c r="N113" s="15"/>
      <c r="O113" s="15"/>
      <c r="P113" s="15"/>
      <c r="Q113" s="15"/>
      <c r="R113" s="15"/>
      <c r="S113" s="15"/>
      <c r="T113" s="15"/>
      <c r="U113" s="15"/>
      <c r="V113" s="15"/>
      <c r="W113" s="15"/>
      <c r="X113" s="15"/>
      <c r="Y113" s="15"/>
      <c r="Z113" s="15"/>
    </row>
    <row r="114" spans="2:26" x14ac:dyDescent="0.25">
      <c r="B114" s="15" t="e">
        <f t="shared" si="2"/>
        <v>#VALUE!</v>
      </c>
      <c r="C114" s="15" t="e">
        <f t="shared" si="4"/>
        <v>#VALUE!</v>
      </c>
      <c r="D114" s="15"/>
      <c r="E114" s="20">
        <f ca="1">IF(ISERROR(#REF!),TODAY(),#REF!)</f>
        <v>44557</v>
      </c>
      <c r="F114" s="15"/>
      <c r="G114" s="15"/>
      <c r="H114" s="21"/>
      <c r="I114" s="15"/>
      <c r="J114" s="15"/>
      <c r="K114" s="15"/>
      <c r="L114" s="15"/>
      <c r="M114" s="15"/>
      <c r="N114" s="15"/>
      <c r="O114" s="15"/>
      <c r="P114" s="15"/>
      <c r="Q114" s="15"/>
      <c r="R114" s="15"/>
      <c r="S114" s="15"/>
      <c r="T114" s="15"/>
      <c r="U114" s="15"/>
      <c r="V114" s="15"/>
      <c r="W114" s="15"/>
      <c r="X114" s="15"/>
      <c r="Y114" s="15"/>
      <c r="Z114" s="15"/>
    </row>
    <row r="115" spans="2:26" x14ac:dyDescent="0.25">
      <c r="B115" s="15" t="e">
        <f t="shared" si="2"/>
        <v>#VALUE!</v>
      </c>
      <c r="C115" s="15" t="e">
        <f t="shared" si="4"/>
        <v>#VALUE!</v>
      </c>
      <c r="D115" s="15"/>
      <c r="E115" s="20">
        <f ca="1">IF(ISERROR(#REF!),TODAY(),#REF!)</f>
        <v>44557</v>
      </c>
      <c r="F115" s="15"/>
      <c r="G115" s="15"/>
      <c r="H115" s="21"/>
      <c r="I115" s="15"/>
      <c r="J115" s="15"/>
      <c r="K115" s="15"/>
      <c r="L115" s="15"/>
      <c r="M115" s="15"/>
      <c r="N115" s="15"/>
      <c r="O115" s="15"/>
      <c r="P115" s="15"/>
      <c r="Q115" s="15"/>
      <c r="R115" s="15"/>
      <c r="S115" s="15"/>
      <c r="T115" s="15"/>
      <c r="U115" s="15"/>
      <c r="V115" s="15"/>
      <c r="W115" s="15"/>
      <c r="X115" s="15"/>
      <c r="Y115" s="15"/>
      <c r="Z115" s="15"/>
    </row>
    <row r="116" spans="2:26" x14ac:dyDescent="0.25">
      <c r="B116" s="15" t="e">
        <f t="shared" si="2"/>
        <v>#VALUE!</v>
      </c>
      <c r="C116" s="15" t="e">
        <f t="shared" si="4"/>
        <v>#VALUE!</v>
      </c>
      <c r="D116" s="15"/>
      <c r="E116" s="20">
        <f ca="1">IF(ISERROR(#REF!),TODAY(),#REF!)</f>
        <v>44557</v>
      </c>
      <c r="F116" s="15"/>
      <c r="G116" s="15"/>
      <c r="H116" s="21"/>
      <c r="I116" s="15"/>
      <c r="J116" s="15"/>
      <c r="K116" s="15"/>
      <c r="L116" s="15"/>
      <c r="M116" s="15"/>
      <c r="N116" s="15"/>
      <c r="O116" s="15"/>
      <c r="P116" s="15"/>
      <c r="Q116" s="15"/>
      <c r="R116" s="15"/>
      <c r="S116" s="15"/>
      <c r="T116" s="15"/>
      <c r="U116" s="15"/>
      <c r="V116" s="15"/>
      <c r="W116" s="15"/>
      <c r="X116" s="15"/>
      <c r="Y116" s="15"/>
      <c r="Z116" s="15"/>
    </row>
    <row r="117" spans="2:26" x14ac:dyDescent="0.25">
      <c r="B117" s="15" t="e">
        <f t="shared" si="2"/>
        <v>#VALUE!</v>
      </c>
      <c r="C117" s="15" t="e">
        <f t="shared" si="4"/>
        <v>#VALUE!</v>
      </c>
      <c r="D117" s="15"/>
      <c r="E117" s="20">
        <f ca="1">IF(ISERROR(#REF!),TODAY(),#REF!)</f>
        <v>44557</v>
      </c>
      <c r="F117" s="15"/>
      <c r="G117" s="15"/>
      <c r="H117" s="21"/>
      <c r="I117" s="15"/>
      <c r="J117" s="15"/>
      <c r="K117" s="15"/>
      <c r="L117" s="15"/>
      <c r="M117" s="15"/>
      <c r="N117" s="15"/>
      <c r="O117" s="15"/>
      <c r="P117" s="15"/>
      <c r="Q117" s="15"/>
      <c r="R117" s="15"/>
      <c r="S117" s="15"/>
      <c r="T117" s="15"/>
      <c r="U117" s="15"/>
      <c r="V117" s="15"/>
      <c r="W117" s="15"/>
      <c r="X117" s="15"/>
      <c r="Y117" s="15"/>
      <c r="Z117" s="15"/>
    </row>
    <row r="118" spans="2:26" x14ac:dyDescent="0.25">
      <c r="B118" s="15" t="e">
        <f t="shared" si="2"/>
        <v>#VALUE!</v>
      </c>
      <c r="C118" s="15" t="e">
        <f t="shared" si="4"/>
        <v>#VALUE!</v>
      </c>
      <c r="D118" s="15"/>
      <c r="E118" s="20">
        <f ca="1">IF(ISERROR(#REF!),TODAY(),#REF!)</f>
        <v>44557</v>
      </c>
      <c r="F118" s="15"/>
      <c r="G118" s="15"/>
      <c r="H118" s="21"/>
      <c r="I118" s="15"/>
      <c r="J118" s="15"/>
      <c r="K118" s="15"/>
      <c r="L118" s="15"/>
      <c r="M118" s="15"/>
      <c r="N118" s="15"/>
      <c r="O118" s="15"/>
      <c r="P118" s="15"/>
      <c r="Q118" s="15"/>
      <c r="R118" s="15"/>
      <c r="S118" s="15"/>
      <c r="T118" s="15"/>
      <c r="U118" s="15"/>
      <c r="V118" s="15"/>
      <c r="W118" s="15"/>
      <c r="X118" s="15"/>
      <c r="Y118" s="15"/>
      <c r="Z118" s="15"/>
    </row>
    <row r="119" spans="2:26" x14ac:dyDescent="0.25">
      <c r="B119" s="15" t="e">
        <f t="shared" si="2"/>
        <v>#VALUE!</v>
      </c>
      <c r="C119" s="15" t="e">
        <f t="shared" si="4"/>
        <v>#VALUE!</v>
      </c>
      <c r="D119" s="15"/>
      <c r="E119" s="20">
        <f ca="1">IF(ISERROR(#REF!),TODAY(),#REF!)</f>
        <v>44557</v>
      </c>
      <c r="F119" s="15"/>
      <c r="G119" s="15"/>
      <c r="H119" s="21"/>
      <c r="I119" s="15"/>
      <c r="J119" s="15"/>
      <c r="K119" s="15"/>
      <c r="L119" s="15"/>
      <c r="M119" s="15"/>
      <c r="N119" s="15"/>
      <c r="O119" s="15"/>
      <c r="P119" s="15"/>
      <c r="Q119" s="15"/>
      <c r="R119" s="15"/>
      <c r="S119" s="15"/>
      <c r="T119" s="15"/>
      <c r="U119" s="15"/>
      <c r="V119" s="15"/>
      <c r="W119" s="15"/>
      <c r="X119" s="15"/>
      <c r="Y119" s="15"/>
      <c r="Z119" s="15"/>
    </row>
    <row r="120" spans="2:26" x14ac:dyDescent="0.25">
      <c r="B120" s="15" t="e">
        <f t="shared" si="2"/>
        <v>#VALUE!</v>
      </c>
      <c r="C120" s="15" t="e">
        <f t="shared" si="4"/>
        <v>#VALUE!</v>
      </c>
      <c r="D120" s="15"/>
      <c r="E120" s="20">
        <f ca="1">IF(ISERROR(#REF!),TODAY(),#REF!)</f>
        <v>44557</v>
      </c>
      <c r="F120" s="15"/>
      <c r="G120" s="15"/>
      <c r="H120" s="21"/>
      <c r="I120" s="15"/>
      <c r="J120" s="15"/>
      <c r="K120" s="15"/>
      <c r="L120" s="15"/>
      <c r="M120" s="15"/>
      <c r="N120" s="15"/>
      <c r="O120" s="15"/>
      <c r="P120" s="15"/>
      <c r="Q120" s="15"/>
      <c r="R120" s="15"/>
      <c r="S120" s="15"/>
      <c r="T120" s="15"/>
      <c r="U120" s="15"/>
      <c r="V120" s="15"/>
      <c r="W120" s="15"/>
      <c r="X120" s="15"/>
      <c r="Y120" s="15"/>
      <c r="Z120" s="15"/>
    </row>
    <row r="121" spans="2:26" x14ac:dyDescent="0.25">
      <c r="B121" s="15" t="e">
        <f t="shared" si="2"/>
        <v>#VALUE!</v>
      </c>
      <c r="C121" s="15" t="e">
        <f t="shared" si="4"/>
        <v>#VALUE!</v>
      </c>
      <c r="D121" s="15"/>
      <c r="E121" s="20">
        <f ca="1">IF(ISERROR(#REF!),TODAY(),#REF!)</f>
        <v>44557</v>
      </c>
      <c r="F121" s="15"/>
      <c r="G121" s="15"/>
      <c r="H121" s="21"/>
      <c r="I121" s="15"/>
      <c r="J121" s="15"/>
      <c r="K121" s="15"/>
      <c r="L121" s="15"/>
      <c r="M121" s="15"/>
      <c r="N121" s="15"/>
      <c r="O121" s="15"/>
      <c r="P121" s="15"/>
      <c r="Q121" s="15"/>
      <c r="R121" s="15"/>
      <c r="S121" s="15"/>
      <c r="T121" s="15"/>
      <c r="U121" s="15"/>
      <c r="V121" s="15"/>
      <c r="W121" s="15"/>
      <c r="X121" s="15"/>
      <c r="Y121" s="15"/>
      <c r="Z121" s="15"/>
    </row>
    <row r="122" spans="2:26" x14ac:dyDescent="0.25">
      <c r="B122" s="15" t="e">
        <f t="shared" si="2"/>
        <v>#VALUE!</v>
      </c>
      <c r="C122" s="15" t="e">
        <f t="shared" si="4"/>
        <v>#VALUE!</v>
      </c>
      <c r="D122" s="15"/>
      <c r="E122" s="20">
        <f ca="1">IF(ISERROR(#REF!),TODAY(),#REF!)</f>
        <v>44557</v>
      </c>
      <c r="F122" s="15"/>
      <c r="G122" s="15"/>
      <c r="H122" s="21"/>
      <c r="I122" s="15"/>
      <c r="J122" s="15"/>
      <c r="K122" s="15"/>
      <c r="L122" s="15"/>
      <c r="M122" s="15"/>
      <c r="N122" s="15"/>
      <c r="O122" s="15"/>
      <c r="P122" s="15"/>
      <c r="Q122" s="15"/>
      <c r="R122" s="15"/>
      <c r="S122" s="15"/>
      <c r="T122" s="15"/>
      <c r="U122" s="15"/>
      <c r="V122" s="15"/>
      <c r="W122" s="15"/>
      <c r="X122" s="15"/>
      <c r="Y122" s="15"/>
      <c r="Z122" s="15"/>
    </row>
    <row r="123" spans="2:26" x14ac:dyDescent="0.25">
      <c r="B123" s="15" t="e">
        <f t="shared" si="2"/>
        <v>#VALUE!</v>
      </c>
      <c r="C123" s="15" t="e">
        <f t="shared" si="4"/>
        <v>#VALUE!</v>
      </c>
      <c r="D123" s="15"/>
      <c r="E123" s="20">
        <f ca="1">IF(ISERROR(#REF!),TODAY(),#REF!)</f>
        <v>44557</v>
      </c>
      <c r="F123" s="15"/>
      <c r="G123" s="15"/>
      <c r="H123" s="21"/>
      <c r="I123" s="15"/>
      <c r="J123" s="15"/>
      <c r="K123" s="15"/>
      <c r="L123" s="15"/>
      <c r="M123" s="15"/>
      <c r="N123" s="15"/>
      <c r="O123" s="15"/>
      <c r="P123" s="15"/>
      <c r="Q123" s="15"/>
      <c r="R123" s="15"/>
      <c r="S123" s="15"/>
      <c r="T123" s="15"/>
      <c r="U123" s="15"/>
      <c r="V123" s="15"/>
      <c r="W123" s="15"/>
      <c r="X123" s="15"/>
      <c r="Y123" s="15"/>
      <c r="Z123" s="15"/>
    </row>
    <row r="124" spans="2:26" x14ac:dyDescent="0.25">
      <c r="B124" s="15" t="e">
        <f t="shared" si="2"/>
        <v>#VALUE!</v>
      </c>
      <c r="C124" s="15" t="e">
        <f t="shared" si="4"/>
        <v>#VALUE!</v>
      </c>
      <c r="D124" s="15"/>
      <c r="E124" s="20">
        <f ca="1">IF(ISERROR(#REF!),TODAY(),#REF!)</f>
        <v>44557</v>
      </c>
      <c r="F124" s="15"/>
      <c r="G124" s="15"/>
      <c r="H124" s="21"/>
      <c r="I124" s="15"/>
      <c r="J124" s="15"/>
      <c r="K124" s="15"/>
      <c r="L124" s="15"/>
      <c r="M124" s="15"/>
      <c r="N124" s="15"/>
      <c r="O124" s="15"/>
      <c r="P124" s="15"/>
      <c r="Q124" s="15"/>
      <c r="R124" s="15"/>
      <c r="S124" s="15"/>
      <c r="T124" s="15"/>
      <c r="U124" s="15"/>
      <c r="V124" s="15"/>
      <c r="W124" s="15"/>
      <c r="X124" s="15"/>
      <c r="Y124" s="15"/>
      <c r="Z124" s="15"/>
    </row>
    <row r="125" spans="2:26" x14ac:dyDescent="0.25">
      <c r="B125" s="15" t="e">
        <f t="shared" si="2"/>
        <v>#VALUE!</v>
      </c>
      <c r="C125" s="15" t="e">
        <f t="shared" si="4"/>
        <v>#VALUE!</v>
      </c>
      <c r="D125" s="15"/>
      <c r="E125" s="20">
        <f ca="1">IF(ISERROR(#REF!),TODAY(),#REF!)</f>
        <v>44557</v>
      </c>
      <c r="F125" s="15"/>
      <c r="G125" s="15"/>
      <c r="H125" s="21"/>
      <c r="I125" s="15"/>
      <c r="J125" s="15"/>
      <c r="K125" s="15"/>
      <c r="L125" s="15"/>
      <c r="M125" s="15"/>
      <c r="N125" s="15"/>
      <c r="O125" s="15"/>
      <c r="P125" s="15"/>
      <c r="Q125" s="15"/>
      <c r="R125" s="15"/>
      <c r="S125" s="15"/>
      <c r="T125" s="15"/>
      <c r="U125" s="15"/>
      <c r="V125" s="15"/>
      <c r="W125" s="15"/>
      <c r="X125" s="15"/>
      <c r="Y125" s="15"/>
      <c r="Z125" s="15"/>
    </row>
    <row r="126" spans="2:26" x14ac:dyDescent="0.25">
      <c r="B126" s="15" t="e">
        <f t="shared" si="2"/>
        <v>#VALUE!</v>
      </c>
      <c r="C126" s="15" t="e">
        <f t="shared" si="4"/>
        <v>#VALUE!</v>
      </c>
      <c r="D126" s="15"/>
      <c r="E126" s="20">
        <f ca="1">IF(ISERROR(#REF!),TODAY(),#REF!)</f>
        <v>44557</v>
      </c>
      <c r="F126" s="15"/>
      <c r="G126" s="15"/>
      <c r="H126" s="21"/>
      <c r="I126" s="15"/>
      <c r="J126" s="15"/>
      <c r="K126" s="15"/>
      <c r="L126" s="15"/>
      <c r="M126" s="15"/>
      <c r="N126" s="15"/>
      <c r="O126" s="15"/>
      <c r="P126" s="15"/>
      <c r="Q126" s="15"/>
      <c r="R126" s="15"/>
      <c r="S126" s="15"/>
      <c r="T126" s="15"/>
      <c r="U126" s="15"/>
      <c r="V126" s="15"/>
      <c r="W126" s="15"/>
      <c r="X126" s="15"/>
      <c r="Y126" s="15"/>
      <c r="Z126" s="15"/>
    </row>
    <row r="127" spans="2:26" x14ac:dyDescent="0.25">
      <c r="B127" s="15" t="e">
        <f t="shared" si="2"/>
        <v>#VALUE!</v>
      </c>
      <c r="C127" s="15" t="e">
        <f t="shared" si="4"/>
        <v>#VALUE!</v>
      </c>
      <c r="D127" s="15"/>
      <c r="E127" s="20">
        <f ca="1">IF(ISERROR(#REF!),TODAY(),#REF!)</f>
        <v>44557</v>
      </c>
      <c r="F127" s="15"/>
      <c r="G127" s="15"/>
      <c r="H127" s="21"/>
      <c r="I127" s="15"/>
      <c r="J127" s="15"/>
      <c r="K127" s="15"/>
      <c r="L127" s="15"/>
      <c r="M127" s="15"/>
      <c r="N127" s="15"/>
      <c r="O127" s="15"/>
      <c r="P127" s="15"/>
      <c r="Q127" s="15"/>
      <c r="R127" s="15"/>
      <c r="S127" s="15"/>
      <c r="T127" s="15"/>
      <c r="U127" s="15"/>
      <c r="V127" s="15"/>
      <c r="W127" s="15"/>
      <c r="X127" s="15"/>
      <c r="Y127" s="15"/>
      <c r="Z127" s="15"/>
    </row>
    <row r="128" spans="2:26" x14ac:dyDescent="0.25">
      <c r="B128" s="15" t="e">
        <f t="shared" si="2"/>
        <v>#VALUE!</v>
      </c>
      <c r="C128" s="15" t="e">
        <f t="shared" si="4"/>
        <v>#VALUE!</v>
      </c>
      <c r="D128" s="15"/>
      <c r="E128" s="20">
        <f ca="1">IF(ISERROR(#REF!),TODAY(),#REF!)</f>
        <v>44557</v>
      </c>
      <c r="F128" s="15"/>
      <c r="G128" s="15"/>
      <c r="H128" s="21"/>
      <c r="I128" s="15"/>
      <c r="J128" s="15"/>
      <c r="K128" s="15"/>
      <c r="L128" s="15"/>
      <c r="M128" s="15"/>
      <c r="N128" s="15"/>
      <c r="O128" s="15"/>
      <c r="P128" s="15"/>
      <c r="Q128" s="15"/>
      <c r="R128" s="15"/>
      <c r="S128" s="15"/>
      <c r="T128" s="15"/>
      <c r="U128" s="15"/>
      <c r="V128" s="15"/>
      <c r="W128" s="15"/>
      <c r="X128" s="15"/>
      <c r="Y128" s="15"/>
      <c r="Z128" s="15"/>
    </row>
    <row r="129" spans="2:26" x14ac:dyDescent="0.25">
      <c r="B129" s="15" t="e">
        <f t="shared" si="2"/>
        <v>#VALUE!</v>
      </c>
      <c r="C129" s="15" t="e">
        <f t="shared" si="4"/>
        <v>#VALUE!</v>
      </c>
      <c r="D129" s="15"/>
      <c r="E129" s="20">
        <f ca="1">IF(ISERROR(#REF!),TODAY(),#REF!)</f>
        <v>44557</v>
      </c>
      <c r="F129" s="15"/>
      <c r="G129" s="15"/>
      <c r="H129" s="21"/>
      <c r="I129" s="15"/>
      <c r="J129" s="15"/>
      <c r="K129" s="15"/>
      <c r="L129" s="15"/>
      <c r="M129" s="15"/>
      <c r="N129" s="15"/>
      <c r="O129" s="15"/>
      <c r="P129" s="15"/>
      <c r="Q129" s="15"/>
      <c r="R129" s="15"/>
      <c r="S129" s="15"/>
      <c r="T129" s="15"/>
      <c r="U129" s="15"/>
      <c r="V129" s="15"/>
      <c r="W129" s="15"/>
      <c r="X129" s="15"/>
      <c r="Y129" s="15"/>
      <c r="Z129" s="15"/>
    </row>
    <row r="130" spans="2:26" x14ac:dyDescent="0.25">
      <c r="B130" s="15" t="e">
        <f t="shared" ref="B130:B136" si="5" xml:space="preserve"> MID(A130,SEARCH(":",A130)+2,SEARCH(":",A130,SEARCH(":",A130)+1)-SEARCH(":",A130)-3)</f>
        <v>#VALUE!</v>
      </c>
      <c r="C130" s="15" t="e">
        <f t="shared" ref="C130:C136" si="6">"partner:"&amp;MID(A130,SEARCH(":",A130)+1,SEARCH(":",A130,SEARCH(":",A130)+1)-SEARCH(":",A130)-1)</f>
        <v>#VALUE!</v>
      </c>
      <c r="D130" s="15"/>
      <c r="E130" s="20">
        <f ca="1">IF(ISERROR(#REF!),TODAY(),#REF!)</f>
        <v>44557</v>
      </c>
      <c r="F130" s="15"/>
      <c r="G130" s="15"/>
      <c r="H130" s="21"/>
      <c r="I130" s="15"/>
      <c r="J130" s="15"/>
      <c r="K130" s="15"/>
      <c r="L130" s="15"/>
      <c r="M130" s="15"/>
      <c r="N130" s="15"/>
      <c r="O130" s="15"/>
      <c r="P130" s="15"/>
      <c r="Q130" s="15"/>
      <c r="R130" s="15"/>
      <c r="S130" s="15"/>
      <c r="T130" s="15"/>
      <c r="U130" s="15"/>
      <c r="V130" s="15"/>
      <c r="W130" s="15"/>
      <c r="X130" s="15"/>
      <c r="Y130" s="15"/>
      <c r="Z130" s="15"/>
    </row>
    <row r="131" spans="2:26" x14ac:dyDescent="0.25">
      <c r="B131" s="15" t="e">
        <f t="shared" si="5"/>
        <v>#VALUE!</v>
      </c>
      <c r="C131" s="15" t="e">
        <f t="shared" si="6"/>
        <v>#VALUE!</v>
      </c>
      <c r="D131" s="15"/>
      <c r="E131" s="20">
        <f ca="1">IF(ISERROR(#REF!),TODAY(),#REF!)</f>
        <v>44557</v>
      </c>
      <c r="F131" s="15"/>
      <c r="G131" s="15"/>
      <c r="H131" s="21"/>
      <c r="I131" s="15"/>
      <c r="J131" s="15"/>
      <c r="K131" s="15"/>
      <c r="L131" s="15"/>
      <c r="M131" s="15"/>
      <c r="N131" s="15"/>
      <c r="O131" s="15"/>
      <c r="P131" s="15"/>
      <c r="Q131" s="15"/>
      <c r="R131" s="15"/>
      <c r="S131" s="15"/>
      <c r="T131" s="15"/>
      <c r="U131" s="15"/>
      <c r="V131" s="15"/>
      <c r="W131" s="15"/>
      <c r="X131" s="15"/>
      <c r="Y131" s="15"/>
      <c r="Z131" s="15"/>
    </row>
    <row r="132" spans="2:26" x14ac:dyDescent="0.25">
      <c r="B132" s="15" t="e">
        <f t="shared" si="5"/>
        <v>#VALUE!</v>
      </c>
      <c r="C132" s="15" t="e">
        <f t="shared" si="6"/>
        <v>#VALUE!</v>
      </c>
      <c r="D132" s="15"/>
      <c r="E132" s="20">
        <f ca="1">IF(ISERROR(#REF!),TODAY(),#REF!)</f>
        <v>44557</v>
      </c>
      <c r="F132" s="15"/>
      <c r="G132" s="15"/>
      <c r="H132" s="21"/>
      <c r="I132" s="15"/>
      <c r="J132" s="15"/>
      <c r="K132" s="15"/>
      <c r="L132" s="15"/>
      <c r="M132" s="15"/>
      <c r="N132" s="15"/>
      <c r="O132" s="15"/>
      <c r="P132" s="15"/>
      <c r="Q132" s="15"/>
      <c r="R132" s="15"/>
      <c r="S132" s="15"/>
      <c r="T132" s="15"/>
      <c r="U132" s="15"/>
      <c r="V132" s="15"/>
      <c r="W132" s="15"/>
      <c r="X132" s="15"/>
      <c r="Y132" s="15"/>
      <c r="Z132" s="15"/>
    </row>
    <row r="133" spans="2:26" x14ac:dyDescent="0.25">
      <c r="B133" s="15" t="e">
        <f t="shared" si="5"/>
        <v>#VALUE!</v>
      </c>
      <c r="C133" s="15" t="e">
        <f t="shared" si="6"/>
        <v>#VALUE!</v>
      </c>
      <c r="D133" s="15"/>
      <c r="E133" s="20">
        <f ca="1">IF(ISERROR(#REF!),TODAY(),#REF!)</f>
        <v>44557</v>
      </c>
      <c r="F133" s="15"/>
      <c r="G133" s="15"/>
      <c r="H133" s="21"/>
      <c r="I133" s="15"/>
      <c r="J133" s="15"/>
      <c r="K133" s="15"/>
      <c r="L133" s="15"/>
      <c r="M133" s="15"/>
      <c r="N133" s="15"/>
      <c r="O133" s="15"/>
      <c r="P133" s="15"/>
      <c r="Q133" s="15"/>
      <c r="R133" s="15"/>
      <c r="S133" s="15"/>
      <c r="T133" s="15"/>
      <c r="U133" s="15"/>
      <c r="V133" s="15"/>
      <c r="W133" s="15"/>
      <c r="X133" s="15"/>
      <c r="Y133" s="15"/>
      <c r="Z133" s="15"/>
    </row>
    <row r="134" spans="2:26" x14ac:dyDescent="0.25">
      <c r="B134" s="15" t="e">
        <f t="shared" si="5"/>
        <v>#VALUE!</v>
      </c>
      <c r="C134" s="15" t="e">
        <f t="shared" si="6"/>
        <v>#VALUE!</v>
      </c>
      <c r="D134" s="15"/>
      <c r="E134" s="20">
        <f ca="1">IF(ISERROR(#REF!),TODAY(),#REF!)</f>
        <v>44557</v>
      </c>
      <c r="F134" s="15"/>
      <c r="G134" s="15"/>
      <c r="H134" s="21"/>
      <c r="I134" s="15"/>
      <c r="J134" s="15"/>
      <c r="K134" s="15"/>
      <c r="L134" s="15"/>
      <c r="M134" s="15"/>
      <c r="N134" s="15"/>
      <c r="O134" s="15"/>
      <c r="P134" s="15"/>
      <c r="Q134" s="15"/>
      <c r="R134" s="15"/>
      <c r="S134" s="15"/>
      <c r="T134" s="15"/>
      <c r="U134" s="15"/>
      <c r="V134" s="15"/>
      <c r="W134" s="15"/>
      <c r="X134" s="15"/>
      <c r="Y134" s="15"/>
      <c r="Z134" s="15"/>
    </row>
    <row r="135" spans="2:26" x14ac:dyDescent="0.25">
      <c r="B135" s="15" t="e">
        <f t="shared" si="5"/>
        <v>#VALUE!</v>
      </c>
      <c r="C135" s="15" t="e">
        <f t="shared" si="6"/>
        <v>#VALUE!</v>
      </c>
      <c r="D135" s="15"/>
      <c r="E135" s="20"/>
      <c r="F135" s="15"/>
      <c r="G135" s="15"/>
      <c r="H135" s="21"/>
      <c r="I135" s="15"/>
      <c r="J135" s="15"/>
      <c r="K135" s="15"/>
      <c r="L135" s="15"/>
      <c r="M135" s="15"/>
      <c r="N135" s="15"/>
      <c r="O135" s="15"/>
      <c r="P135" s="15"/>
      <c r="Q135" s="15"/>
      <c r="R135" s="15"/>
      <c r="S135" s="15"/>
      <c r="T135" s="15"/>
      <c r="U135" s="15"/>
      <c r="V135" s="15"/>
      <c r="W135" s="15"/>
      <c r="X135" s="15"/>
      <c r="Y135" s="15"/>
      <c r="Z135" s="15"/>
    </row>
    <row r="136" spans="2:26" x14ac:dyDescent="0.25">
      <c r="B136" s="15" t="e">
        <f t="shared" si="5"/>
        <v>#VALUE!</v>
      </c>
      <c r="C136" s="15" t="e">
        <f t="shared" si="6"/>
        <v>#VALUE!</v>
      </c>
      <c r="D136" s="15"/>
      <c r="E136" s="20"/>
      <c r="F136" s="15"/>
      <c r="G136" s="15"/>
      <c r="H136" s="21"/>
      <c r="I136" s="15"/>
      <c r="J136" s="15"/>
      <c r="K136" s="15"/>
      <c r="L136" s="15"/>
      <c r="M136" s="15"/>
      <c r="N136" s="15"/>
      <c r="O136" s="15"/>
      <c r="P136" s="15"/>
      <c r="Q136" s="15"/>
      <c r="R136" s="15"/>
      <c r="S136" s="15"/>
      <c r="T136" s="15"/>
      <c r="U136" s="15"/>
      <c r="V136" s="15"/>
      <c r="W136" s="15"/>
      <c r="X136" s="15"/>
      <c r="Y136" s="15"/>
      <c r="Z136" s="15"/>
    </row>
  </sheetData>
  <conditionalFormatting sqref="G137:G1048576 E1:E136">
    <cfRule type="expression" dxfId="66" priority="2">
      <formula>TODAY()-E1&gt;=7</formula>
    </cfRule>
    <cfRule type="expression" dxfId="65" priority="3">
      <formula>TODAY()-E1&gt;=5</formula>
    </cfRule>
    <cfRule type="expression" dxfId="64" priority="4">
      <formula>TODAY()-E1&gt;=3</formula>
    </cfRule>
  </conditionalFormatting>
  <conditionalFormatting sqref="D1:D1048576">
    <cfRule type="expression" dxfId="63" priority="1">
      <formula>ISBLANK(D1)</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Z136"/>
  <sheetViews>
    <sheetView topLeftCell="A7" zoomScaleNormal="100" workbookViewId="0">
      <selection activeCell="A4" sqref="A4"/>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customWidth="1"/>
    <col min="6" max="6" width="2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6" s="9" customFormat="1" ht="29.25" customHeight="1" thickTop="1" thickBot="1" x14ac:dyDescent="0.3">
      <c r="A1" s="1" t="s">
        <v>11</v>
      </c>
      <c r="B1" s="1" t="s">
        <v>30</v>
      </c>
      <c r="C1" s="1" t="s">
        <v>103</v>
      </c>
      <c r="D1" s="15" t="s">
        <v>26</v>
      </c>
      <c r="E1" s="6" t="s">
        <v>12</v>
      </c>
      <c r="F1" s="1" t="s">
        <v>13</v>
      </c>
      <c r="G1" s="1" t="s">
        <v>14</v>
      </c>
      <c r="H1" s="10" t="s">
        <v>23</v>
      </c>
      <c r="I1" s="1" t="s">
        <v>19</v>
      </c>
      <c r="J1" s="1" t="s">
        <v>20</v>
      </c>
      <c r="K1" s="1" t="s">
        <v>21</v>
      </c>
      <c r="L1" s="1" t="s">
        <v>22</v>
      </c>
      <c r="M1" s="1" t="s">
        <v>0</v>
      </c>
      <c r="N1" s="8" t="s">
        <v>1</v>
      </c>
      <c r="O1" s="8" t="s">
        <v>2</v>
      </c>
      <c r="P1" s="8" t="s">
        <v>3</v>
      </c>
      <c r="Q1" s="9" t="s">
        <v>4</v>
      </c>
      <c r="R1" s="9" t="s">
        <v>5</v>
      </c>
      <c r="S1" s="9" t="s">
        <v>6</v>
      </c>
      <c r="T1" s="9" t="s">
        <v>7</v>
      </c>
      <c r="U1" s="9" t="s">
        <v>8</v>
      </c>
      <c r="V1" s="9" t="s">
        <v>9</v>
      </c>
      <c r="W1" s="9" t="s">
        <v>10</v>
      </c>
      <c r="X1" s="9" t="s">
        <v>15</v>
      </c>
      <c r="Y1" s="9" t="s">
        <v>16</v>
      </c>
      <c r="Z1" s="9" t="s">
        <v>17</v>
      </c>
    </row>
    <row r="2" spans="1:26" ht="15.75" thickTop="1" x14ac:dyDescent="0.25">
      <c r="A2" t="s">
        <v>69</v>
      </c>
      <c r="C2" t="str">
        <f t="shared" ref="C2:C33" si="0" xml:space="preserve"> MID(A2,SEARCH(":",A2)+2,SEARCH(":",A2,SEARCH(":",A2)+1)-SEARCH(":",A2)-3)</f>
        <v>Full Compass</v>
      </c>
      <c r="D2" t="str">
        <f>"partner:"&amp;MID(A2,SEARCH(":",A2)+1,SEARCH(":",A2,SEARCH(":",A2)+1)-SEARCH(":",A2)-1)</f>
        <v xml:space="preserve">partner: Full Compass </v>
      </c>
      <c r="E2" s="38" t="e">
        <f>DATEVALUE(SUBSTITUTE(LEFT(#REF!,SEARCH(" ",#REF!)-1),".","/"))</f>
        <v>#REF!</v>
      </c>
      <c r="F2" t="s">
        <v>78</v>
      </c>
      <c r="G2"/>
      <c r="I2"/>
      <c r="J2"/>
      <c r="K2"/>
    </row>
    <row r="3" spans="1:26" ht="90" x14ac:dyDescent="0.25">
      <c r="A3" s="27" t="s">
        <v>36</v>
      </c>
      <c r="B3" s="15" t="str">
        <f t="shared" ref="B3:B65" si="1" xml:space="preserve"> MID(A3,SEARCH(":",A3)+2,SEARCH(":",A3,SEARCH(":",A3)+1)-SEARCH(":",A3)-3)</f>
        <v>Raynor Gaming</v>
      </c>
      <c r="C3" s="15" t="str">
        <f t="shared" si="0"/>
        <v>Raynor Gaming</v>
      </c>
      <c r="D3" s="1" t="s">
        <v>102</v>
      </c>
      <c r="E3" s="20">
        <f ca="1">IF(ISERROR(#REF!),TODAY(),#REF!)</f>
        <v>44557</v>
      </c>
      <c r="F3" s="15" t="s">
        <v>37</v>
      </c>
      <c r="G3" s="15"/>
      <c r="H3" s="21"/>
      <c r="I3" s="15"/>
      <c r="J3" s="15"/>
      <c r="K3" s="15"/>
      <c r="L3" s="15"/>
      <c r="M3" s="15"/>
      <c r="N3" s="15"/>
      <c r="O3" s="15"/>
      <c r="P3" s="15"/>
      <c r="Q3" s="15"/>
      <c r="R3" s="15"/>
      <c r="S3" s="15"/>
      <c r="T3" s="15"/>
      <c r="U3" s="15"/>
      <c r="V3" s="15"/>
      <c r="W3" s="15"/>
      <c r="X3" s="15"/>
      <c r="Y3" s="15"/>
      <c r="Z3" s="15"/>
    </row>
    <row r="4" spans="1:26" ht="75" x14ac:dyDescent="0.25">
      <c r="A4" s="35" t="s">
        <v>38</v>
      </c>
      <c r="B4" s="16" t="str">
        <f t="shared" si="1"/>
        <v>C2wireless SPS Vendor</v>
      </c>
      <c r="C4" s="15" t="str">
        <f t="shared" si="0"/>
        <v>C2wireless SPS Vendor</v>
      </c>
      <c r="D4" s="1" t="s">
        <v>82</v>
      </c>
      <c r="E4" s="20">
        <f ca="1">IF(ISERROR(#REF!),TODAY(),#REF!)</f>
        <v>44557</v>
      </c>
      <c r="F4" s="15" t="s">
        <v>39</v>
      </c>
      <c r="G4" s="15"/>
      <c r="H4" s="21"/>
      <c r="I4" s="15"/>
      <c r="J4" s="15"/>
      <c r="K4" s="15"/>
      <c r="L4" s="15"/>
      <c r="M4" s="15"/>
      <c r="N4" s="15"/>
      <c r="O4" s="15"/>
      <c r="P4" s="15"/>
      <c r="Q4" s="15"/>
      <c r="R4" s="15"/>
      <c r="S4" s="15"/>
      <c r="T4" s="15"/>
      <c r="U4" s="15"/>
      <c r="V4" s="15"/>
      <c r="W4" s="15"/>
      <c r="X4" s="15"/>
      <c r="Y4" s="15"/>
      <c r="Z4" s="15"/>
    </row>
    <row r="5" spans="1:26" s="1" customFormat="1" ht="30" x14ac:dyDescent="0.25">
      <c r="A5" s="30" t="s">
        <v>68</v>
      </c>
      <c r="B5" s="15" t="str">
        <f t="shared" si="1"/>
        <v>Cameron Ashley Building Products, Inc.</v>
      </c>
      <c r="C5" s="15" t="str">
        <f t="shared" si="0"/>
        <v>Cameron Ashley Building Products, Inc.</v>
      </c>
      <c r="D5" s="1" t="s">
        <v>89</v>
      </c>
      <c r="E5" s="20">
        <f ca="1">IF(ISERROR(#REF!),TODAY(),#REF!)</f>
        <v>44557</v>
      </c>
      <c r="F5" t="s">
        <v>33</v>
      </c>
      <c r="G5" s="15"/>
      <c r="H5" s="21"/>
      <c r="I5" s="15"/>
      <c r="J5" s="15"/>
      <c r="K5" s="15"/>
      <c r="L5" s="15"/>
      <c r="M5" s="15"/>
      <c r="N5" s="15"/>
      <c r="O5" s="15"/>
      <c r="P5" s="15"/>
      <c r="Q5" s="15"/>
      <c r="R5" s="15"/>
      <c r="S5" s="15"/>
      <c r="T5" s="15"/>
      <c r="U5" s="15"/>
      <c r="V5" s="15"/>
      <c r="W5" s="15"/>
      <c r="X5" s="15"/>
      <c r="Y5" s="15"/>
      <c r="Z5" s="15"/>
    </row>
    <row r="6" spans="1:26" x14ac:dyDescent="0.25">
      <c r="A6" s="34" t="s">
        <v>66</v>
      </c>
      <c r="B6" s="15" t="str">
        <f t="shared" si="1"/>
        <v>CJ Pony Parts - File Partner</v>
      </c>
      <c r="C6" s="15" t="str">
        <f t="shared" si="0"/>
        <v>CJ Pony Parts - File Partner</v>
      </c>
      <c r="D6" s="15" t="s">
        <v>90</v>
      </c>
      <c r="E6" s="20">
        <f ca="1">IF(ISERROR(#REF!),TODAY(),#REF!)</f>
        <v>44557</v>
      </c>
      <c r="F6" t="s">
        <v>76</v>
      </c>
      <c r="G6" s="15"/>
      <c r="H6" s="21"/>
      <c r="I6" s="15"/>
      <c r="J6" s="15"/>
      <c r="K6" s="15"/>
      <c r="L6" s="15"/>
      <c r="M6" s="15"/>
      <c r="N6" s="15"/>
      <c r="O6" s="15"/>
      <c r="P6" s="15"/>
      <c r="Q6" s="15"/>
      <c r="R6" s="15"/>
      <c r="S6" s="15"/>
      <c r="T6" s="15"/>
      <c r="U6" s="15"/>
      <c r="V6" s="15"/>
      <c r="W6" s="15"/>
      <c r="X6" s="15"/>
      <c r="Y6" s="15"/>
      <c r="Z6" s="15"/>
    </row>
    <row r="7" spans="1:26" s="13" customFormat="1" ht="30.75" thickBot="1" x14ac:dyDescent="0.3">
      <c r="A7" s="34" t="s">
        <v>59</v>
      </c>
      <c r="B7" s="15" t="str">
        <f t="shared" si="1"/>
        <v>Coborn's Central Support Pharmacy</v>
      </c>
      <c r="C7" s="15" t="str">
        <f t="shared" si="0"/>
        <v>Coborn's Central Support Pharmacy</v>
      </c>
      <c r="D7" s="1" t="s">
        <v>91</v>
      </c>
      <c r="E7" s="20">
        <f ca="1">IF(ISERROR(#REF!),TODAY(),#REF!)</f>
        <v>44557</v>
      </c>
      <c r="F7" t="s">
        <v>33</v>
      </c>
      <c r="G7" s="15"/>
      <c r="H7" s="21"/>
      <c r="I7" s="15"/>
      <c r="J7" s="15"/>
      <c r="K7" s="15"/>
      <c r="L7" s="15"/>
      <c r="M7" s="15"/>
      <c r="N7" s="15"/>
      <c r="O7" s="15"/>
      <c r="P7" s="15"/>
      <c r="Q7" s="15"/>
      <c r="R7" s="15"/>
      <c r="S7" s="15"/>
      <c r="T7" s="15"/>
      <c r="U7" s="15"/>
      <c r="V7" s="15"/>
      <c r="W7" s="15"/>
      <c r="X7" s="15"/>
      <c r="Y7" s="15"/>
      <c r="Z7" s="15"/>
    </row>
    <row r="8" spans="1:26" s="5" customFormat="1" ht="150" x14ac:dyDescent="0.25">
      <c r="A8" s="28" t="s">
        <v>31</v>
      </c>
      <c r="B8" s="16" t="str">
        <f t="shared" si="1"/>
        <v>Cosma - Bowling Green Metalforming</v>
      </c>
      <c r="C8" s="16" t="str">
        <f t="shared" si="0"/>
        <v>Cosma - Bowling Green Metalforming</v>
      </c>
      <c r="D8" s="25" t="s">
        <v>83</v>
      </c>
      <c r="E8" s="20">
        <f ca="1">IF(ISERROR(#REF!),TODAY(),#REF!)</f>
        <v>44557</v>
      </c>
      <c r="F8" s="16" t="s">
        <v>32</v>
      </c>
      <c r="G8" s="16"/>
      <c r="H8" s="22"/>
      <c r="I8" s="16"/>
      <c r="J8" s="16"/>
      <c r="K8" s="16"/>
      <c r="L8" s="16"/>
      <c r="M8" s="16"/>
      <c r="N8" s="16"/>
      <c r="O8" s="16"/>
      <c r="P8" s="16"/>
      <c r="Q8" s="16"/>
      <c r="R8" s="16"/>
      <c r="S8" s="16"/>
      <c r="T8" s="16"/>
      <c r="U8" s="16"/>
      <c r="V8" s="16"/>
      <c r="W8" s="16"/>
      <c r="X8" s="16"/>
      <c r="Y8" s="16"/>
      <c r="Z8" s="16"/>
    </row>
    <row r="9" spans="1:26" x14ac:dyDescent="0.25">
      <c r="A9" s="32" t="s">
        <v>69</v>
      </c>
      <c r="B9" s="15" t="str">
        <f t="shared" si="1"/>
        <v>Full Compass</v>
      </c>
      <c r="C9" s="15" t="str">
        <f t="shared" si="0"/>
        <v>Full Compass</v>
      </c>
      <c r="D9" s="15" t="s">
        <v>90</v>
      </c>
      <c r="E9" s="20">
        <f ca="1">IF(ISERROR(#REF!),TODAY(),#REF!)</f>
        <v>44557</v>
      </c>
      <c r="F9" t="s">
        <v>78</v>
      </c>
      <c r="G9" s="15"/>
      <c r="H9" s="21"/>
      <c r="I9" s="15"/>
      <c r="J9" s="15"/>
      <c r="K9" s="15"/>
      <c r="L9" s="15"/>
      <c r="M9" s="15"/>
      <c r="N9" s="15"/>
      <c r="O9" s="15"/>
      <c r="P9" s="15"/>
      <c r="Q9" s="15"/>
      <c r="R9" s="15"/>
      <c r="S9" s="15"/>
      <c r="T9" s="15"/>
      <c r="U9" s="15"/>
      <c r="V9" s="15"/>
      <c r="W9" s="15"/>
      <c r="X9" s="15"/>
      <c r="Y9" s="15"/>
      <c r="Z9" s="15"/>
    </row>
    <row r="10" spans="1:26" s="18" customFormat="1" ht="60" x14ac:dyDescent="0.25">
      <c r="A10" s="27" t="s">
        <v>40</v>
      </c>
      <c r="B10" s="16" t="str">
        <f t="shared" si="1"/>
        <v>Herregan Distributors Inc.</v>
      </c>
      <c r="C10" s="15" t="str">
        <f t="shared" si="0"/>
        <v>Herregan Distributors Inc.</v>
      </c>
      <c r="D10" s="1" t="s">
        <v>84</v>
      </c>
      <c r="E10" s="20">
        <f ca="1">IF(ISERROR(#REF!),TODAY(),#REF!)</f>
        <v>44557</v>
      </c>
      <c r="F10" s="15" t="s">
        <v>49</v>
      </c>
      <c r="G10" s="15"/>
      <c r="H10" s="21"/>
      <c r="I10" s="15"/>
      <c r="J10" s="15"/>
      <c r="K10" s="15"/>
      <c r="L10" s="15"/>
      <c r="M10" s="15"/>
      <c r="N10" s="15"/>
      <c r="O10" s="15"/>
      <c r="P10" s="15"/>
      <c r="Q10" s="15"/>
      <c r="R10" s="15"/>
      <c r="S10" s="15"/>
      <c r="T10" s="15"/>
      <c r="U10" s="15"/>
      <c r="V10" s="15"/>
      <c r="W10" s="15"/>
      <c r="X10" s="15"/>
      <c r="Y10" s="15"/>
      <c r="Z10" s="15"/>
    </row>
    <row r="11" spans="1:26" ht="30" x14ac:dyDescent="0.25">
      <c r="A11" s="34" t="s">
        <v>57</v>
      </c>
      <c r="B11" s="15" t="str">
        <f t="shared" si="1"/>
        <v>Home Depot Pro</v>
      </c>
      <c r="C11" s="15" t="str">
        <f t="shared" si="0"/>
        <v>Home Depot Pro</v>
      </c>
      <c r="D11" s="1" t="s">
        <v>85</v>
      </c>
      <c r="E11" s="20">
        <f ca="1">IF(ISERROR(#REF!),TODAY(),#REF!)</f>
        <v>44557</v>
      </c>
      <c r="F11" s="15"/>
      <c r="G11" s="15"/>
      <c r="H11" s="21"/>
      <c r="I11" s="15"/>
      <c r="J11" s="15"/>
      <c r="K11" s="15"/>
      <c r="L11" s="15"/>
      <c r="M11" s="15"/>
      <c r="N11" s="15"/>
      <c r="O11" s="15"/>
      <c r="P11" s="15"/>
      <c r="Q11" s="15"/>
      <c r="R11" s="15"/>
      <c r="S11" s="15"/>
      <c r="T11" s="15"/>
      <c r="U11" s="15"/>
      <c r="V11" s="15"/>
      <c r="W11" s="15"/>
      <c r="X11" s="15"/>
      <c r="Y11" s="15"/>
      <c r="Z11" s="15"/>
    </row>
    <row r="12" spans="1:26" s="1" customFormat="1" x14ac:dyDescent="0.25">
      <c r="A12" s="34" t="s">
        <v>61</v>
      </c>
      <c r="B12" s="15" t="str">
        <f t="shared" si="1"/>
        <v>Magna Closures</v>
      </c>
      <c r="C12" s="15" t="str">
        <f t="shared" si="0"/>
        <v>Magna Closures</v>
      </c>
      <c r="D12" s="15" t="s">
        <v>90</v>
      </c>
      <c r="E12" s="20">
        <f ca="1">IF(ISERROR(#REF!),TODAY(),#REF!)</f>
        <v>44557</v>
      </c>
      <c r="F12" t="s">
        <v>74</v>
      </c>
      <c r="G12" s="15"/>
      <c r="H12" s="21"/>
      <c r="I12" s="15"/>
      <c r="J12" s="15"/>
      <c r="K12" s="15"/>
      <c r="L12" s="15"/>
      <c r="M12" s="15"/>
      <c r="N12" s="15"/>
      <c r="O12" s="15"/>
      <c r="P12" s="15"/>
      <c r="Q12" s="15"/>
      <c r="R12" s="15"/>
      <c r="S12" s="15"/>
      <c r="T12" s="15"/>
      <c r="U12" s="15"/>
      <c r="V12" s="15"/>
      <c r="W12" s="15"/>
      <c r="X12" s="15"/>
      <c r="Y12" s="15"/>
      <c r="Z12" s="15"/>
    </row>
    <row r="13" spans="1:26" x14ac:dyDescent="0.25">
      <c r="A13" s="34" t="s">
        <v>71</v>
      </c>
      <c r="B13" s="15" t="str">
        <f t="shared" si="1"/>
        <v>Peg Perego</v>
      </c>
      <c r="C13" s="15" t="str">
        <f t="shared" si="0"/>
        <v>Peg Perego</v>
      </c>
      <c r="D13" s="15" t="s">
        <v>90</v>
      </c>
      <c r="E13" s="20">
        <f ca="1">IF(ISERROR(#REF!),TODAY(),#REF!)</f>
        <v>44557</v>
      </c>
      <c r="F13" t="s">
        <v>80</v>
      </c>
      <c r="G13" s="15"/>
      <c r="H13" s="21"/>
      <c r="I13" s="15"/>
      <c r="J13" s="15"/>
      <c r="K13" s="15"/>
      <c r="L13" s="15"/>
      <c r="M13" s="15"/>
      <c r="N13" s="15"/>
      <c r="O13" s="15"/>
      <c r="P13" s="15"/>
      <c r="Q13" s="15"/>
      <c r="R13" s="15"/>
      <c r="S13" s="15"/>
      <c r="T13" s="15"/>
      <c r="U13" s="15"/>
      <c r="V13" s="15"/>
      <c r="W13" s="15"/>
      <c r="X13" s="15"/>
      <c r="Y13" s="15"/>
      <c r="Z13" s="15"/>
    </row>
    <row r="14" spans="1:26" x14ac:dyDescent="0.25">
      <c r="A14" s="34" t="s">
        <v>67</v>
      </c>
      <c r="B14" s="15" t="str">
        <f t="shared" si="1"/>
        <v>Quadratec Vendor</v>
      </c>
      <c r="C14" s="15" t="str">
        <f t="shared" si="0"/>
        <v>Quadratec Vendor</v>
      </c>
      <c r="D14" s="15" t="s">
        <v>90</v>
      </c>
      <c r="E14" s="20">
        <f ca="1">IF(ISERROR(#REF!),TODAY(),#REF!)</f>
        <v>44557</v>
      </c>
      <c r="F14" t="s">
        <v>77</v>
      </c>
      <c r="G14" s="15"/>
      <c r="H14" s="21"/>
      <c r="I14" s="15"/>
      <c r="J14" s="15"/>
      <c r="K14" s="15"/>
      <c r="L14" s="15"/>
      <c r="M14" s="15"/>
      <c r="N14" s="15"/>
      <c r="O14" s="15"/>
      <c r="P14" s="15"/>
      <c r="Q14" s="15"/>
      <c r="R14" s="15"/>
      <c r="S14" s="15"/>
      <c r="T14" s="15"/>
      <c r="U14" s="15"/>
      <c r="V14" s="15"/>
      <c r="W14" s="15"/>
      <c r="X14" s="15"/>
      <c r="Y14" s="15"/>
      <c r="Z14" s="15"/>
    </row>
    <row r="15" spans="1:26" x14ac:dyDescent="0.25">
      <c r="A15" s="33" t="s">
        <v>65</v>
      </c>
      <c r="B15" s="15" t="str">
        <f t="shared" si="1"/>
        <v>Thoroughbred Diesel</v>
      </c>
      <c r="C15" s="15" t="str">
        <f t="shared" si="0"/>
        <v>Thoroughbred Diesel</v>
      </c>
      <c r="D15" s="15" t="s">
        <v>90</v>
      </c>
      <c r="E15" s="20">
        <f ca="1">IF(ISERROR(#REF!),TODAY(),#REF!)</f>
        <v>44557</v>
      </c>
      <c r="F15" t="s">
        <v>75</v>
      </c>
      <c r="G15" s="15"/>
      <c r="H15" s="21"/>
      <c r="I15" s="15"/>
      <c r="J15" s="15"/>
      <c r="K15" s="15"/>
      <c r="L15" s="15"/>
      <c r="M15" s="15"/>
      <c r="N15" s="15"/>
      <c r="O15" s="15"/>
      <c r="P15" s="15"/>
      <c r="Q15" s="15"/>
      <c r="R15" s="15"/>
      <c r="S15" s="15"/>
      <c r="T15" s="15"/>
      <c r="U15" s="15"/>
      <c r="V15" s="15"/>
      <c r="W15" s="15"/>
      <c r="X15" s="15"/>
      <c r="Y15" s="15"/>
      <c r="Z15" s="15"/>
    </row>
    <row r="16" spans="1:26" s="19" customFormat="1" ht="45" x14ac:dyDescent="0.25">
      <c r="A16" s="27" t="s">
        <v>42</v>
      </c>
      <c r="B16" s="16" t="str">
        <f t="shared" si="1"/>
        <v>Tower Automotive - Bellevue</v>
      </c>
      <c r="C16" s="15" t="str">
        <f t="shared" si="0"/>
        <v>Tower Automotive - Bellevue</v>
      </c>
      <c r="D16" s="1" t="s">
        <v>86</v>
      </c>
      <c r="E16" s="20">
        <f ca="1">IF(ISERROR(#REF!),TODAY(),#REF!)</f>
        <v>44557</v>
      </c>
      <c r="F16" s="15" t="s">
        <v>52</v>
      </c>
      <c r="G16" s="15"/>
      <c r="H16" s="21"/>
      <c r="I16" s="15"/>
      <c r="J16" s="15"/>
      <c r="K16" s="15"/>
      <c r="L16" s="15"/>
      <c r="M16" s="15"/>
      <c r="N16" s="15"/>
      <c r="O16" s="15"/>
      <c r="P16" s="15"/>
      <c r="Q16" s="15"/>
      <c r="R16" s="15"/>
      <c r="S16" s="15"/>
      <c r="T16" s="15"/>
      <c r="U16" s="15"/>
      <c r="V16" s="15"/>
      <c r="W16" s="15"/>
      <c r="X16" s="15"/>
      <c r="Y16" s="15"/>
      <c r="Z16" s="15"/>
    </row>
    <row r="17" spans="1:26" ht="150.75" thickBot="1" x14ac:dyDescent="0.3">
      <c r="A17" s="27" t="s">
        <v>29</v>
      </c>
      <c r="B17" s="16" t="str">
        <f t="shared" si="1"/>
        <v>Trenton Cold Storage</v>
      </c>
      <c r="C17" s="16" t="str">
        <f t="shared" si="0"/>
        <v>Trenton Cold Storage</v>
      </c>
      <c r="D17" s="25" t="s">
        <v>88</v>
      </c>
      <c r="E17" s="20">
        <f ca="1">IF(ISERROR(#REF!),TODAY(),#REF!)</f>
        <v>44557</v>
      </c>
      <c r="F17" s="16"/>
      <c r="G17" s="16"/>
      <c r="H17" s="22"/>
      <c r="I17" s="16"/>
      <c r="J17" s="16"/>
      <c r="K17" s="16"/>
      <c r="L17" s="16"/>
      <c r="M17" s="16"/>
      <c r="N17" s="16"/>
      <c r="O17" s="16"/>
      <c r="P17" s="16"/>
      <c r="Q17" s="16"/>
      <c r="R17" s="16"/>
      <c r="S17" s="16"/>
      <c r="T17" s="16"/>
      <c r="U17" s="16"/>
      <c r="V17" s="16"/>
      <c r="W17" s="16"/>
      <c r="X17" s="16"/>
      <c r="Y17" s="16"/>
      <c r="Z17" s="16"/>
    </row>
    <row r="18" spans="1:26" s="4" customFormat="1" x14ac:dyDescent="0.25">
      <c r="A18" s="31" t="s">
        <v>70</v>
      </c>
      <c r="B18" s="15" t="str">
        <f t="shared" si="1"/>
        <v>Uppa Baby</v>
      </c>
      <c r="C18" s="15" t="str">
        <f t="shared" si="0"/>
        <v>Uppa Baby</v>
      </c>
      <c r="D18" s="15" t="s">
        <v>90</v>
      </c>
      <c r="E18" s="20">
        <f ca="1">IF(ISERROR(#REF!),TODAY(),#REF!)</f>
        <v>44557</v>
      </c>
      <c r="F18" t="s">
        <v>79</v>
      </c>
      <c r="G18" s="15"/>
      <c r="H18" s="21"/>
      <c r="I18" s="15"/>
      <c r="J18" s="15"/>
      <c r="K18" s="15"/>
      <c r="L18" s="15"/>
      <c r="M18" s="15"/>
      <c r="N18" s="15"/>
      <c r="O18" s="15"/>
      <c r="P18" s="15"/>
      <c r="Q18" s="15"/>
      <c r="R18" s="15"/>
      <c r="S18" s="15"/>
      <c r="T18" s="15"/>
      <c r="U18" s="15"/>
      <c r="V18" s="15"/>
      <c r="W18" s="15"/>
      <c r="X18" s="15"/>
      <c r="Y18" s="15"/>
      <c r="Z18" s="15"/>
    </row>
    <row r="19" spans="1:26" s="4" customFormat="1" ht="45" x14ac:dyDescent="0.25">
      <c r="A19" s="35" t="s">
        <v>46</v>
      </c>
      <c r="B19" s="16" t="str">
        <f t="shared" si="1"/>
        <v>Valley Bakers</v>
      </c>
      <c r="C19" s="15" t="str">
        <f t="shared" si="0"/>
        <v>Valley Bakers</v>
      </c>
      <c r="D19" s="1" t="s">
        <v>87</v>
      </c>
      <c r="E19" s="20">
        <f ca="1">IF(ISERROR(#REF!),TODAY(),#REF!)</f>
        <v>44557</v>
      </c>
      <c r="F19" s="15" t="s">
        <v>54</v>
      </c>
      <c r="G19" s="15"/>
      <c r="H19" s="21"/>
      <c r="I19" s="15"/>
      <c r="J19" s="15"/>
      <c r="K19" s="15"/>
      <c r="L19" s="15"/>
      <c r="M19" s="15"/>
      <c r="N19" s="15"/>
      <c r="O19" s="15"/>
      <c r="P19" s="15"/>
      <c r="Q19" s="15"/>
      <c r="R19" s="15"/>
      <c r="S19" s="15"/>
      <c r="T19" s="15"/>
      <c r="U19" s="15"/>
      <c r="V19" s="15"/>
      <c r="W19" s="15"/>
      <c r="X19" s="15"/>
      <c r="Y19" s="15"/>
      <c r="Z19" s="15"/>
    </row>
    <row r="20" spans="1:26" s="4" customFormat="1" x14ac:dyDescent="0.25">
      <c r="A20" s="34" t="s">
        <v>60</v>
      </c>
      <c r="B20" s="15" t="str">
        <f t="shared" si="1"/>
        <v>Windsor Modules</v>
      </c>
      <c r="C20" s="15" t="str">
        <f t="shared" si="0"/>
        <v>Windsor Modules</v>
      </c>
      <c r="D20" s="15" t="s">
        <v>90</v>
      </c>
      <c r="E20" s="20">
        <f ca="1">IF(ISERROR(#REF!),TODAY(),#REF!)</f>
        <v>44557</v>
      </c>
      <c r="F20" t="s">
        <v>73</v>
      </c>
      <c r="G20" s="15"/>
      <c r="H20" s="21"/>
      <c r="I20" s="15"/>
      <c r="J20" s="15"/>
      <c r="K20" s="15"/>
      <c r="L20" s="15"/>
      <c r="M20" s="15"/>
      <c r="N20" s="15"/>
      <c r="O20" s="15"/>
      <c r="P20" s="15"/>
      <c r="Q20" s="15"/>
      <c r="R20" s="15"/>
      <c r="S20" s="15"/>
      <c r="T20" s="15"/>
      <c r="U20" s="15"/>
      <c r="V20" s="15"/>
      <c r="W20" s="15"/>
      <c r="X20" s="15"/>
      <c r="Y20" s="15"/>
      <c r="Z20" s="15"/>
    </row>
    <row r="21" spans="1:26" s="24" customFormat="1" x14ac:dyDescent="0.25">
      <c r="A21" s="33" t="s">
        <v>92</v>
      </c>
      <c r="B21" s="15" t="str">
        <f t="shared" si="1"/>
        <v>Cymbio</v>
      </c>
      <c r="C21" s="15" t="str">
        <f t="shared" si="0"/>
        <v>Cymbio</v>
      </c>
      <c r="D21" s="15" t="s">
        <v>90</v>
      </c>
      <c r="E21" s="20">
        <f ca="1">IF(ISERROR(#REF!),TODAY(),#REF!)</f>
        <v>44557</v>
      </c>
      <c r="F21" s="15"/>
      <c r="G21" s="15"/>
      <c r="H21" s="21"/>
      <c r="I21" s="15"/>
      <c r="J21" s="15"/>
      <c r="K21" s="15"/>
      <c r="L21" s="15"/>
      <c r="M21" s="15"/>
      <c r="N21" s="15"/>
      <c r="O21" s="15"/>
      <c r="P21" s="15"/>
      <c r="Q21" s="15"/>
      <c r="R21" s="15"/>
      <c r="S21" s="15"/>
      <c r="T21" s="15"/>
      <c r="U21" s="15"/>
      <c r="V21" s="15"/>
      <c r="W21" s="15"/>
      <c r="X21" s="15"/>
      <c r="Y21" s="15"/>
      <c r="Z21" s="15"/>
    </row>
    <row r="22" spans="1:26" s="23" customFormat="1" ht="60" x14ac:dyDescent="0.25">
      <c r="A22" s="27" t="s">
        <v>45</v>
      </c>
      <c r="B22" s="16" t="str">
        <f t="shared" si="1"/>
        <v>Georges Music XML</v>
      </c>
      <c r="C22" s="15" t="str">
        <f t="shared" si="0"/>
        <v>Georges Music XML</v>
      </c>
      <c r="D22" s="1" t="s">
        <v>97</v>
      </c>
      <c r="E22" s="20">
        <f ca="1">IF(ISERROR(#REF!),TODAY(),#REF!)</f>
        <v>44557</v>
      </c>
      <c r="F22" s="15" t="s">
        <v>33</v>
      </c>
      <c r="G22" s="15"/>
      <c r="H22" s="21"/>
      <c r="I22" s="15"/>
      <c r="J22" s="15"/>
      <c r="K22" s="15"/>
      <c r="L22" s="15"/>
      <c r="M22" s="15"/>
      <c r="N22" s="15"/>
      <c r="O22" s="15"/>
      <c r="P22" s="15"/>
      <c r="Q22" s="15"/>
      <c r="R22" s="15"/>
      <c r="S22" s="15"/>
      <c r="T22" s="15"/>
      <c r="U22" s="15"/>
      <c r="V22" s="15"/>
      <c r="W22" s="15"/>
      <c r="X22" s="15"/>
      <c r="Y22" s="15"/>
      <c r="Z22" s="15"/>
    </row>
    <row r="23" spans="1:26" ht="30" x14ac:dyDescent="0.25">
      <c r="A23" s="34" t="s">
        <v>63</v>
      </c>
      <c r="B23" s="15" t="str">
        <f t="shared" si="1"/>
        <v>Lear Montgomery AL</v>
      </c>
      <c r="C23" s="15" t="str">
        <f t="shared" si="0"/>
        <v>Lear Montgomery AL</v>
      </c>
      <c r="D23" s="1" t="s">
        <v>93</v>
      </c>
      <c r="E23" s="20">
        <f ca="1">IF(ISERROR(#REF!),TODAY(),#REF!)</f>
        <v>44557</v>
      </c>
      <c r="F23" t="s">
        <v>33</v>
      </c>
      <c r="G23" s="15"/>
      <c r="H23" s="21"/>
      <c r="I23" s="15"/>
      <c r="J23" s="15"/>
      <c r="K23" s="15"/>
      <c r="L23" s="15"/>
      <c r="M23" s="15"/>
      <c r="N23" s="15"/>
      <c r="O23" s="15"/>
      <c r="P23" s="15"/>
      <c r="Q23" s="15"/>
      <c r="R23" s="15"/>
      <c r="S23" s="15"/>
      <c r="T23" s="15"/>
      <c r="U23" s="15"/>
      <c r="V23" s="15"/>
      <c r="W23" s="15"/>
      <c r="X23" s="15"/>
      <c r="Y23" s="15"/>
      <c r="Z23" s="15"/>
    </row>
    <row r="24" spans="1:26" s="14" customFormat="1" ht="15.75" customHeight="1" thickBot="1" x14ac:dyDescent="0.3">
      <c r="A24" s="34" t="s">
        <v>62</v>
      </c>
      <c r="B24" s="15" t="str">
        <f t="shared" si="1"/>
        <v>Magna Seating Vendor</v>
      </c>
      <c r="C24" s="15" t="str">
        <f t="shared" si="0"/>
        <v>Magna Seating Vendor</v>
      </c>
      <c r="D24" s="15" t="s">
        <v>94</v>
      </c>
      <c r="E24" s="20">
        <f ca="1">IF(ISERROR(#REF!),TODAY(),#REF!)</f>
        <v>44557</v>
      </c>
      <c r="F24" t="s">
        <v>72</v>
      </c>
      <c r="G24" s="15"/>
      <c r="H24" s="21"/>
      <c r="I24" s="15"/>
      <c r="J24" s="15"/>
      <c r="K24" s="15"/>
      <c r="L24" s="15"/>
      <c r="M24" s="15"/>
      <c r="N24" s="15"/>
      <c r="O24" s="15"/>
      <c r="P24" s="15"/>
      <c r="Q24" s="15"/>
      <c r="R24" s="15"/>
      <c r="S24" s="15"/>
      <c r="T24" s="15"/>
      <c r="U24" s="15"/>
      <c r="V24" s="15"/>
      <c r="W24" s="15"/>
      <c r="X24" s="15"/>
      <c r="Y24" s="15"/>
      <c r="Z24" s="15"/>
    </row>
    <row r="25" spans="1:26" ht="30" x14ac:dyDescent="0.25">
      <c r="A25" s="31" t="s">
        <v>58</v>
      </c>
      <c r="B25" s="15" t="str">
        <f t="shared" si="1"/>
        <v>Malouf</v>
      </c>
      <c r="C25" s="15" t="str">
        <f t="shared" si="0"/>
        <v>Malouf</v>
      </c>
      <c r="D25" s="1" t="s">
        <v>95</v>
      </c>
      <c r="E25" s="20">
        <f ca="1">IF(ISERROR(#REF!),TODAY(),#REF!)</f>
        <v>44557</v>
      </c>
      <c r="F25" t="s">
        <v>33</v>
      </c>
      <c r="G25" s="15"/>
      <c r="H25" s="21"/>
      <c r="I25" s="15"/>
      <c r="J25" s="15"/>
      <c r="K25" s="15"/>
      <c r="L25" s="15"/>
      <c r="M25" s="15"/>
      <c r="N25" s="15"/>
      <c r="O25" s="15"/>
      <c r="P25" s="15"/>
      <c r="Q25" s="15"/>
      <c r="R25" s="15"/>
      <c r="S25" s="15"/>
      <c r="T25" s="15"/>
      <c r="U25" s="15"/>
      <c r="V25" s="15"/>
      <c r="W25" s="15"/>
      <c r="X25" s="15"/>
      <c r="Y25" s="15"/>
      <c r="Z25" s="15"/>
    </row>
    <row r="26" spans="1:26" x14ac:dyDescent="0.25">
      <c r="A26" s="30" t="s">
        <v>64</v>
      </c>
      <c r="B26" s="15" t="str">
        <f t="shared" si="1"/>
        <v>Robertson</v>
      </c>
      <c r="C26" s="15" t="str">
        <f t="shared" si="0"/>
        <v>Robertson</v>
      </c>
      <c r="D26" s="15" t="s">
        <v>94</v>
      </c>
      <c r="E26" s="20">
        <f ca="1">IF(ISERROR(#REF!),TODAY(),#REF!)</f>
        <v>44557</v>
      </c>
      <c r="F26" t="s">
        <v>72</v>
      </c>
      <c r="G26" s="15"/>
      <c r="H26" s="21"/>
      <c r="I26" s="15"/>
      <c r="J26" s="15"/>
      <c r="K26" s="15"/>
      <c r="L26" s="15"/>
      <c r="M26" s="15"/>
      <c r="N26" s="15"/>
      <c r="O26" s="15"/>
      <c r="P26" s="15"/>
      <c r="Q26" s="15"/>
      <c r="R26" s="15"/>
      <c r="S26" s="15"/>
      <c r="T26" s="15"/>
      <c r="U26" s="15"/>
      <c r="V26" s="15"/>
      <c r="W26" s="15"/>
      <c r="X26" s="15"/>
      <c r="Y26" s="15"/>
      <c r="Z26" s="15"/>
    </row>
    <row r="27" spans="1:26" ht="120" x14ac:dyDescent="0.25">
      <c r="A27" s="27" t="s">
        <v>34</v>
      </c>
      <c r="B27" s="15" t="str">
        <f t="shared" si="1"/>
        <v>Pure Country West</v>
      </c>
      <c r="C27" s="15" t="str">
        <f t="shared" si="0"/>
        <v>Pure Country West</v>
      </c>
      <c r="D27" s="1" t="s">
        <v>96</v>
      </c>
      <c r="E27" s="20">
        <f ca="1">IF(ISERROR(#REF!),TODAY(),#REF!)</f>
        <v>44557</v>
      </c>
      <c r="F27" s="29" t="s">
        <v>35</v>
      </c>
      <c r="G27" s="15"/>
      <c r="H27" s="21"/>
      <c r="I27" s="15"/>
      <c r="J27" s="15"/>
      <c r="K27" s="15"/>
      <c r="L27" s="15"/>
      <c r="M27" s="15"/>
      <c r="N27" s="15"/>
      <c r="O27" s="15"/>
      <c r="P27" s="15"/>
      <c r="Q27" s="15"/>
      <c r="R27" s="15"/>
      <c r="S27" s="15"/>
      <c r="T27" s="15"/>
      <c r="U27" s="15"/>
      <c r="V27" s="15"/>
      <c r="W27" s="15"/>
      <c r="X27" s="15"/>
      <c r="Y27" s="15"/>
      <c r="Z27" s="15"/>
    </row>
    <row r="28" spans="1:26" ht="60" x14ac:dyDescent="0.25">
      <c r="A28" s="27" t="s">
        <v>48</v>
      </c>
      <c r="B28" s="15" t="str">
        <f t="shared" si="1"/>
        <v>Stego Germany</v>
      </c>
      <c r="C28" s="15" t="str">
        <f t="shared" si="0"/>
        <v>Stego Germany</v>
      </c>
      <c r="D28" s="1" t="s">
        <v>98</v>
      </c>
      <c r="E28" s="20">
        <f ca="1">IF(ISERROR(#REF!),TODAY(),#REF!)</f>
        <v>44557</v>
      </c>
      <c r="F28" s="15" t="s">
        <v>56</v>
      </c>
      <c r="G28" s="15"/>
      <c r="H28" s="21"/>
      <c r="I28" s="15"/>
      <c r="J28" s="15"/>
      <c r="K28" s="15"/>
      <c r="L28" s="15"/>
      <c r="M28" s="15"/>
      <c r="N28" s="15"/>
      <c r="O28" s="15"/>
      <c r="P28" s="15"/>
      <c r="Q28" s="15"/>
      <c r="R28" s="15"/>
      <c r="S28" s="15"/>
      <c r="T28" s="15"/>
      <c r="U28" s="15"/>
      <c r="V28" s="15"/>
      <c r="W28" s="15"/>
      <c r="X28" s="15"/>
      <c r="Y28" s="15"/>
      <c r="Z28" s="15"/>
    </row>
    <row r="29" spans="1:26" ht="60.75" thickBot="1" x14ac:dyDescent="0.3">
      <c r="A29" s="27" t="s">
        <v>47</v>
      </c>
      <c r="B29" s="16" t="str">
        <f t="shared" si="1"/>
        <v>Del Mar Fans</v>
      </c>
      <c r="C29" s="15" t="str">
        <f t="shared" si="0"/>
        <v>Del Mar Fans</v>
      </c>
      <c r="D29" s="1" t="s">
        <v>99</v>
      </c>
      <c r="E29" s="20">
        <f ca="1">IF(ISERROR(#REF!),TODAY(),#REF!)</f>
        <v>44557</v>
      </c>
      <c r="F29" s="15" t="s">
        <v>55</v>
      </c>
      <c r="G29" s="15"/>
      <c r="H29" s="21"/>
      <c r="I29" s="15"/>
      <c r="J29" s="15"/>
      <c r="K29" s="15"/>
      <c r="L29" s="15"/>
      <c r="M29" s="15"/>
      <c r="N29" s="15"/>
      <c r="O29" s="15"/>
      <c r="P29" s="15"/>
      <c r="Q29" s="15"/>
      <c r="R29" s="15"/>
      <c r="S29" s="15"/>
      <c r="T29" s="15"/>
      <c r="U29" s="15"/>
      <c r="V29" s="15"/>
      <c r="W29" s="15"/>
      <c r="X29" s="15"/>
      <c r="Y29" s="15"/>
      <c r="Z29" s="15"/>
    </row>
    <row r="30" spans="1:26" s="7" customFormat="1" ht="60" x14ac:dyDescent="0.25">
      <c r="A30" s="27" t="s">
        <v>44</v>
      </c>
      <c r="B30" s="16" t="str">
        <f t="shared" si="1"/>
        <v>Guitar Center - XML Trading Partner</v>
      </c>
      <c r="C30" s="15" t="str">
        <f t="shared" si="0"/>
        <v>Guitar Center - XML Trading Partner</v>
      </c>
      <c r="D30" s="1" t="s">
        <v>100</v>
      </c>
      <c r="E30" s="20">
        <f ca="1">IF(ISERROR(#REF!),TODAY(),#REF!)</f>
        <v>44557</v>
      </c>
      <c r="F30" s="15" t="s">
        <v>53</v>
      </c>
      <c r="G30" s="15"/>
      <c r="H30" s="21"/>
      <c r="I30" s="15"/>
      <c r="J30" s="15"/>
      <c r="K30" s="15"/>
      <c r="L30" s="15"/>
      <c r="M30" s="15"/>
      <c r="N30" s="15"/>
      <c r="O30" s="15"/>
      <c r="P30" s="15"/>
      <c r="Q30" s="15"/>
      <c r="R30" s="15"/>
      <c r="S30" s="15"/>
      <c r="T30" s="15"/>
      <c r="U30" s="15"/>
      <c r="V30" s="15"/>
      <c r="W30" s="15"/>
      <c r="X30" s="15"/>
      <c r="Y30" s="15"/>
      <c r="Z30" s="15"/>
    </row>
    <row r="31" spans="1:26" ht="60.75" thickBot="1" x14ac:dyDescent="0.3">
      <c r="A31" s="27" t="s">
        <v>43</v>
      </c>
      <c r="B31" s="16" t="str">
        <f t="shared" si="1"/>
        <v>Rhenus Contract Logistics - VSC</v>
      </c>
      <c r="C31" s="15" t="str">
        <f t="shared" si="0"/>
        <v>Rhenus Contract Logistics - VSC</v>
      </c>
      <c r="D31" s="1" t="s">
        <v>101</v>
      </c>
      <c r="E31" s="20">
        <f ca="1">IF(ISERROR(#REF!),TODAY(),#REF!)</f>
        <v>44557</v>
      </c>
      <c r="F31" s="15" t="s">
        <v>33</v>
      </c>
      <c r="G31" s="15"/>
      <c r="H31" s="21"/>
      <c r="I31" s="15"/>
      <c r="J31" s="15"/>
      <c r="K31" s="15"/>
      <c r="L31" s="15"/>
      <c r="M31" s="15"/>
      <c r="N31" s="15"/>
      <c r="O31" s="15"/>
      <c r="P31" s="15"/>
      <c r="Q31" s="15"/>
      <c r="R31" s="15"/>
      <c r="S31" s="15"/>
      <c r="T31" s="15"/>
      <c r="U31" s="15"/>
      <c r="V31" s="15"/>
      <c r="W31" s="15"/>
      <c r="X31" s="15"/>
      <c r="Y31" s="15"/>
      <c r="Z31" s="15"/>
    </row>
    <row r="32" spans="1:26" ht="45" x14ac:dyDescent="0.25">
      <c r="A32" s="28" t="s">
        <v>41</v>
      </c>
      <c r="B32" s="16" t="str">
        <f t="shared" si="1"/>
        <v>Wormser Corporation-Jaguar Freight XML</v>
      </c>
      <c r="C32" s="15" t="str">
        <f t="shared" si="0"/>
        <v>Wormser Corporation-Jaguar Freight XML</v>
      </c>
      <c r="D32" s="1" t="s">
        <v>81</v>
      </c>
      <c r="E32" s="20">
        <f ca="1">IF(ISERROR(#REF!),TODAY(),#REF!)</f>
        <v>44557</v>
      </c>
      <c r="F32" s="15" t="s">
        <v>50</v>
      </c>
      <c r="G32" s="15" t="s">
        <v>51</v>
      </c>
      <c r="H32" s="21"/>
      <c r="I32" s="15"/>
      <c r="J32" s="15"/>
      <c r="K32" s="15"/>
      <c r="L32" s="15"/>
      <c r="M32" s="15"/>
      <c r="N32" s="15"/>
      <c r="O32" s="15"/>
      <c r="P32" s="15"/>
      <c r="Q32" s="15"/>
      <c r="R32" s="15"/>
      <c r="S32" s="15"/>
      <c r="T32" s="15"/>
      <c r="U32" s="15"/>
      <c r="V32" s="15"/>
      <c r="W32" s="15"/>
      <c r="X32" s="15"/>
      <c r="Y32" s="15"/>
      <c r="Z32" s="15"/>
    </row>
    <row r="33" spans="2:26" x14ac:dyDescent="0.25">
      <c r="B33" s="15" t="e">
        <f t="shared" si="1"/>
        <v>#VALUE!</v>
      </c>
      <c r="C33" s="15" t="e">
        <f t="shared" si="0"/>
        <v>#VALUE!</v>
      </c>
      <c r="D33" s="15"/>
      <c r="E33" s="20">
        <f ca="1">IF(ISERROR(#REF!),TODAY(),#REF!)</f>
        <v>44557</v>
      </c>
      <c r="F33" s="15"/>
      <c r="G33" s="15"/>
      <c r="H33" s="21"/>
      <c r="I33" s="15"/>
      <c r="J33" s="15"/>
      <c r="K33" s="15"/>
      <c r="L33" s="15"/>
      <c r="M33" s="15"/>
      <c r="N33" s="15"/>
      <c r="O33" s="15"/>
      <c r="P33" s="15"/>
      <c r="Q33" s="15"/>
      <c r="R33" s="15"/>
      <c r="S33" s="15"/>
      <c r="T33" s="15"/>
      <c r="U33" s="15"/>
      <c r="V33" s="15"/>
      <c r="W33" s="15"/>
      <c r="X33" s="15"/>
      <c r="Y33" s="15"/>
      <c r="Z33" s="15"/>
    </row>
    <row r="34" spans="2:26" x14ac:dyDescent="0.25">
      <c r="B34" s="15" t="e">
        <f t="shared" si="1"/>
        <v>#VALUE!</v>
      </c>
      <c r="C34" s="15" t="e">
        <f t="shared" ref="C34:C65" si="2" xml:space="preserve"> MID(A34,SEARCH(":",A34)+2,SEARCH(":",A34,SEARCH(":",A34)+1)-SEARCH(":",A34)-3)</f>
        <v>#VALUE!</v>
      </c>
      <c r="D34" s="15"/>
      <c r="E34" s="20">
        <f ca="1">IF(ISERROR(#REF!),TODAY(),#REF!)</f>
        <v>44557</v>
      </c>
      <c r="F34" s="15"/>
      <c r="G34" s="15"/>
      <c r="H34" s="21"/>
      <c r="I34" s="15"/>
      <c r="J34" s="15"/>
      <c r="K34" s="15"/>
      <c r="L34" s="15"/>
      <c r="M34" s="15"/>
      <c r="N34" s="15"/>
      <c r="O34" s="15"/>
      <c r="P34" s="15"/>
      <c r="Q34" s="15"/>
      <c r="R34" s="15"/>
      <c r="S34" s="15"/>
      <c r="T34" s="15"/>
      <c r="U34" s="15"/>
      <c r="V34" s="15"/>
      <c r="W34" s="15"/>
      <c r="X34" s="15"/>
      <c r="Y34" s="15"/>
      <c r="Z34" s="15"/>
    </row>
    <row r="35" spans="2:26" x14ac:dyDescent="0.25">
      <c r="B35" s="15" t="e">
        <f t="shared" si="1"/>
        <v>#VALUE!</v>
      </c>
      <c r="C35" s="15" t="e">
        <f t="shared" si="2"/>
        <v>#VALUE!</v>
      </c>
      <c r="D35" s="15"/>
      <c r="E35" s="20">
        <f ca="1">IF(ISERROR(#REF!),TODAY(),#REF!)</f>
        <v>44557</v>
      </c>
      <c r="F35" s="15"/>
      <c r="G35" s="15"/>
      <c r="H35" s="21"/>
      <c r="I35" s="15"/>
      <c r="J35" s="15"/>
      <c r="K35" s="15"/>
      <c r="L35" s="15"/>
      <c r="M35" s="15"/>
      <c r="N35" s="15"/>
      <c r="O35" s="15"/>
      <c r="P35" s="15"/>
      <c r="Q35" s="15"/>
      <c r="R35" s="15"/>
      <c r="S35" s="15"/>
      <c r="T35" s="15"/>
      <c r="U35" s="15"/>
      <c r="V35" s="15"/>
      <c r="W35" s="15"/>
      <c r="X35" s="15"/>
      <c r="Y35" s="15"/>
      <c r="Z35" s="15"/>
    </row>
    <row r="36" spans="2:26" x14ac:dyDescent="0.25">
      <c r="B36" s="15" t="e">
        <f t="shared" si="1"/>
        <v>#VALUE!</v>
      </c>
      <c r="C36" s="15" t="e">
        <f t="shared" si="2"/>
        <v>#VALUE!</v>
      </c>
      <c r="D36" s="15"/>
      <c r="E36" s="20">
        <f ca="1">IF(ISERROR(#REF!),TODAY(),#REF!)</f>
        <v>44557</v>
      </c>
      <c r="F36" s="15"/>
      <c r="G36" s="15"/>
      <c r="H36" s="21"/>
      <c r="I36" s="15"/>
      <c r="J36" s="15"/>
      <c r="K36" s="15"/>
      <c r="L36" s="15"/>
      <c r="M36" s="15"/>
      <c r="N36" s="15"/>
      <c r="O36" s="15"/>
      <c r="P36" s="15"/>
      <c r="Q36" s="15"/>
      <c r="R36" s="15"/>
      <c r="S36" s="15"/>
      <c r="T36" s="15"/>
      <c r="U36" s="15"/>
      <c r="V36" s="15"/>
      <c r="W36" s="15"/>
      <c r="X36" s="15"/>
      <c r="Y36" s="15"/>
      <c r="Z36" s="15"/>
    </row>
    <row r="37" spans="2:26" x14ac:dyDescent="0.25">
      <c r="B37" s="15" t="e">
        <f t="shared" si="1"/>
        <v>#VALUE!</v>
      </c>
      <c r="C37" s="15" t="e">
        <f t="shared" si="2"/>
        <v>#VALUE!</v>
      </c>
      <c r="D37" s="15"/>
      <c r="E37" s="20">
        <f ca="1">IF(ISERROR(#REF!),TODAY(),#REF!)</f>
        <v>44557</v>
      </c>
      <c r="F37" s="15"/>
      <c r="G37" s="15"/>
      <c r="H37" s="21"/>
      <c r="I37" s="15"/>
      <c r="J37" s="15"/>
      <c r="K37" s="15"/>
      <c r="L37" s="15"/>
      <c r="M37" s="15"/>
      <c r="N37" s="15"/>
      <c r="O37" s="15"/>
      <c r="P37" s="15"/>
      <c r="Q37" s="15"/>
      <c r="R37" s="15"/>
      <c r="S37" s="15"/>
      <c r="T37" s="15"/>
      <c r="U37" s="15"/>
      <c r="V37" s="15"/>
      <c r="W37" s="15"/>
      <c r="X37" s="15"/>
      <c r="Y37" s="15"/>
      <c r="Z37" s="15"/>
    </row>
    <row r="38" spans="2:26" x14ac:dyDescent="0.25">
      <c r="B38" s="15" t="e">
        <f t="shared" si="1"/>
        <v>#VALUE!</v>
      </c>
      <c r="C38" s="15" t="e">
        <f t="shared" si="2"/>
        <v>#VALUE!</v>
      </c>
      <c r="D38" s="15"/>
      <c r="E38" s="20">
        <f ca="1">IF(ISERROR(#REF!),TODAY(),#REF!)</f>
        <v>44557</v>
      </c>
      <c r="F38" s="15"/>
      <c r="G38" s="15"/>
      <c r="H38" s="21"/>
      <c r="I38" s="15"/>
      <c r="J38" s="15"/>
      <c r="K38" s="15"/>
      <c r="L38" s="15"/>
      <c r="M38" s="15"/>
      <c r="N38" s="15"/>
      <c r="O38" s="15"/>
      <c r="P38" s="15"/>
      <c r="Q38" s="15"/>
      <c r="R38" s="15"/>
      <c r="S38" s="15"/>
      <c r="T38" s="15"/>
      <c r="U38" s="15"/>
      <c r="V38" s="15"/>
      <c r="W38" s="15"/>
      <c r="X38" s="15"/>
      <c r="Y38" s="15"/>
      <c r="Z38" s="15"/>
    </row>
    <row r="39" spans="2:26" x14ac:dyDescent="0.25">
      <c r="B39" s="15" t="e">
        <f t="shared" si="1"/>
        <v>#VALUE!</v>
      </c>
      <c r="C39" s="15" t="e">
        <f t="shared" si="2"/>
        <v>#VALUE!</v>
      </c>
      <c r="D39" s="15"/>
      <c r="E39" s="20">
        <f ca="1">IF(ISERROR(#REF!),TODAY(),#REF!)</f>
        <v>44557</v>
      </c>
      <c r="F39" s="15"/>
      <c r="G39" s="15"/>
      <c r="H39" s="21"/>
      <c r="I39" s="15"/>
      <c r="J39" s="15"/>
      <c r="K39" s="15"/>
      <c r="L39" s="15"/>
      <c r="M39" s="15"/>
      <c r="N39" s="15"/>
      <c r="O39" s="15"/>
      <c r="P39" s="15"/>
      <c r="Q39" s="15"/>
      <c r="R39" s="15"/>
      <c r="S39" s="15"/>
      <c r="T39" s="15"/>
      <c r="U39" s="15"/>
      <c r="V39" s="15"/>
      <c r="W39" s="15"/>
      <c r="X39" s="15"/>
      <c r="Y39" s="15"/>
      <c r="Z39" s="15"/>
    </row>
    <row r="40" spans="2:26" x14ac:dyDescent="0.25">
      <c r="B40" s="15" t="e">
        <f t="shared" si="1"/>
        <v>#VALUE!</v>
      </c>
      <c r="C40" s="15" t="e">
        <f t="shared" si="2"/>
        <v>#VALUE!</v>
      </c>
      <c r="D40" s="15"/>
      <c r="E40" s="20">
        <f ca="1">IF(ISERROR(#REF!),TODAY(),#REF!)</f>
        <v>44557</v>
      </c>
      <c r="F40" s="15"/>
      <c r="G40" s="15"/>
      <c r="H40" s="21"/>
      <c r="I40" s="15"/>
      <c r="J40" s="15"/>
      <c r="K40" s="15"/>
      <c r="L40" s="15"/>
      <c r="M40" s="15"/>
      <c r="N40" s="15"/>
      <c r="O40" s="15"/>
      <c r="P40" s="15"/>
      <c r="Q40" s="15"/>
      <c r="R40" s="15"/>
      <c r="S40" s="15"/>
      <c r="T40" s="15"/>
      <c r="U40" s="15"/>
      <c r="V40" s="15"/>
      <c r="W40" s="15"/>
      <c r="X40" s="15"/>
      <c r="Y40" s="15"/>
      <c r="Z40" s="15"/>
    </row>
    <row r="41" spans="2:26" x14ac:dyDescent="0.25">
      <c r="B41" s="15" t="e">
        <f t="shared" si="1"/>
        <v>#VALUE!</v>
      </c>
      <c r="C41" s="15" t="e">
        <f t="shared" si="2"/>
        <v>#VALUE!</v>
      </c>
      <c r="D41" s="15"/>
      <c r="E41" s="20">
        <f ca="1">IF(ISERROR(#REF!),TODAY(),#REF!)</f>
        <v>44557</v>
      </c>
      <c r="F41" s="15"/>
      <c r="G41" s="15"/>
      <c r="H41" s="21"/>
      <c r="I41" s="15"/>
      <c r="J41" s="15"/>
      <c r="K41" s="15"/>
      <c r="L41" s="15"/>
      <c r="M41" s="15"/>
      <c r="N41" s="15"/>
      <c r="O41" s="15"/>
      <c r="P41" s="15"/>
      <c r="Q41" s="15"/>
      <c r="R41" s="15"/>
      <c r="S41" s="15"/>
      <c r="T41" s="15"/>
      <c r="U41" s="15"/>
      <c r="V41" s="15"/>
      <c r="W41" s="15"/>
      <c r="X41" s="15"/>
      <c r="Y41" s="15"/>
      <c r="Z41" s="15"/>
    </row>
    <row r="42" spans="2:26" x14ac:dyDescent="0.25">
      <c r="B42" s="15" t="e">
        <f t="shared" si="1"/>
        <v>#VALUE!</v>
      </c>
      <c r="C42" s="15" t="e">
        <f t="shared" si="2"/>
        <v>#VALUE!</v>
      </c>
      <c r="D42" s="15"/>
      <c r="E42" s="20">
        <f ca="1">IF(ISERROR(#REF!),TODAY(),#REF!)</f>
        <v>44557</v>
      </c>
      <c r="F42" s="15"/>
      <c r="G42" s="15"/>
      <c r="H42" s="21"/>
      <c r="I42" s="15"/>
      <c r="J42" s="15"/>
      <c r="K42" s="15"/>
      <c r="L42" s="15"/>
      <c r="M42" s="15"/>
      <c r="N42" s="15"/>
      <c r="O42" s="15"/>
      <c r="P42" s="15"/>
      <c r="Q42" s="15"/>
      <c r="R42" s="15"/>
      <c r="S42" s="15"/>
      <c r="T42" s="15"/>
      <c r="U42" s="15"/>
      <c r="V42" s="15"/>
      <c r="W42" s="15"/>
      <c r="X42" s="15"/>
      <c r="Y42" s="15"/>
      <c r="Z42" s="15"/>
    </row>
    <row r="43" spans="2:26" x14ac:dyDescent="0.25">
      <c r="B43" s="15" t="e">
        <f t="shared" si="1"/>
        <v>#VALUE!</v>
      </c>
      <c r="C43" s="15" t="e">
        <f t="shared" si="2"/>
        <v>#VALUE!</v>
      </c>
      <c r="D43" s="15"/>
      <c r="E43" s="20">
        <f ca="1">IF(ISERROR(#REF!),TODAY(),#REF!)</f>
        <v>44557</v>
      </c>
      <c r="F43" s="15"/>
      <c r="G43" s="15"/>
      <c r="H43" s="21"/>
      <c r="I43" s="15"/>
      <c r="J43" s="15"/>
      <c r="K43" s="15"/>
      <c r="L43" s="15"/>
      <c r="M43" s="15"/>
      <c r="N43" s="15"/>
      <c r="O43" s="15"/>
      <c r="P43" s="15"/>
      <c r="Q43" s="15"/>
      <c r="R43" s="15"/>
      <c r="S43" s="15"/>
      <c r="T43" s="15"/>
      <c r="U43" s="15"/>
      <c r="V43" s="15"/>
      <c r="W43" s="15"/>
      <c r="X43" s="15"/>
      <c r="Y43" s="15"/>
      <c r="Z43" s="15"/>
    </row>
    <row r="44" spans="2:26" x14ac:dyDescent="0.25">
      <c r="B44" s="15" t="e">
        <f t="shared" si="1"/>
        <v>#VALUE!</v>
      </c>
      <c r="C44" s="15" t="e">
        <f t="shared" si="2"/>
        <v>#VALUE!</v>
      </c>
      <c r="D44" s="15"/>
      <c r="E44" s="20">
        <f ca="1">IF(ISERROR(#REF!),TODAY(),#REF!)</f>
        <v>44557</v>
      </c>
      <c r="F44" s="15"/>
      <c r="G44" s="15"/>
      <c r="H44" s="21"/>
      <c r="I44" s="15"/>
      <c r="J44" s="15"/>
      <c r="K44" s="15"/>
      <c r="L44" s="15"/>
      <c r="M44" s="15"/>
      <c r="N44" s="15"/>
      <c r="O44" s="15"/>
      <c r="P44" s="15"/>
      <c r="Q44" s="15"/>
      <c r="R44" s="15"/>
      <c r="S44" s="15"/>
      <c r="T44" s="15"/>
      <c r="U44" s="15"/>
      <c r="V44" s="15"/>
      <c r="W44" s="15"/>
      <c r="X44" s="15"/>
      <c r="Y44" s="15"/>
      <c r="Z44" s="15"/>
    </row>
    <row r="45" spans="2:26" x14ac:dyDescent="0.25">
      <c r="B45" s="15" t="e">
        <f t="shared" si="1"/>
        <v>#VALUE!</v>
      </c>
      <c r="C45" s="15" t="e">
        <f t="shared" si="2"/>
        <v>#VALUE!</v>
      </c>
      <c r="D45" s="15"/>
      <c r="E45" s="20">
        <f ca="1">IF(ISERROR(#REF!),TODAY(),#REF!)</f>
        <v>44557</v>
      </c>
      <c r="F45" s="15"/>
      <c r="G45" s="15"/>
      <c r="H45" s="21"/>
      <c r="I45" s="15"/>
      <c r="J45" s="15"/>
      <c r="K45" s="15"/>
      <c r="L45" s="15"/>
      <c r="M45" s="15"/>
      <c r="N45" s="15"/>
      <c r="O45" s="15"/>
      <c r="P45" s="15"/>
      <c r="Q45" s="15"/>
      <c r="R45" s="15"/>
      <c r="S45" s="15"/>
      <c r="T45" s="15"/>
      <c r="U45" s="15"/>
      <c r="V45" s="15"/>
      <c r="W45" s="15"/>
      <c r="X45" s="15"/>
      <c r="Y45" s="15"/>
      <c r="Z45" s="15"/>
    </row>
    <row r="46" spans="2:26" x14ac:dyDescent="0.25">
      <c r="B46" s="15" t="e">
        <f t="shared" si="1"/>
        <v>#VALUE!</v>
      </c>
      <c r="C46" s="15" t="e">
        <f t="shared" si="2"/>
        <v>#VALUE!</v>
      </c>
      <c r="D46" s="15"/>
      <c r="E46" s="20">
        <f ca="1">IF(ISERROR(#REF!),TODAY(),#REF!)</f>
        <v>44557</v>
      </c>
      <c r="F46" s="15"/>
      <c r="G46" s="15"/>
      <c r="H46" s="21"/>
      <c r="I46" s="15"/>
      <c r="J46" s="15"/>
      <c r="K46" s="15"/>
      <c r="L46" s="15"/>
      <c r="M46" s="15"/>
      <c r="N46" s="15"/>
      <c r="O46" s="15"/>
      <c r="P46" s="15"/>
      <c r="Q46" s="15"/>
      <c r="R46" s="15"/>
      <c r="S46" s="15"/>
      <c r="T46" s="15"/>
      <c r="U46" s="15"/>
      <c r="V46" s="15"/>
      <c r="W46" s="15"/>
      <c r="X46" s="15"/>
      <c r="Y46" s="15"/>
      <c r="Z46" s="15"/>
    </row>
    <row r="47" spans="2:26" x14ac:dyDescent="0.25">
      <c r="B47" s="15" t="e">
        <f t="shared" si="1"/>
        <v>#VALUE!</v>
      </c>
      <c r="C47" s="15" t="e">
        <f t="shared" si="2"/>
        <v>#VALUE!</v>
      </c>
      <c r="D47" s="15"/>
      <c r="E47" s="20">
        <f ca="1">IF(ISERROR(#REF!),TODAY(),#REF!)</f>
        <v>44557</v>
      </c>
      <c r="F47" s="15"/>
      <c r="G47" s="15"/>
      <c r="H47" s="21"/>
      <c r="I47" s="15"/>
      <c r="J47" s="15"/>
      <c r="K47" s="15"/>
      <c r="L47" s="15"/>
      <c r="M47" s="15"/>
      <c r="N47" s="15"/>
      <c r="O47" s="15"/>
      <c r="P47" s="15"/>
      <c r="Q47" s="15"/>
      <c r="R47" s="15"/>
      <c r="S47" s="15"/>
      <c r="T47" s="15"/>
      <c r="U47" s="15"/>
      <c r="V47" s="15"/>
      <c r="W47" s="15"/>
      <c r="X47" s="15"/>
      <c r="Y47" s="15"/>
      <c r="Z47" s="15"/>
    </row>
    <row r="48" spans="2:26" x14ac:dyDescent="0.25">
      <c r="B48" s="15" t="e">
        <f t="shared" si="1"/>
        <v>#VALUE!</v>
      </c>
      <c r="C48" s="15" t="e">
        <f t="shared" si="2"/>
        <v>#VALUE!</v>
      </c>
      <c r="D48" s="15"/>
      <c r="E48" s="20">
        <f ca="1">IF(ISERROR(#REF!),TODAY(),#REF!)</f>
        <v>44557</v>
      </c>
      <c r="F48" s="15"/>
      <c r="G48" s="15"/>
      <c r="H48" s="21"/>
      <c r="I48" s="15"/>
      <c r="J48" s="15"/>
      <c r="K48" s="15"/>
      <c r="L48" s="15"/>
      <c r="M48" s="15"/>
      <c r="N48" s="15"/>
      <c r="O48" s="15"/>
      <c r="P48" s="15"/>
      <c r="Q48" s="15"/>
      <c r="R48" s="15"/>
      <c r="S48" s="15"/>
      <c r="T48" s="15"/>
      <c r="U48" s="15"/>
      <c r="V48" s="15"/>
      <c r="W48" s="15"/>
      <c r="X48" s="15"/>
      <c r="Y48" s="15"/>
      <c r="Z48" s="15"/>
    </row>
    <row r="49" spans="2:26" x14ac:dyDescent="0.25">
      <c r="B49" s="15" t="e">
        <f t="shared" si="1"/>
        <v>#VALUE!</v>
      </c>
      <c r="C49" s="15" t="e">
        <f t="shared" si="2"/>
        <v>#VALUE!</v>
      </c>
      <c r="D49" s="15"/>
      <c r="E49" s="20">
        <f ca="1">IF(ISERROR(#REF!),TODAY(),#REF!)</f>
        <v>44557</v>
      </c>
      <c r="F49" s="15"/>
      <c r="G49" s="15"/>
      <c r="H49" s="21"/>
      <c r="I49" s="15"/>
      <c r="J49" s="15"/>
      <c r="K49" s="15"/>
      <c r="L49" s="15"/>
      <c r="M49" s="15"/>
      <c r="N49" s="15"/>
      <c r="O49" s="15"/>
      <c r="P49" s="15"/>
      <c r="Q49" s="15"/>
      <c r="R49" s="15"/>
      <c r="S49" s="15"/>
      <c r="T49" s="15"/>
      <c r="U49" s="15"/>
      <c r="V49" s="15"/>
      <c r="W49" s="15"/>
      <c r="X49" s="15"/>
      <c r="Y49" s="15"/>
      <c r="Z49" s="15"/>
    </row>
    <row r="50" spans="2:26" x14ac:dyDescent="0.25">
      <c r="B50" s="15" t="e">
        <f t="shared" si="1"/>
        <v>#VALUE!</v>
      </c>
      <c r="C50" s="15" t="e">
        <f t="shared" si="2"/>
        <v>#VALUE!</v>
      </c>
      <c r="D50" s="15"/>
      <c r="E50" s="20">
        <f ca="1">IF(ISERROR(#REF!),TODAY(),#REF!)</f>
        <v>44557</v>
      </c>
      <c r="F50" s="15"/>
      <c r="G50" s="15"/>
      <c r="H50" s="21"/>
      <c r="I50" s="15"/>
      <c r="J50" s="15"/>
      <c r="K50" s="15"/>
      <c r="L50" s="15"/>
      <c r="M50" s="15"/>
      <c r="N50" s="15"/>
      <c r="O50" s="15"/>
      <c r="P50" s="15"/>
      <c r="Q50" s="15"/>
      <c r="R50" s="15"/>
      <c r="S50" s="15"/>
      <c r="T50" s="15"/>
      <c r="U50" s="15"/>
      <c r="V50" s="15"/>
      <c r="W50" s="15"/>
      <c r="X50" s="15"/>
      <c r="Y50" s="15"/>
      <c r="Z50" s="15"/>
    </row>
    <row r="51" spans="2:26" x14ac:dyDescent="0.25">
      <c r="B51" s="15" t="e">
        <f t="shared" si="1"/>
        <v>#VALUE!</v>
      </c>
      <c r="C51" s="15" t="e">
        <f t="shared" si="2"/>
        <v>#VALUE!</v>
      </c>
      <c r="D51" s="15"/>
      <c r="E51" s="20">
        <f ca="1">IF(ISERROR(#REF!),TODAY(),#REF!)</f>
        <v>44557</v>
      </c>
      <c r="F51" s="15"/>
      <c r="G51" s="15"/>
      <c r="H51" s="21"/>
      <c r="I51" s="15"/>
      <c r="J51" s="15"/>
      <c r="K51" s="15"/>
      <c r="L51" s="15"/>
      <c r="M51" s="15"/>
      <c r="N51" s="15"/>
      <c r="O51" s="15"/>
      <c r="P51" s="15"/>
      <c r="Q51" s="15"/>
      <c r="R51" s="15"/>
      <c r="S51" s="15"/>
      <c r="T51" s="15"/>
      <c r="U51" s="15"/>
      <c r="V51" s="15"/>
      <c r="W51" s="15"/>
      <c r="X51" s="15"/>
      <c r="Y51" s="15"/>
      <c r="Z51" s="15"/>
    </row>
    <row r="52" spans="2:26" x14ac:dyDescent="0.25">
      <c r="B52" s="15" t="e">
        <f t="shared" si="1"/>
        <v>#VALUE!</v>
      </c>
      <c r="C52" s="15" t="e">
        <f t="shared" si="2"/>
        <v>#VALUE!</v>
      </c>
      <c r="D52" s="15"/>
      <c r="E52" s="20">
        <f ca="1">IF(ISERROR(#REF!),TODAY(),#REF!)</f>
        <v>44557</v>
      </c>
      <c r="F52" s="15"/>
      <c r="G52" s="15"/>
      <c r="H52" s="21"/>
      <c r="I52" s="15"/>
      <c r="J52" s="15"/>
      <c r="K52" s="15"/>
      <c r="L52" s="15"/>
      <c r="M52" s="15"/>
      <c r="N52" s="15"/>
      <c r="O52" s="15"/>
      <c r="P52" s="15"/>
      <c r="Q52" s="15"/>
      <c r="R52" s="15"/>
      <c r="S52" s="15"/>
      <c r="T52" s="15"/>
      <c r="U52" s="15"/>
      <c r="V52" s="15"/>
      <c r="W52" s="15"/>
      <c r="X52" s="15"/>
      <c r="Y52" s="15"/>
      <c r="Z52" s="15"/>
    </row>
    <row r="53" spans="2:26" x14ac:dyDescent="0.25">
      <c r="B53" s="15" t="e">
        <f t="shared" si="1"/>
        <v>#VALUE!</v>
      </c>
      <c r="C53" s="15" t="e">
        <f t="shared" si="2"/>
        <v>#VALUE!</v>
      </c>
      <c r="D53" s="15"/>
      <c r="E53" s="20">
        <f ca="1">IF(ISERROR(#REF!),TODAY(),#REF!)</f>
        <v>44557</v>
      </c>
      <c r="F53" s="15"/>
      <c r="G53" s="15"/>
      <c r="H53" s="21"/>
      <c r="I53" s="15"/>
      <c r="J53" s="15"/>
      <c r="K53" s="15"/>
      <c r="L53" s="15"/>
      <c r="M53" s="15"/>
      <c r="N53" s="15"/>
      <c r="O53" s="15"/>
      <c r="P53" s="15"/>
      <c r="Q53" s="15"/>
      <c r="R53" s="15"/>
      <c r="S53" s="15"/>
      <c r="T53" s="15"/>
      <c r="U53" s="15"/>
      <c r="V53" s="15"/>
      <c r="W53" s="15"/>
      <c r="X53" s="15"/>
      <c r="Y53" s="15"/>
      <c r="Z53" s="15"/>
    </row>
    <row r="54" spans="2:26" x14ac:dyDescent="0.25">
      <c r="B54" s="15" t="e">
        <f t="shared" si="1"/>
        <v>#VALUE!</v>
      </c>
      <c r="C54" s="15" t="e">
        <f t="shared" si="2"/>
        <v>#VALUE!</v>
      </c>
      <c r="D54" s="15"/>
      <c r="E54" s="20">
        <f ca="1">IF(ISERROR(#REF!),TODAY(),#REF!)</f>
        <v>44557</v>
      </c>
      <c r="F54" s="15"/>
      <c r="G54" s="15"/>
      <c r="H54" s="21"/>
      <c r="I54" s="15"/>
      <c r="J54" s="15"/>
      <c r="K54" s="15"/>
      <c r="L54" s="15"/>
      <c r="M54" s="15"/>
      <c r="N54" s="15"/>
      <c r="O54" s="15"/>
      <c r="P54" s="15"/>
      <c r="Q54" s="15"/>
      <c r="R54" s="15"/>
      <c r="S54" s="15"/>
      <c r="T54" s="15"/>
      <c r="U54" s="15"/>
      <c r="V54" s="15"/>
      <c r="W54" s="15"/>
      <c r="X54" s="15"/>
      <c r="Y54" s="15"/>
      <c r="Z54" s="15"/>
    </row>
    <row r="55" spans="2:26" x14ac:dyDescent="0.25">
      <c r="B55" s="15" t="e">
        <f t="shared" si="1"/>
        <v>#VALUE!</v>
      </c>
      <c r="C55" s="15" t="e">
        <f t="shared" si="2"/>
        <v>#VALUE!</v>
      </c>
      <c r="D55" s="15"/>
      <c r="E55" s="20">
        <f ca="1">IF(ISERROR(#REF!),TODAY(),#REF!)</f>
        <v>44557</v>
      </c>
      <c r="F55" s="15"/>
      <c r="G55" s="15"/>
      <c r="H55" s="21"/>
      <c r="I55" s="15"/>
      <c r="J55" s="15"/>
      <c r="K55" s="15"/>
      <c r="L55" s="15"/>
      <c r="M55" s="15"/>
      <c r="N55" s="15"/>
      <c r="O55" s="15"/>
      <c r="P55" s="15"/>
      <c r="Q55" s="15"/>
      <c r="R55" s="15"/>
      <c r="S55" s="15"/>
      <c r="T55" s="15"/>
      <c r="U55" s="15"/>
      <c r="V55" s="15"/>
      <c r="W55" s="15"/>
      <c r="X55" s="15"/>
      <c r="Y55" s="15"/>
      <c r="Z55" s="15"/>
    </row>
    <row r="56" spans="2:26" x14ac:dyDescent="0.25">
      <c r="B56" s="15" t="e">
        <f t="shared" si="1"/>
        <v>#VALUE!</v>
      </c>
      <c r="C56" s="15" t="e">
        <f t="shared" si="2"/>
        <v>#VALUE!</v>
      </c>
      <c r="D56" s="15"/>
      <c r="E56" s="20">
        <f ca="1">IF(ISERROR(#REF!),TODAY(),#REF!)</f>
        <v>44557</v>
      </c>
      <c r="F56" s="15"/>
      <c r="G56" s="15"/>
      <c r="H56" s="21"/>
      <c r="I56" s="15"/>
      <c r="J56" s="15"/>
      <c r="K56" s="15"/>
      <c r="L56" s="15"/>
      <c r="M56" s="15"/>
      <c r="N56" s="15"/>
      <c r="O56" s="15"/>
      <c r="P56" s="15"/>
      <c r="Q56" s="15"/>
      <c r="R56" s="15"/>
      <c r="S56" s="15"/>
      <c r="T56" s="15"/>
      <c r="U56" s="15"/>
      <c r="V56" s="15"/>
      <c r="W56" s="15"/>
      <c r="X56" s="15"/>
      <c r="Y56" s="15"/>
      <c r="Z56" s="15"/>
    </row>
    <row r="57" spans="2:26" x14ac:dyDescent="0.25">
      <c r="B57" s="15" t="e">
        <f t="shared" si="1"/>
        <v>#VALUE!</v>
      </c>
      <c r="C57" s="15" t="e">
        <f t="shared" si="2"/>
        <v>#VALUE!</v>
      </c>
      <c r="D57" s="15"/>
      <c r="E57" s="20">
        <f ca="1">IF(ISERROR(#REF!),TODAY(),#REF!)</f>
        <v>44557</v>
      </c>
      <c r="F57" s="15"/>
      <c r="G57" s="15"/>
      <c r="H57" s="21"/>
      <c r="I57" s="15"/>
      <c r="J57" s="15"/>
      <c r="K57" s="15"/>
      <c r="L57" s="15"/>
      <c r="M57" s="15"/>
      <c r="N57" s="15"/>
      <c r="O57" s="15"/>
      <c r="P57" s="15"/>
      <c r="Q57" s="15"/>
      <c r="R57" s="15"/>
      <c r="S57" s="15"/>
      <c r="T57" s="15"/>
      <c r="U57" s="15"/>
      <c r="V57" s="15"/>
      <c r="W57" s="15"/>
      <c r="X57" s="15"/>
      <c r="Y57" s="15"/>
      <c r="Z57" s="15"/>
    </row>
    <row r="58" spans="2:26" x14ac:dyDescent="0.25">
      <c r="B58" s="15" t="e">
        <f t="shared" si="1"/>
        <v>#VALUE!</v>
      </c>
      <c r="C58" s="15" t="e">
        <f t="shared" si="2"/>
        <v>#VALUE!</v>
      </c>
      <c r="D58" s="15"/>
      <c r="E58" s="20">
        <f ca="1">IF(ISERROR(#REF!),TODAY(),#REF!)</f>
        <v>44557</v>
      </c>
      <c r="F58" s="15"/>
      <c r="G58" s="15"/>
      <c r="H58" s="21"/>
      <c r="I58" s="15"/>
      <c r="J58" s="15"/>
      <c r="K58" s="15"/>
      <c r="L58" s="15"/>
      <c r="M58" s="15"/>
      <c r="N58" s="15"/>
      <c r="O58" s="15"/>
      <c r="P58" s="15"/>
      <c r="Q58" s="15"/>
      <c r="R58" s="15"/>
      <c r="S58" s="15"/>
      <c r="T58" s="15"/>
      <c r="U58" s="15"/>
      <c r="V58" s="15"/>
      <c r="W58" s="15"/>
      <c r="X58" s="15"/>
      <c r="Y58" s="15"/>
      <c r="Z58" s="15"/>
    </row>
    <row r="59" spans="2:26" x14ac:dyDescent="0.25">
      <c r="B59" s="15" t="e">
        <f t="shared" si="1"/>
        <v>#VALUE!</v>
      </c>
      <c r="C59" s="15" t="e">
        <f t="shared" si="2"/>
        <v>#VALUE!</v>
      </c>
      <c r="D59" s="15"/>
      <c r="E59" s="20">
        <f ca="1">IF(ISERROR(#REF!),TODAY(),#REF!)</f>
        <v>44557</v>
      </c>
      <c r="F59" s="15"/>
      <c r="G59" s="15"/>
      <c r="H59" s="21"/>
      <c r="I59" s="15"/>
      <c r="J59" s="15"/>
      <c r="K59" s="15"/>
      <c r="L59" s="15"/>
      <c r="M59" s="15"/>
      <c r="N59" s="15"/>
      <c r="O59" s="15"/>
      <c r="P59" s="15"/>
      <c r="Q59" s="15"/>
      <c r="R59" s="15"/>
      <c r="S59" s="15"/>
      <c r="T59" s="15"/>
      <c r="U59" s="15"/>
      <c r="V59" s="15"/>
      <c r="W59" s="15"/>
      <c r="X59" s="15"/>
      <c r="Y59" s="15"/>
      <c r="Z59" s="15"/>
    </row>
    <row r="60" spans="2:26" x14ac:dyDescent="0.25">
      <c r="B60" s="15" t="e">
        <f t="shared" si="1"/>
        <v>#VALUE!</v>
      </c>
      <c r="C60" s="15" t="e">
        <f t="shared" si="2"/>
        <v>#VALUE!</v>
      </c>
      <c r="D60" s="15"/>
      <c r="E60" s="20">
        <f ca="1">IF(ISERROR(#REF!),TODAY(),#REF!)</f>
        <v>44557</v>
      </c>
      <c r="F60" s="15"/>
      <c r="G60" s="15"/>
      <c r="H60" s="21"/>
      <c r="I60" s="15"/>
      <c r="J60" s="15"/>
      <c r="K60" s="15"/>
      <c r="L60" s="15"/>
      <c r="M60" s="15"/>
      <c r="N60" s="15"/>
      <c r="O60" s="15"/>
      <c r="P60" s="15"/>
      <c r="Q60" s="15"/>
      <c r="R60" s="15"/>
      <c r="S60" s="15"/>
      <c r="T60" s="15"/>
      <c r="U60" s="15"/>
      <c r="V60" s="15"/>
      <c r="W60" s="15"/>
      <c r="X60" s="15"/>
      <c r="Y60" s="15"/>
      <c r="Z60" s="15"/>
    </row>
    <row r="61" spans="2:26" x14ac:dyDescent="0.25">
      <c r="B61" s="15" t="e">
        <f t="shared" si="1"/>
        <v>#VALUE!</v>
      </c>
      <c r="C61" s="15" t="e">
        <f t="shared" si="2"/>
        <v>#VALUE!</v>
      </c>
      <c r="D61" s="15"/>
      <c r="E61" s="20">
        <f ca="1">IF(ISERROR(#REF!),TODAY(),#REF!)</f>
        <v>44557</v>
      </c>
      <c r="F61" s="15"/>
      <c r="G61" s="15"/>
      <c r="H61" s="21"/>
      <c r="I61" s="15"/>
      <c r="J61" s="15"/>
      <c r="K61" s="15"/>
      <c r="L61" s="15"/>
      <c r="M61" s="15"/>
      <c r="N61" s="15"/>
      <c r="O61" s="15"/>
      <c r="P61" s="15"/>
      <c r="Q61" s="15"/>
      <c r="R61" s="15"/>
      <c r="S61" s="15"/>
      <c r="T61" s="15"/>
      <c r="U61" s="15"/>
      <c r="V61" s="15"/>
      <c r="W61" s="15"/>
      <c r="X61" s="15"/>
      <c r="Y61" s="15"/>
      <c r="Z61" s="15"/>
    </row>
    <row r="62" spans="2:26" x14ac:dyDescent="0.25">
      <c r="B62" s="15" t="e">
        <f t="shared" si="1"/>
        <v>#VALUE!</v>
      </c>
      <c r="C62" s="15" t="e">
        <f t="shared" si="2"/>
        <v>#VALUE!</v>
      </c>
      <c r="D62" s="15"/>
      <c r="E62" s="20">
        <f ca="1">IF(ISERROR(#REF!),TODAY(),#REF!)</f>
        <v>44557</v>
      </c>
      <c r="F62" s="15"/>
      <c r="G62" s="15"/>
      <c r="H62" s="21"/>
      <c r="I62" s="15"/>
      <c r="J62" s="15"/>
      <c r="K62" s="15"/>
      <c r="L62" s="15"/>
      <c r="M62" s="15"/>
      <c r="N62" s="15"/>
      <c r="O62" s="15"/>
      <c r="P62" s="15"/>
      <c r="Q62" s="15"/>
      <c r="R62" s="15"/>
      <c r="S62" s="15"/>
      <c r="T62" s="15"/>
      <c r="U62" s="15"/>
      <c r="V62" s="15"/>
      <c r="W62" s="15"/>
      <c r="X62" s="15"/>
      <c r="Y62" s="15"/>
      <c r="Z62" s="15"/>
    </row>
    <row r="63" spans="2:26" x14ac:dyDescent="0.25">
      <c r="B63" s="15" t="e">
        <f t="shared" si="1"/>
        <v>#VALUE!</v>
      </c>
      <c r="C63" s="15" t="e">
        <f t="shared" si="2"/>
        <v>#VALUE!</v>
      </c>
      <c r="D63" s="15"/>
      <c r="E63" s="20">
        <f ca="1">IF(ISERROR(#REF!),TODAY(),#REF!)</f>
        <v>44557</v>
      </c>
      <c r="F63" s="15"/>
      <c r="G63" s="15"/>
      <c r="H63" s="21"/>
      <c r="I63" s="15"/>
      <c r="J63" s="15"/>
      <c r="K63" s="15"/>
      <c r="L63" s="15"/>
      <c r="M63" s="15"/>
      <c r="N63" s="15"/>
      <c r="O63" s="15"/>
      <c r="P63" s="15"/>
      <c r="Q63" s="15"/>
      <c r="R63" s="15"/>
      <c r="S63" s="15"/>
      <c r="T63" s="15"/>
      <c r="U63" s="15"/>
      <c r="V63" s="15"/>
      <c r="W63" s="15"/>
      <c r="X63" s="15"/>
      <c r="Y63" s="15"/>
      <c r="Z63" s="15"/>
    </row>
    <row r="64" spans="2:26" x14ac:dyDescent="0.25">
      <c r="B64" s="15" t="e">
        <f t="shared" si="1"/>
        <v>#VALUE!</v>
      </c>
      <c r="C64" s="15" t="e">
        <f t="shared" si="2"/>
        <v>#VALUE!</v>
      </c>
      <c r="D64" s="15"/>
      <c r="E64" s="20">
        <f ca="1">IF(ISERROR(#REF!),TODAY(),#REF!)</f>
        <v>44557</v>
      </c>
      <c r="F64" s="15"/>
      <c r="G64" s="15"/>
      <c r="H64" s="21"/>
      <c r="I64" s="15"/>
      <c r="J64" s="15"/>
      <c r="K64" s="15"/>
      <c r="L64" s="15"/>
      <c r="M64" s="15"/>
      <c r="N64" s="15"/>
      <c r="O64" s="15"/>
      <c r="P64" s="15"/>
      <c r="Q64" s="15"/>
      <c r="R64" s="15"/>
      <c r="S64" s="15"/>
      <c r="T64" s="15"/>
      <c r="U64" s="15"/>
      <c r="V64" s="15"/>
      <c r="W64" s="15"/>
      <c r="X64" s="15"/>
      <c r="Y64" s="15"/>
      <c r="Z64" s="15"/>
    </row>
    <row r="65" spans="2:26" x14ac:dyDescent="0.25">
      <c r="B65" s="15" t="e">
        <f t="shared" si="1"/>
        <v>#VALUE!</v>
      </c>
      <c r="C65" s="15" t="e">
        <f t="shared" si="2"/>
        <v>#VALUE!</v>
      </c>
      <c r="D65" s="15"/>
      <c r="E65" s="20">
        <f ca="1">IF(ISERROR(#REF!),TODAY(),#REF!)</f>
        <v>44557</v>
      </c>
      <c r="F65" s="15"/>
      <c r="G65" s="15"/>
      <c r="H65" s="21"/>
      <c r="I65" s="15"/>
      <c r="J65" s="15"/>
      <c r="K65" s="15"/>
      <c r="L65" s="15"/>
      <c r="M65" s="15"/>
      <c r="N65" s="15"/>
      <c r="O65" s="15"/>
      <c r="P65" s="15"/>
      <c r="Q65" s="15"/>
      <c r="R65" s="15"/>
      <c r="S65" s="15"/>
      <c r="T65" s="15"/>
      <c r="U65" s="15"/>
      <c r="V65" s="15"/>
      <c r="W65" s="15"/>
      <c r="X65" s="15"/>
      <c r="Y65" s="15"/>
      <c r="Z65" s="15"/>
    </row>
    <row r="66" spans="2:26" x14ac:dyDescent="0.25">
      <c r="B66" s="15" t="e">
        <f t="shared" ref="B66:B129" si="3" xml:space="preserve"> MID(A66,SEARCH(":",A66)+2,SEARCH(":",A66,SEARCH(":",A66)+1)-SEARCH(":",A66)-3)</f>
        <v>#VALUE!</v>
      </c>
      <c r="C66" s="15" t="e">
        <f t="shared" ref="C66:C97" si="4" xml:space="preserve"> MID(A66,SEARCH(":",A66)+2,SEARCH(":",A66,SEARCH(":",A66)+1)-SEARCH(":",A66)-3)</f>
        <v>#VALUE!</v>
      </c>
      <c r="D66" s="15"/>
      <c r="E66" s="20">
        <f ca="1">IF(ISERROR(#REF!),TODAY(),#REF!)</f>
        <v>44557</v>
      </c>
      <c r="F66" s="15"/>
      <c r="G66" s="15"/>
      <c r="H66" s="21"/>
      <c r="I66" s="15"/>
      <c r="J66" s="15"/>
      <c r="K66" s="15"/>
      <c r="L66" s="15"/>
      <c r="M66" s="15"/>
      <c r="N66" s="15"/>
      <c r="O66" s="15"/>
      <c r="P66" s="15"/>
      <c r="Q66" s="15"/>
      <c r="R66" s="15"/>
      <c r="S66" s="15"/>
      <c r="T66" s="15"/>
      <c r="U66" s="15"/>
      <c r="V66" s="15"/>
      <c r="W66" s="15"/>
      <c r="X66" s="15"/>
      <c r="Y66" s="15"/>
      <c r="Z66" s="15"/>
    </row>
    <row r="67" spans="2:26" x14ac:dyDescent="0.25">
      <c r="B67" s="15" t="e">
        <f t="shared" si="3"/>
        <v>#VALUE!</v>
      </c>
      <c r="C67" s="15" t="e">
        <f t="shared" si="4"/>
        <v>#VALUE!</v>
      </c>
      <c r="D67" s="15"/>
      <c r="E67" s="20">
        <f ca="1">IF(ISERROR(#REF!),TODAY(),#REF!)</f>
        <v>44557</v>
      </c>
      <c r="F67" s="15"/>
      <c r="G67" s="15"/>
      <c r="H67" s="21"/>
      <c r="I67" s="15"/>
      <c r="J67" s="15"/>
      <c r="K67" s="15"/>
      <c r="L67" s="15"/>
      <c r="M67" s="15"/>
      <c r="N67" s="15"/>
      <c r="O67" s="15"/>
      <c r="P67" s="15"/>
      <c r="Q67" s="15"/>
      <c r="R67" s="15"/>
      <c r="S67" s="15"/>
      <c r="T67" s="15"/>
      <c r="U67" s="15"/>
      <c r="V67" s="15"/>
      <c r="W67" s="15"/>
      <c r="X67" s="15"/>
      <c r="Y67" s="15"/>
      <c r="Z67" s="15"/>
    </row>
    <row r="68" spans="2:26" x14ac:dyDescent="0.25">
      <c r="B68" s="15" t="e">
        <f t="shared" si="3"/>
        <v>#VALUE!</v>
      </c>
      <c r="C68" s="15" t="e">
        <f t="shared" si="4"/>
        <v>#VALUE!</v>
      </c>
      <c r="D68" s="15"/>
      <c r="E68" s="20">
        <f ca="1">IF(ISERROR(#REF!),TODAY(),#REF!)</f>
        <v>44557</v>
      </c>
      <c r="F68" s="15"/>
      <c r="G68" s="15"/>
      <c r="H68" s="21"/>
      <c r="I68" s="15"/>
      <c r="J68" s="15"/>
      <c r="K68" s="15"/>
      <c r="L68" s="15"/>
      <c r="M68" s="15"/>
      <c r="N68" s="15"/>
      <c r="O68" s="15"/>
      <c r="P68" s="15"/>
      <c r="Q68" s="15"/>
      <c r="R68" s="15"/>
      <c r="S68" s="15"/>
      <c r="T68" s="15"/>
      <c r="U68" s="15"/>
      <c r="V68" s="15"/>
      <c r="W68" s="15"/>
      <c r="X68" s="15"/>
      <c r="Y68" s="15"/>
      <c r="Z68" s="15"/>
    </row>
    <row r="69" spans="2:26" x14ac:dyDescent="0.25">
      <c r="B69" s="15" t="e">
        <f t="shared" si="3"/>
        <v>#VALUE!</v>
      </c>
      <c r="C69" s="15" t="e">
        <f t="shared" si="4"/>
        <v>#VALUE!</v>
      </c>
      <c r="D69" s="15"/>
      <c r="E69" s="20">
        <f ca="1">IF(ISERROR(#REF!),TODAY(),#REF!)</f>
        <v>44557</v>
      </c>
      <c r="F69" s="15"/>
      <c r="G69" s="15"/>
      <c r="H69" s="21"/>
      <c r="I69" s="15"/>
      <c r="J69" s="15"/>
      <c r="K69" s="15"/>
      <c r="L69" s="15"/>
      <c r="M69" s="15"/>
      <c r="N69" s="15"/>
      <c r="O69" s="15"/>
      <c r="P69" s="15"/>
      <c r="Q69" s="15"/>
      <c r="R69" s="15"/>
      <c r="S69" s="15"/>
      <c r="T69" s="15"/>
      <c r="U69" s="15"/>
      <c r="V69" s="15"/>
      <c r="W69" s="15"/>
      <c r="X69" s="15"/>
      <c r="Y69" s="15"/>
      <c r="Z69" s="15"/>
    </row>
    <row r="70" spans="2:26" x14ac:dyDescent="0.25">
      <c r="B70" s="15" t="e">
        <f t="shared" si="3"/>
        <v>#VALUE!</v>
      </c>
      <c r="C70" s="15" t="e">
        <f t="shared" si="4"/>
        <v>#VALUE!</v>
      </c>
      <c r="D70" s="15"/>
      <c r="E70" s="20">
        <f ca="1">IF(ISERROR(#REF!),TODAY(),#REF!)</f>
        <v>44557</v>
      </c>
      <c r="F70" s="15"/>
      <c r="G70" s="15"/>
      <c r="H70" s="21"/>
      <c r="I70" s="15"/>
      <c r="J70" s="15"/>
      <c r="K70" s="15"/>
      <c r="L70" s="15"/>
      <c r="M70" s="15"/>
      <c r="N70" s="15"/>
      <c r="O70" s="15"/>
      <c r="P70" s="15"/>
      <c r="Q70" s="15"/>
      <c r="R70" s="15"/>
      <c r="S70" s="15"/>
      <c r="T70" s="15"/>
      <c r="U70" s="15"/>
      <c r="V70" s="15"/>
      <c r="W70" s="15"/>
      <c r="X70" s="15"/>
      <c r="Y70" s="15"/>
      <c r="Z70" s="15"/>
    </row>
    <row r="71" spans="2:26" x14ac:dyDescent="0.25">
      <c r="B71" s="15" t="e">
        <f t="shared" si="3"/>
        <v>#VALUE!</v>
      </c>
      <c r="C71" s="15" t="e">
        <f t="shared" si="4"/>
        <v>#VALUE!</v>
      </c>
      <c r="D71" s="15"/>
      <c r="E71" s="20">
        <f ca="1">IF(ISERROR(#REF!),TODAY(),#REF!)</f>
        <v>44557</v>
      </c>
      <c r="F71" s="15"/>
      <c r="G71" s="15"/>
      <c r="H71" s="21"/>
      <c r="I71" s="15"/>
      <c r="J71" s="15"/>
      <c r="K71" s="15"/>
      <c r="L71" s="15"/>
      <c r="M71" s="15"/>
      <c r="N71" s="15"/>
      <c r="O71" s="15"/>
      <c r="P71" s="15"/>
      <c r="Q71" s="15"/>
      <c r="R71" s="15"/>
      <c r="S71" s="15"/>
      <c r="T71" s="15"/>
      <c r="U71" s="15"/>
      <c r="V71" s="15"/>
      <c r="W71" s="15"/>
      <c r="X71" s="15"/>
      <c r="Y71" s="15"/>
      <c r="Z71" s="15"/>
    </row>
    <row r="72" spans="2:26" x14ac:dyDescent="0.25">
      <c r="B72" s="15" t="e">
        <f t="shared" si="3"/>
        <v>#VALUE!</v>
      </c>
      <c r="C72" s="15" t="e">
        <f t="shared" si="4"/>
        <v>#VALUE!</v>
      </c>
      <c r="D72" s="15"/>
      <c r="E72" s="20">
        <f ca="1">IF(ISERROR(#REF!),TODAY(),#REF!)</f>
        <v>44557</v>
      </c>
      <c r="F72" s="15"/>
      <c r="G72" s="15"/>
      <c r="H72" s="21"/>
      <c r="I72" s="15"/>
      <c r="J72" s="15"/>
      <c r="K72" s="15"/>
      <c r="L72" s="15"/>
      <c r="M72" s="15"/>
      <c r="N72" s="15"/>
      <c r="O72" s="15"/>
      <c r="P72" s="15"/>
      <c r="Q72" s="15"/>
      <c r="R72" s="15"/>
      <c r="S72" s="15"/>
      <c r="T72" s="15"/>
      <c r="U72" s="15"/>
      <c r="V72" s="15"/>
      <c r="W72" s="15"/>
      <c r="X72" s="15"/>
      <c r="Y72" s="15"/>
      <c r="Z72" s="15"/>
    </row>
    <row r="73" spans="2:26" x14ac:dyDescent="0.25">
      <c r="B73" s="15" t="e">
        <f t="shared" si="3"/>
        <v>#VALUE!</v>
      </c>
      <c r="C73" s="15" t="e">
        <f t="shared" si="4"/>
        <v>#VALUE!</v>
      </c>
      <c r="D73" s="15"/>
      <c r="E73" s="20">
        <f ca="1">IF(ISERROR(#REF!),TODAY(),#REF!)</f>
        <v>44557</v>
      </c>
      <c r="F73" s="15"/>
      <c r="G73" s="15"/>
      <c r="H73" s="21"/>
      <c r="I73" s="15"/>
      <c r="J73" s="15"/>
      <c r="K73" s="15"/>
      <c r="L73" s="15"/>
      <c r="M73" s="15"/>
      <c r="N73" s="15"/>
      <c r="O73" s="15"/>
      <c r="P73" s="15"/>
      <c r="Q73" s="15"/>
      <c r="R73" s="15"/>
      <c r="S73" s="15"/>
      <c r="T73" s="15"/>
      <c r="U73" s="15"/>
      <c r="V73" s="15"/>
      <c r="W73" s="15"/>
      <c r="X73" s="15"/>
      <c r="Y73" s="15"/>
      <c r="Z73" s="15"/>
    </row>
    <row r="74" spans="2:26" x14ac:dyDescent="0.25">
      <c r="B74" s="15" t="e">
        <f t="shared" si="3"/>
        <v>#VALUE!</v>
      </c>
      <c r="C74" s="15" t="e">
        <f t="shared" si="4"/>
        <v>#VALUE!</v>
      </c>
      <c r="D74" s="15"/>
      <c r="E74" s="20">
        <f ca="1">IF(ISERROR(#REF!),TODAY(),#REF!)</f>
        <v>44557</v>
      </c>
      <c r="F74" s="15"/>
      <c r="G74" s="15"/>
      <c r="H74" s="21"/>
      <c r="I74" s="15"/>
      <c r="J74" s="15"/>
      <c r="K74" s="15"/>
      <c r="L74" s="15"/>
      <c r="M74" s="15"/>
      <c r="N74" s="15"/>
      <c r="O74" s="15"/>
      <c r="P74" s="15"/>
      <c r="Q74" s="15"/>
      <c r="R74" s="15"/>
      <c r="S74" s="15"/>
      <c r="T74" s="15"/>
      <c r="U74" s="15"/>
      <c r="V74" s="15"/>
      <c r="W74" s="15"/>
      <c r="X74" s="15"/>
      <c r="Y74" s="15"/>
      <c r="Z74" s="15"/>
    </row>
    <row r="75" spans="2:26" x14ac:dyDescent="0.25">
      <c r="B75" s="15" t="e">
        <f t="shared" si="3"/>
        <v>#VALUE!</v>
      </c>
      <c r="C75" s="15" t="e">
        <f t="shared" si="4"/>
        <v>#VALUE!</v>
      </c>
      <c r="D75" s="15"/>
      <c r="E75" s="20">
        <f ca="1">IF(ISERROR(#REF!),TODAY(),#REF!)</f>
        <v>44557</v>
      </c>
      <c r="F75" s="15"/>
      <c r="G75" s="15"/>
      <c r="H75" s="21"/>
      <c r="I75" s="15"/>
      <c r="J75" s="15"/>
      <c r="K75" s="15"/>
      <c r="L75" s="15"/>
      <c r="M75" s="15"/>
      <c r="N75" s="15"/>
      <c r="O75" s="15"/>
      <c r="P75" s="15"/>
      <c r="Q75" s="15"/>
      <c r="R75" s="15"/>
      <c r="S75" s="15"/>
      <c r="T75" s="15"/>
      <c r="U75" s="15"/>
      <c r="V75" s="15"/>
      <c r="W75" s="15"/>
      <c r="X75" s="15"/>
      <c r="Y75" s="15"/>
      <c r="Z75" s="15"/>
    </row>
    <row r="76" spans="2:26" x14ac:dyDescent="0.25">
      <c r="B76" s="15" t="e">
        <f t="shared" si="3"/>
        <v>#VALUE!</v>
      </c>
      <c r="C76" s="15" t="e">
        <f t="shared" si="4"/>
        <v>#VALUE!</v>
      </c>
      <c r="D76" s="15"/>
      <c r="E76" s="20">
        <f ca="1">IF(ISERROR(#REF!),TODAY(),#REF!)</f>
        <v>44557</v>
      </c>
      <c r="F76" s="15"/>
      <c r="G76" s="15"/>
      <c r="H76" s="21"/>
      <c r="I76" s="15"/>
      <c r="J76" s="15"/>
      <c r="K76" s="15"/>
      <c r="L76" s="15"/>
      <c r="M76" s="15"/>
      <c r="N76" s="15"/>
      <c r="O76" s="15"/>
      <c r="P76" s="15"/>
      <c r="Q76" s="15"/>
      <c r="R76" s="15"/>
      <c r="S76" s="15"/>
      <c r="T76" s="15"/>
      <c r="U76" s="15"/>
      <c r="V76" s="15"/>
      <c r="W76" s="15"/>
      <c r="X76" s="15"/>
      <c r="Y76" s="15"/>
      <c r="Z76" s="15"/>
    </row>
    <row r="77" spans="2:26" x14ac:dyDescent="0.25">
      <c r="B77" s="15" t="e">
        <f t="shared" si="3"/>
        <v>#VALUE!</v>
      </c>
      <c r="C77" s="15" t="e">
        <f t="shared" si="4"/>
        <v>#VALUE!</v>
      </c>
      <c r="D77" s="15"/>
      <c r="E77" s="20">
        <f ca="1">IF(ISERROR(#REF!),TODAY(),#REF!)</f>
        <v>44557</v>
      </c>
      <c r="F77" s="15"/>
      <c r="G77" s="15"/>
      <c r="H77" s="21"/>
      <c r="I77" s="15"/>
      <c r="J77" s="15"/>
      <c r="K77" s="15"/>
      <c r="L77" s="15"/>
      <c r="M77" s="15"/>
      <c r="N77" s="15"/>
      <c r="O77" s="15"/>
      <c r="P77" s="15"/>
      <c r="Q77" s="15"/>
      <c r="R77" s="15"/>
      <c r="S77" s="15"/>
      <c r="T77" s="15"/>
      <c r="U77" s="15"/>
      <c r="V77" s="15"/>
      <c r="W77" s="15"/>
      <c r="X77" s="15"/>
      <c r="Y77" s="15"/>
      <c r="Z77" s="15"/>
    </row>
    <row r="78" spans="2:26" x14ac:dyDescent="0.25">
      <c r="B78" s="15" t="e">
        <f t="shared" si="3"/>
        <v>#VALUE!</v>
      </c>
      <c r="C78" s="15" t="e">
        <f t="shared" si="4"/>
        <v>#VALUE!</v>
      </c>
      <c r="D78" s="15"/>
      <c r="E78" s="20">
        <f ca="1">IF(ISERROR(#REF!),TODAY(),#REF!)</f>
        <v>44557</v>
      </c>
      <c r="F78" s="15"/>
      <c r="G78" s="15"/>
      <c r="H78" s="21"/>
      <c r="I78" s="15"/>
      <c r="J78" s="15"/>
      <c r="K78" s="15"/>
      <c r="L78" s="15"/>
      <c r="M78" s="15"/>
      <c r="N78" s="15"/>
      <c r="O78" s="15"/>
      <c r="P78" s="15"/>
      <c r="Q78" s="15"/>
      <c r="R78" s="15"/>
      <c r="S78" s="15"/>
      <c r="T78" s="15"/>
      <c r="U78" s="15"/>
      <c r="V78" s="15"/>
      <c r="W78" s="15"/>
      <c r="X78" s="15"/>
      <c r="Y78" s="15"/>
      <c r="Z78" s="15"/>
    </row>
    <row r="79" spans="2:26" x14ac:dyDescent="0.25">
      <c r="B79" s="15" t="e">
        <f t="shared" si="3"/>
        <v>#VALUE!</v>
      </c>
      <c r="C79" s="15" t="e">
        <f t="shared" si="4"/>
        <v>#VALUE!</v>
      </c>
      <c r="D79" s="15"/>
      <c r="E79" s="20">
        <f ca="1">IF(ISERROR(#REF!),TODAY(),#REF!)</f>
        <v>44557</v>
      </c>
      <c r="F79" s="15"/>
      <c r="G79" s="15"/>
      <c r="H79" s="21"/>
      <c r="I79" s="15"/>
      <c r="J79" s="15"/>
      <c r="K79" s="15"/>
      <c r="L79" s="15"/>
      <c r="M79" s="15"/>
      <c r="N79" s="15"/>
      <c r="O79" s="15"/>
      <c r="P79" s="15"/>
      <c r="Q79" s="15"/>
      <c r="R79" s="15"/>
      <c r="S79" s="15"/>
      <c r="T79" s="15"/>
      <c r="U79" s="15"/>
      <c r="V79" s="15"/>
      <c r="W79" s="15"/>
      <c r="X79" s="15"/>
      <c r="Y79" s="15"/>
      <c r="Z79" s="15"/>
    </row>
    <row r="80" spans="2:26" x14ac:dyDescent="0.25">
      <c r="B80" s="15" t="e">
        <f t="shared" si="3"/>
        <v>#VALUE!</v>
      </c>
      <c r="C80" s="15" t="e">
        <f t="shared" si="4"/>
        <v>#VALUE!</v>
      </c>
      <c r="D80" s="15"/>
      <c r="E80" s="20">
        <f ca="1">IF(ISERROR(#REF!),TODAY(),#REF!)</f>
        <v>44557</v>
      </c>
      <c r="F80" s="15"/>
      <c r="G80" s="15"/>
      <c r="H80" s="21"/>
      <c r="I80" s="15"/>
      <c r="J80" s="15"/>
      <c r="K80" s="15"/>
      <c r="L80" s="15"/>
      <c r="M80" s="15"/>
      <c r="N80" s="15"/>
      <c r="O80" s="15"/>
      <c r="P80" s="15"/>
      <c r="Q80" s="15"/>
      <c r="R80" s="15"/>
      <c r="S80" s="15"/>
      <c r="T80" s="15"/>
      <c r="U80" s="15"/>
      <c r="V80" s="15"/>
      <c r="W80" s="15"/>
      <c r="X80" s="15"/>
      <c r="Y80" s="15"/>
      <c r="Z80" s="15"/>
    </row>
    <row r="81" spans="2:26" x14ac:dyDescent="0.25">
      <c r="B81" s="15" t="e">
        <f t="shared" si="3"/>
        <v>#VALUE!</v>
      </c>
      <c r="C81" s="15" t="e">
        <f t="shared" si="4"/>
        <v>#VALUE!</v>
      </c>
      <c r="D81" s="15"/>
      <c r="E81" s="20">
        <f ca="1">IF(ISERROR(#REF!),TODAY(),#REF!)</f>
        <v>44557</v>
      </c>
      <c r="F81" s="15"/>
      <c r="G81" s="15"/>
      <c r="H81" s="21"/>
      <c r="I81" s="15"/>
      <c r="J81" s="15"/>
      <c r="K81" s="15"/>
      <c r="L81" s="15"/>
      <c r="M81" s="15"/>
      <c r="N81" s="15"/>
      <c r="O81" s="15"/>
      <c r="P81" s="15"/>
      <c r="Q81" s="15"/>
      <c r="R81" s="15"/>
      <c r="S81" s="15"/>
      <c r="T81" s="15"/>
      <c r="U81" s="15"/>
      <c r="V81" s="15"/>
      <c r="W81" s="15"/>
      <c r="X81" s="15"/>
      <c r="Y81" s="15"/>
      <c r="Z81" s="15"/>
    </row>
    <row r="82" spans="2:26" x14ac:dyDescent="0.25">
      <c r="B82" s="15" t="e">
        <f t="shared" si="3"/>
        <v>#VALUE!</v>
      </c>
      <c r="C82" s="15" t="e">
        <f t="shared" si="4"/>
        <v>#VALUE!</v>
      </c>
      <c r="D82" s="15"/>
      <c r="E82" s="20">
        <f ca="1">IF(ISERROR(#REF!),TODAY(),#REF!)</f>
        <v>44557</v>
      </c>
      <c r="F82" s="15"/>
      <c r="G82" s="15"/>
      <c r="H82" s="21"/>
      <c r="I82" s="15"/>
      <c r="J82" s="15"/>
      <c r="K82" s="15"/>
      <c r="L82" s="15"/>
      <c r="M82" s="15"/>
      <c r="N82" s="15"/>
      <c r="O82" s="15"/>
      <c r="P82" s="15"/>
      <c r="Q82" s="15"/>
      <c r="R82" s="15"/>
      <c r="S82" s="15"/>
      <c r="T82" s="15"/>
      <c r="U82" s="15"/>
      <c r="V82" s="15"/>
      <c r="W82" s="15"/>
      <c r="X82" s="15"/>
      <c r="Y82" s="15"/>
      <c r="Z82" s="15"/>
    </row>
    <row r="83" spans="2:26" x14ac:dyDescent="0.25">
      <c r="B83" s="15" t="e">
        <f t="shared" si="3"/>
        <v>#VALUE!</v>
      </c>
      <c r="C83" s="15" t="e">
        <f t="shared" si="4"/>
        <v>#VALUE!</v>
      </c>
      <c r="D83" s="15"/>
      <c r="E83" s="20">
        <f ca="1">IF(ISERROR(#REF!),TODAY(),#REF!)</f>
        <v>44557</v>
      </c>
      <c r="F83" s="15"/>
      <c r="G83" s="15"/>
      <c r="H83" s="21"/>
      <c r="I83" s="15"/>
      <c r="J83" s="15"/>
      <c r="K83" s="15"/>
      <c r="L83" s="15"/>
      <c r="M83" s="15"/>
      <c r="N83" s="15"/>
      <c r="O83" s="15"/>
      <c r="P83" s="15"/>
      <c r="Q83" s="15"/>
      <c r="R83" s="15"/>
      <c r="S83" s="15"/>
      <c r="T83" s="15"/>
      <c r="U83" s="15"/>
      <c r="V83" s="15"/>
      <c r="W83" s="15"/>
      <c r="X83" s="15"/>
      <c r="Y83" s="15"/>
      <c r="Z83" s="15"/>
    </row>
    <row r="84" spans="2:26" x14ac:dyDescent="0.25">
      <c r="B84" s="15" t="e">
        <f t="shared" si="3"/>
        <v>#VALUE!</v>
      </c>
      <c r="C84" s="15" t="e">
        <f t="shared" si="4"/>
        <v>#VALUE!</v>
      </c>
      <c r="D84" s="15"/>
      <c r="E84" s="20">
        <f ca="1">IF(ISERROR(#REF!),TODAY(),#REF!)</f>
        <v>44557</v>
      </c>
      <c r="F84" s="15"/>
      <c r="G84" s="15"/>
      <c r="H84" s="21"/>
      <c r="I84" s="15"/>
      <c r="J84" s="15"/>
      <c r="K84" s="15"/>
      <c r="L84" s="15"/>
      <c r="M84" s="15"/>
      <c r="N84" s="15"/>
      <c r="O84" s="15"/>
      <c r="P84" s="15"/>
      <c r="Q84" s="15"/>
      <c r="R84" s="15"/>
      <c r="S84" s="15"/>
      <c r="T84" s="15"/>
      <c r="U84" s="15"/>
      <c r="V84" s="15"/>
      <c r="W84" s="15"/>
      <c r="X84" s="15"/>
      <c r="Y84" s="15"/>
      <c r="Z84" s="15"/>
    </row>
    <row r="85" spans="2:26" x14ac:dyDescent="0.25">
      <c r="B85" s="15" t="e">
        <f t="shared" si="3"/>
        <v>#VALUE!</v>
      </c>
      <c r="C85" s="15" t="e">
        <f t="shared" si="4"/>
        <v>#VALUE!</v>
      </c>
      <c r="D85" s="15"/>
      <c r="E85" s="20">
        <f ca="1">IF(ISERROR(#REF!),TODAY(),#REF!)</f>
        <v>44557</v>
      </c>
      <c r="F85" s="15"/>
      <c r="G85" s="15"/>
      <c r="H85" s="21"/>
      <c r="I85" s="15"/>
      <c r="J85" s="15"/>
      <c r="K85" s="15"/>
      <c r="L85" s="15"/>
      <c r="M85" s="15"/>
      <c r="N85" s="15"/>
      <c r="O85" s="15"/>
      <c r="P85" s="15"/>
      <c r="Q85" s="15"/>
      <c r="R85" s="15"/>
      <c r="S85" s="15"/>
      <c r="T85" s="15"/>
      <c r="U85" s="15"/>
      <c r="V85" s="15"/>
      <c r="W85" s="15"/>
      <c r="X85" s="15"/>
      <c r="Y85" s="15"/>
      <c r="Z85" s="15"/>
    </row>
    <row r="86" spans="2:26" x14ac:dyDescent="0.25">
      <c r="B86" s="15" t="e">
        <f t="shared" si="3"/>
        <v>#VALUE!</v>
      </c>
      <c r="C86" s="15" t="e">
        <f t="shared" si="4"/>
        <v>#VALUE!</v>
      </c>
      <c r="D86" s="15"/>
      <c r="E86" s="20">
        <f ca="1">IF(ISERROR(#REF!),TODAY(),#REF!)</f>
        <v>44557</v>
      </c>
      <c r="F86" s="15"/>
      <c r="G86" s="15"/>
      <c r="H86" s="21"/>
      <c r="I86" s="15"/>
      <c r="J86" s="15"/>
      <c r="K86" s="15"/>
      <c r="L86" s="15"/>
      <c r="M86" s="15"/>
      <c r="N86" s="15"/>
      <c r="O86" s="15"/>
      <c r="P86" s="15"/>
      <c r="Q86" s="15"/>
      <c r="R86" s="15"/>
      <c r="S86" s="15"/>
      <c r="T86" s="15"/>
      <c r="U86" s="15"/>
      <c r="V86" s="15"/>
      <c r="W86" s="15"/>
      <c r="X86" s="15"/>
      <c r="Y86" s="15"/>
      <c r="Z86" s="15"/>
    </row>
    <row r="87" spans="2:26" x14ac:dyDescent="0.25">
      <c r="B87" s="15" t="e">
        <f t="shared" si="3"/>
        <v>#VALUE!</v>
      </c>
      <c r="C87" s="15" t="e">
        <f t="shared" si="4"/>
        <v>#VALUE!</v>
      </c>
      <c r="D87" s="15"/>
      <c r="E87" s="20">
        <f ca="1">IF(ISERROR(#REF!),TODAY(),#REF!)</f>
        <v>44557</v>
      </c>
      <c r="F87" s="15"/>
      <c r="G87" s="15"/>
      <c r="H87" s="21"/>
      <c r="I87" s="15"/>
      <c r="J87" s="15"/>
      <c r="K87" s="15"/>
      <c r="L87" s="15"/>
      <c r="M87" s="15"/>
      <c r="N87" s="15"/>
      <c r="O87" s="15"/>
      <c r="P87" s="15"/>
      <c r="Q87" s="15"/>
      <c r="R87" s="15"/>
      <c r="S87" s="15"/>
      <c r="T87" s="15"/>
      <c r="U87" s="15"/>
      <c r="V87" s="15"/>
      <c r="W87" s="15"/>
      <c r="X87" s="15"/>
      <c r="Y87" s="15"/>
      <c r="Z87" s="15"/>
    </row>
    <row r="88" spans="2:26" x14ac:dyDescent="0.25">
      <c r="B88" s="15" t="e">
        <f t="shared" si="3"/>
        <v>#VALUE!</v>
      </c>
      <c r="C88" s="15" t="e">
        <f t="shared" si="4"/>
        <v>#VALUE!</v>
      </c>
      <c r="D88" s="15"/>
      <c r="E88" s="20">
        <f ca="1">IF(ISERROR(#REF!),TODAY(),#REF!)</f>
        <v>44557</v>
      </c>
      <c r="F88" s="15"/>
      <c r="G88" s="15"/>
      <c r="H88" s="21"/>
      <c r="I88" s="15"/>
      <c r="J88" s="15"/>
      <c r="K88" s="15"/>
      <c r="L88" s="15"/>
      <c r="M88" s="15"/>
      <c r="N88" s="15"/>
      <c r="O88" s="15"/>
      <c r="P88" s="15"/>
      <c r="Q88" s="15"/>
      <c r="R88" s="15"/>
      <c r="S88" s="15"/>
      <c r="T88" s="15"/>
      <c r="U88" s="15"/>
      <c r="V88" s="15"/>
      <c r="W88" s="15"/>
      <c r="X88" s="15"/>
      <c r="Y88" s="15"/>
      <c r="Z88" s="15"/>
    </row>
    <row r="89" spans="2:26" x14ac:dyDescent="0.25">
      <c r="B89" s="15" t="e">
        <f t="shared" si="3"/>
        <v>#VALUE!</v>
      </c>
      <c r="C89" s="15" t="e">
        <f t="shared" si="4"/>
        <v>#VALUE!</v>
      </c>
      <c r="D89" s="15"/>
      <c r="E89" s="20">
        <f ca="1">IF(ISERROR(#REF!),TODAY(),#REF!)</f>
        <v>44557</v>
      </c>
      <c r="F89" s="15"/>
      <c r="G89" s="15"/>
      <c r="H89" s="21"/>
      <c r="I89" s="15"/>
      <c r="J89" s="15"/>
      <c r="K89" s="15"/>
      <c r="L89" s="15"/>
      <c r="M89" s="15"/>
      <c r="N89" s="15"/>
      <c r="O89" s="15"/>
      <c r="P89" s="15"/>
      <c r="Q89" s="15"/>
      <c r="R89" s="15"/>
      <c r="S89" s="15"/>
      <c r="T89" s="15"/>
      <c r="U89" s="15"/>
      <c r="V89" s="15"/>
      <c r="W89" s="15"/>
      <c r="X89" s="15"/>
      <c r="Y89" s="15"/>
      <c r="Z89" s="15"/>
    </row>
    <row r="90" spans="2:26" x14ac:dyDescent="0.25">
      <c r="B90" s="15" t="e">
        <f t="shared" si="3"/>
        <v>#VALUE!</v>
      </c>
      <c r="C90" s="15" t="e">
        <f t="shared" si="4"/>
        <v>#VALUE!</v>
      </c>
      <c r="D90" s="15"/>
      <c r="E90" s="20">
        <f ca="1">IF(ISERROR(#REF!),TODAY(),#REF!)</f>
        <v>44557</v>
      </c>
      <c r="F90" s="15"/>
      <c r="G90" s="15"/>
      <c r="H90" s="21"/>
      <c r="I90" s="15"/>
      <c r="J90" s="15"/>
      <c r="K90" s="15"/>
      <c r="L90" s="15"/>
      <c r="M90" s="15"/>
      <c r="N90" s="15"/>
      <c r="O90" s="15"/>
      <c r="P90" s="15"/>
      <c r="Q90" s="15"/>
      <c r="R90" s="15"/>
      <c r="S90" s="15"/>
      <c r="T90" s="15"/>
      <c r="U90" s="15"/>
      <c r="V90" s="15"/>
      <c r="W90" s="15"/>
      <c r="X90" s="15"/>
      <c r="Y90" s="15"/>
      <c r="Z90" s="15"/>
    </row>
    <row r="91" spans="2:26" x14ac:dyDescent="0.25">
      <c r="B91" s="15" t="e">
        <f t="shared" si="3"/>
        <v>#VALUE!</v>
      </c>
      <c r="C91" s="15" t="e">
        <f t="shared" si="4"/>
        <v>#VALUE!</v>
      </c>
      <c r="D91" s="15"/>
      <c r="E91" s="20">
        <f ca="1">IF(ISERROR(#REF!),TODAY(),#REF!)</f>
        <v>44557</v>
      </c>
      <c r="F91" s="15"/>
      <c r="G91" s="15"/>
      <c r="H91" s="21"/>
      <c r="I91" s="15"/>
      <c r="J91" s="15"/>
      <c r="K91" s="15"/>
      <c r="L91" s="15"/>
      <c r="M91" s="15"/>
      <c r="N91" s="15"/>
      <c r="O91" s="15"/>
      <c r="P91" s="15"/>
      <c r="Q91" s="15"/>
      <c r="R91" s="15"/>
      <c r="S91" s="15"/>
      <c r="T91" s="15"/>
      <c r="U91" s="15"/>
      <c r="V91" s="15"/>
      <c r="W91" s="15"/>
      <c r="X91" s="15"/>
      <c r="Y91" s="15"/>
      <c r="Z91" s="15"/>
    </row>
    <row r="92" spans="2:26" x14ac:dyDescent="0.25">
      <c r="B92" s="15" t="e">
        <f t="shared" si="3"/>
        <v>#VALUE!</v>
      </c>
      <c r="C92" s="15" t="e">
        <f t="shared" si="4"/>
        <v>#VALUE!</v>
      </c>
      <c r="D92" s="15"/>
      <c r="E92" s="20">
        <f ca="1">IF(ISERROR(#REF!),TODAY(),#REF!)</f>
        <v>44557</v>
      </c>
      <c r="F92" s="15"/>
      <c r="G92" s="15"/>
      <c r="H92" s="21"/>
      <c r="I92" s="15"/>
      <c r="J92" s="15"/>
      <c r="K92" s="15"/>
      <c r="L92" s="15"/>
      <c r="M92" s="15"/>
      <c r="N92" s="15"/>
      <c r="O92" s="15"/>
      <c r="P92" s="15"/>
      <c r="Q92" s="15"/>
      <c r="R92" s="15"/>
      <c r="S92" s="15"/>
      <c r="T92" s="15"/>
      <c r="U92" s="15"/>
      <c r="V92" s="15"/>
      <c r="W92" s="15"/>
      <c r="X92" s="15"/>
      <c r="Y92" s="15"/>
      <c r="Z92" s="15"/>
    </row>
    <row r="93" spans="2:26" x14ac:dyDescent="0.25">
      <c r="B93" s="15" t="e">
        <f t="shared" si="3"/>
        <v>#VALUE!</v>
      </c>
      <c r="C93" s="15" t="e">
        <f t="shared" si="4"/>
        <v>#VALUE!</v>
      </c>
      <c r="D93" s="15"/>
      <c r="E93" s="20">
        <f ca="1">IF(ISERROR(#REF!),TODAY(),#REF!)</f>
        <v>44557</v>
      </c>
      <c r="F93" s="15"/>
      <c r="G93" s="15"/>
      <c r="H93" s="21"/>
      <c r="I93" s="15"/>
      <c r="J93" s="15"/>
      <c r="K93" s="15"/>
      <c r="L93" s="15"/>
      <c r="M93" s="15"/>
      <c r="N93" s="15"/>
      <c r="O93" s="15"/>
      <c r="P93" s="15"/>
      <c r="Q93" s="15"/>
      <c r="R93" s="15"/>
      <c r="S93" s="15"/>
      <c r="T93" s="15"/>
      <c r="U93" s="15"/>
      <c r="V93" s="15"/>
      <c r="W93" s="15"/>
      <c r="X93" s="15"/>
      <c r="Y93" s="15"/>
      <c r="Z93" s="15"/>
    </row>
    <row r="94" spans="2:26" x14ac:dyDescent="0.25">
      <c r="B94" s="15" t="e">
        <f t="shared" si="3"/>
        <v>#VALUE!</v>
      </c>
      <c r="C94" s="15" t="e">
        <f t="shared" si="4"/>
        <v>#VALUE!</v>
      </c>
      <c r="D94" s="15"/>
      <c r="E94" s="20">
        <f ca="1">IF(ISERROR(#REF!),TODAY(),#REF!)</f>
        <v>44557</v>
      </c>
      <c r="F94" s="15"/>
      <c r="G94" s="15"/>
      <c r="H94" s="21"/>
      <c r="I94" s="15"/>
      <c r="J94" s="15"/>
      <c r="K94" s="15"/>
      <c r="L94" s="15"/>
      <c r="M94" s="15"/>
      <c r="N94" s="15"/>
      <c r="O94" s="15"/>
      <c r="P94" s="15"/>
      <c r="Q94" s="15"/>
      <c r="R94" s="15"/>
      <c r="S94" s="15"/>
      <c r="T94" s="15"/>
      <c r="U94" s="15"/>
      <c r="V94" s="15"/>
      <c r="W94" s="15"/>
      <c r="X94" s="15"/>
      <c r="Y94" s="15"/>
      <c r="Z94" s="15"/>
    </row>
    <row r="95" spans="2:26" x14ac:dyDescent="0.25">
      <c r="B95" s="15" t="e">
        <f t="shared" si="3"/>
        <v>#VALUE!</v>
      </c>
      <c r="C95" s="15" t="e">
        <f t="shared" si="4"/>
        <v>#VALUE!</v>
      </c>
      <c r="D95" s="15"/>
      <c r="E95" s="20">
        <f ca="1">IF(ISERROR(#REF!),TODAY(),#REF!)</f>
        <v>44557</v>
      </c>
      <c r="F95" s="15"/>
      <c r="G95" s="15"/>
      <c r="H95" s="21"/>
      <c r="I95" s="15"/>
      <c r="J95" s="15"/>
      <c r="K95" s="15"/>
      <c r="L95" s="15"/>
      <c r="M95" s="15"/>
      <c r="N95" s="15"/>
      <c r="O95" s="15"/>
      <c r="P95" s="15"/>
      <c r="Q95" s="15"/>
      <c r="R95" s="15"/>
      <c r="S95" s="15"/>
      <c r="T95" s="15"/>
      <c r="U95" s="15"/>
      <c r="V95" s="15"/>
      <c r="W95" s="15"/>
      <c r="X95" s="15"/>
      <c r="Y95" s="15"/>
      <c r="Z95" s="15"/>
    </row>
    <row r="96" spans="2:26" x14ac:dyDescent="0.25">
      <c r="B96" s="15" t="e">
        <f t="shared" si="3"/>
        <v>#VALUE!</v>
      </c>
      <c r="C96" s="15" t="e">
        <f t="shared" si="4"/>
        <v>#VALUE!</v>
      </c>
      <c r="D96" s="15"/>
      <c r="E96" s="20">
        <f ca="1">IF(ISERROR(#REF!),TODAY(),#REF!)</f>
        <v>44557</v>
      </c>
      <c r="F96" s="15"/>
      <c r="G96" s="15"/>
      <c r="H96" s="21"/>
      <c r="I96" s="15"/>
      <c r="J96" s="15"/>
      <c r="K96" s="15"/>
      <c r="L96" s="15"/>
      <c r="M96" s="15"/>
      <c r="N96" s="15"/>
      <c r="O96" s="15"/>
      <c r="P96" s="15"/>
      <c r="Q96" s="15"/>
      <c r="R96" s="15"/>
      <c r="S96" s="15"/>
      <c r="T96" s="15"/>
      <c r="U96" s="15"/>
      <c r="V96" s="15"/>
      <c r="W96" s="15"/>
      <c r="X96" s="15"/>
      <c r="Y96" s="15"/>
      <c r="Z96" s="15"/>
    </row>
    <row r="97" spans="2:26" x14ac:dyDescent="0.25">
      <c r="B97" s="15" t="e">
        <f t="shared" si="3"/>
        <v>#VALUE!</v>
      </c>
      <c r="C97" s="15" t="e">
        <f t="shared" si="4"/>
        <v>#VALUE!</v>
      </c>
      <c r="D97" s="15"/>
      <c r="E97" s="20">
        <f ca="1">IF(ISERROR(#REF!),TODAY(),#REF!)</f>
        <v>44557</v>
      </c>
      <c r="F97" s="15"/>
      <c r="G97" s="15"/>
      <c r="H97" s="21"/>
      <c r="I97" s="15"/>
      <c r="J97" s="15"/>
      <c r="K97" s="15"/>
      <c r="L97" s="15"/>
      <c r="M97" s="15"/>
      <c r="N97" s="15"/>
      <c r="O97" s="15"/>
      <c r="P97" s="15"/>
      <c r="Q97" s="15"/>
      <c r="R97" s="15"/>
      <c r="S97" s="15"/>
      <c r="T97" s="15"/>
      <c r="U97" s="15"/>
      <c r="V97" s="15"/>
      <c r="W97" s="15"/>
      <c r="X97" s="15"/>
      <c r="Y97" s="15"/>
      <c r="Z97" s="15"/>
    </row>
    <row r="98" spans="2:26" x14ac:dyDescent="0.25">
      <c r="B98" s="15" t="e">
        <f t="shared" si="3"/>
        <v>#VALUE!</v>
      </c>
      <c r="C98" s="15" t="e">
        <f t="shared" ref="C98:C129" si="5" xml:space="preserve"> MID(A98,SEARCH(":",A98)+2,SEARCH(":",A98,SEARCH(":",A98)+1)-SEARCH(":",A98)-3)</f>
        <v>#VALUE!</v>
      </c>
      <c r="D98" s="15"/>
      <c r="E98" s="20">
        <f ca="1">IF(ISERROR(#REF!),TODAY(),#REF!)</f>
        <v>44557</v>
      </c>
      <c r="F98" s="15"/>
      <c r="G98" s="15"/>
      <c r="H98" s="21"/>
      <c r="I98" s="15"/>
      <c r="J98" s="15"/>
      <c r="K98" s="15"/>
      <c r="L98" s="15"/>
      <c r="M98" s="15"/>
      <c r="N98" s="15"/>
      <c r="O98" s="15"/>
      <c r="P98" s="15"/>
      <c r="Q98" s="15"/>
      <c r="R98" s="15"/>
      <c r="S98" s="15"/>
      <c r="T98" s="15"/>
      <c r="U98" s="15"/>
      <c r="V98" s="15"/>
      <c r="W98" s="15"/>
      <c r="X98" s="15"/>
      <c r="Y98" s="15"/>
      <c r="Z98" s="15"/>
    </row>
    <row r="99" spans="2:26" x14ac:dyDescent="0.25">
      <c r="B99" s="15" t="e">
        <f t="shared" si="3"/>
        <v>#VALUE!</v>
      </c>
      <c r="C99" s="15" t="e">
        <f t="shared" si="5"/>
        <v>#VALUE!</v>
      </c>
      <c r="D99" s="15"/>
      <c r="E99" s="20">
        <f ca="1">IF(ISERROR(#REF!),TODAY(),#REF!)</f>
        <v>44557</v>
      </c>
      <c r="F99" s="15"/>
      <c r="G99" s="15"/>
      <c r="H99" s="21"/>
      <c r="I99" s="15"/>
      <c r="J99" s="15"/>
      <c r="K99" s="15"/>
      <c r="L99" s="15"/>
      <c r="M99" s="15"/>
      <c r="N99" s="15"/>
      <c r="O99" s="15"/>
      <c r="P99" s="15"/>
      <c r="Q99" s="15"/>
      <c r="R99" s="15"/>
      <c r="S99" s="15"/>
      <c r="T99" s="15"/>
      <c r="U99" s="15"/>
      <c r="V99" s="15"/>
      <c r="W99" s="15"/>
      <c r="X99" s="15"/>
      <c r="Y99" s="15"/>
      <c r="Z99" s="15"/>
    </row>
    <row r="100" spans="2:26" x14ac:dyDescent="0.25">
      <c r="B100" s="15" t="e">
        <f t="shared" si="3"/>
        <v>#VALUE!</v>
      </c>
      <c r="C100" s="15" t="e">
        <f t="shared" si="5"/>
        <v>#VALUE!</v>
      </c>
      <c r="D100" s="15"/>
      <c r="E100" s="20">
        <f ca="1">IF(ISERROR(#REF!),TODAY(),#REF!)</f>
        <v>44557</v>
      </c>
      <c r="F100" s="15"/>
      <c r="G100" s="15"/>
      <c r="H100" s="21"/>
      <c r="I100" s="15"/>
      <c r="J100" s="15"/>
      <c r="K100" s="15"/>
      <c r="L100" s="15"/>
      <c r="M100" s="15"/>
      <c r="N100" s="15"/>
      <c r="O100" s="15"/>
      <c r="P100" s="15"/>
      <c r="Q100" s="15"/>
      <c r="R100" s="15"/>
      <c r="S100" s="15"/>
      <c r="T100" s="15"/>
      <c r="U100" s="15"/>
      <c r="V100" s="15"/>
      <c r="W100" s="15"/>
      <c r="X100" s="15"/>
      <c r="Y100" s="15"/>
      <c r="Z100" s="15"/>
    </row>
    <row r="101" spans="2:26" x14ac:dyDescent="0.25">
      <c r="B101" s="15" t="e">
        <f t="shared" si="3"/>
        <v>#VALUE!</v>
      </c>
      <c r="C101" s="15" t="e">
        <f t="shared" si="5"/>
        <v>#VALUE!</v>
      </c>
      <c r="D101" s="15"/>
      <c r="E101" s="20">
        <f ca="1">IF(ISERROR(#REF!),TODAY(),#REF!)</f>
        <v>44557</v>
      </c>
      <c r="F101" s="15"/>
      <c r="G101" s="15"/>
      <c r="H101" s="21"/>
      <c r="I101" s="15"/>
      <c r="J101" s="15"/>
      <c r="K101" s="15"/>
      <c r="L101" s="15"/>
      <c r="M101" s="15"/>
      <c r="N101" s="15"/>
      <c r="O101" s="15"/>
      <c r="P101" s="15"/>
      <c r="Q101" s="15"/>
      <c r="R101" s="15"/>
      <c r="S101" s="15"/>
      <c r="T101" s="15"/>
      <c r="U101" s="15"/>
      <c r="V101" s="15"/>
      <c r="W101" s="15"/>
      <c r="X101" s="15"/>
      <c r="Y101" s="15"/>
      <c r="Z101" s="15"/>
    </row>
    <row r="102" spans="2:26" x14ac:dyDescent="0.25">
      <c r="B102" s="15" t="e">
        <f t="shared" si="3"/>
        <v>#VALUE!</v>
      </c>
      <c r="C102" s="15" t="e">
        <f t="shared" si="5"/>
        <v>#VALUE!</v>
      </c>
      <c r="D102" s="15"/>
      <c r="E102" s="20">
        <f ca="1">IF(ISERROR(#REF!),TODAY(),#REF!)</f>
        <v>44557</v>
      </c>
      <c r="F102" s="15"/>
      <c r="G102" s="15"/>
      <c r="H102" s="21"/>
      <c r="I102" s="15"/>
      <c r="J102" s="15"/>
      <c r="K102" s="15"/>
      <c r="L102" s="15"/>
      <c r="M102" s="15"/>
      <c r="N102" s="15"/>
      <c r="O102" s="15"/>
      <c r="P102" s="15"/>
      <c r="Q102" s="15"/>
      <c r="R102" s="15"/>
      <c r="S102" s="15"/>
      <c r="T102" s="15"/>
      <c r="U102" s="15"/>
      <c r="V102" s="15"/>
      <c r="W102" s="15"/>
      <c r="X102" s="15"/>
      <c r="Y102" s="15"/>
      <c r="Z102" s="15"/>
    </row>
    <row r="103" spans="2:26" x14ac:dyDescent="0.25">
      <c r="B103" s="15" t="e">
        <f t="shared" si="3"/>
        <v>#VALUE!</v>
      </c>
      <c r="C103" s="15" t="e">
        <f t="shared" si="5"/>
        <v>#VALUE!</v>
      </c>
      <c r="D103" s="15"/>
      <c r="E103" s="20">
        <f ca="1">IF(ISERROR(#REF!),TODAY(),#REF!)</f>
        <v>44557</v>
      </c>
      <c r="F103" s="15"/>
      <c r="G103" s="15"/>
      <c r="H103" s="21"/>
      <c r="I103" s="15"/>
      <c r="J103" s="15"/>
      <c r="K103" s="15"/>
      <c r="L103" s="15"/>
      <c r="M103" s="15"/>
      <c r="N103" s="15"/>
      <c r="O103" s="15"/>
      <c r="P103" s="15"/>
      <c r="Q103" s="15"/>
      <c r="R103" s="15"/>
      <c r="S103" s="15"/>
      <c r="T103" s="15"/>
      <c r="U103" s="15"/>
      <c r="V103" s="15"/>
      <c r="W103" s="15"/>
      <c r="X103" s="15"/>
      <c r="Y103" s="15"/>
      <c r="Z103" s="15"/>
    </row>
    <row r="104" spans="2:26" x14ac:dyDescent="0.25">
      <c r="B104" s="15" t="e">
        <f t="shared" si="3"/>
        <v>#VALUE!</v>
      </c>
      <c r="C104" s="15" t="e">
        <f t="shared" si="5"/>
        <v>#VALUE!</v>
      </c>
      <c r="D104" s="15"/>
      <c r="E104" s="20">
        <f ca="1">IF(ISERROR(#REF!),TODAY(),#REF!)</f>
        <v>44557</v>
      </c>
      <c r="F104" s="15"/>
      <c r="G104" s="15"/>
      <c r="H104" s="21"/>
      <c r="I104" s="15"/>
      <c r="J104" s="15"/>
      <c r="K104" s="15"/>
      <c r="L104" s="15"/>
      <c r="M104" s="15"/>
      <c r="N104" s="15"/>
      <c r="O104" s="15"/>
      <c r="P104" s="15"/>
      <c r="Q104" s="15"/>
      <c r="R104" s="15"/>
      <c r="S104" s="15"/>
      <c r="T104" s="15"/>
      <c r="U104" s="15"/>
      <c r="V104" s="15"/>
      <c r="W104" s="15"/>
      <c r="X104" s="15"/>
      <c r="Y104" s="15"/>
      <c r="Z104" s="15"/>
    </row>
    <row r="105" spans="2:26" x14ac:dyDescent="0.25">
      <c r="B105" s="15" t="e">
        <f t="shared" si="3"/>
        <v>#VALUE!</v>
      </c>
      <c r="C105" s="15" t="e">
        <f t="shared" si="5"/>
        <v>#VALUE!</v>
      </c>
      <c r="D105" s="15"/>
      <c r="E105" s="20">
        <f ca="1">IF(ISERROR(#REF!),TODAY(),#REF!)</f>
        <v>44557</v>
      </c>
      <c r="F105" s="15"/>
      <c r="G105" s="15"/>
      <c r="H105" s="21"/>
      <c r="I105" s="15"/>
      <c r="J105" s="15"/>
      <c r="K105" s="15"/>
      <c r="L105" s="15"/>
      <c r="M105" s="15"/>
      <c r="N105" s="15"/>
      <c r="O105" s="15"/>
      <c r="P105" s="15"/>
      <c r="Q105" s="15"/>
      <c r="R105" s="15"/>
      <c r="S105" s="15"/>
      <c r="T105" s="15"/>
      <c r="U105" s="15"/>
      <c r="V105" s="15"/>
      <c r="W105" s="15"/>
      <c r="X105" s="15"/>
      <c r="Y105" s="15"/>
      <c r="Z105" s="15"/>
    </row>
    <row r="106" spans="2:26" x14ac:dyDescent="0.25">
      <c r="B106" s="15" t="e">
        <f t="shared" si="3"/>
        <v>#VALUE!</v>
      </c>
      <c r="C106" s="15" t="e">
        <f t="shared" si="5"/>
        <v>#VALUE!</v>
      </c>
      <c r="D106" s="15"/>
      <c r="E106" s="20">
        <f ca="1">IF(ISERROR(#REF!),TODAY(),#REF!)</f>
        <v>44557</v>
      </c>
      <c r="F106" s="15"/>
      <c r="G106" s="15"/>
      <c r="H106" s="21"/>
      <c r="I106" s="15"/>
      <c r="J106" s="15"/>
      <c r="K106" s="15"/>
      <c r="L106" s="15"/>
      <c r="M106" s="15"/>
      <c r="N106" s="15"/>
      <c r="O106" s="15"/>
      <c r="P106" s="15"/>
      <c r="Q106" s="15"/>
      <c r="R106" s="15"/>
      <c r="S106" s="15"/>
      <c r="T106" s="15"/>
      <c r="U106" s="15"/>
      <c r="V106" s="15"/>
      <c r="W106" s="15"/>
      <c r="X106" s="15"/>
      <c r="Y106" s="15"/>
      <c r="Z106" s="15"/>
    </row>
    <row r="107" spans="2:26" x14ac:dyDescent="0.25">
      <c r="B107" s="15" t="e">
        <f t="shared" si="3"/>
        <v>#VALUE!</v>
      </c>
      <c r="C107" s="15" t="e">
        <f t="shared" si="5"/>
        <v>#VALUE!</v>
      </c>
      <c r="D107" s="15"/>
      <c r="E107" s="20">
        <f ca="1">IF(ISERROR(#REF!),TODAY(),#REF!)</f>
        <v>44557</v>
      </c>
      <c r="F107" s="15"/>
      <c r="G107" s="15"/>
      <c r="H107" s="21"/>
      <c r="I107" s="15"/>
      <c r="J107" s="15"/>
      <c r="K107" s="15"/>
      <c r="L107" s="15"/>
      <c r="M107" s="15"/>
      <c r="N107" s="15"/>
      <c r="O107" s="15"/>
      <c r="P107" s="15"/>
      <c r="Q107" s="15"/>
      <c r="R107" s="15"/>
      <c r="S107" s="15"/>
      <c r="T107" s="15"/>
      <c r="U107" s="15"/>
      <c r="V107" s="15"/>
      <c r="W107" s="15"/>
      <c r="X107" s="15"/>
      <c r="Y107" s="15"/>
      <c r="Z107" s="15"/>
    </row>
    <row r="108" spans="2:26" x14ac:dyDescent="0.25">
      <c r="B108" s="15" t="e">
        <f t="shared" si="3"/>
        <v>#VALUE!</v>
      </c>
      <c r="C108" s="15" t="e">
        <f t="shared" si="5"/>
        <v>#VALUE!</v>
      </c>
      <c r="D108" s="15"/>
      <c r="E108" s="20">
        <f ca="1">IF(ISERROR(#REF!),TODAY(),#REF!)</f>
        <v>44557</v>
      </c>
      <c r="F108" s="15"/>
      <c r="G108" s="15"/>
      <c r="H108" s="21"/>
      <c r="I108" s="15"/>
      <c r="J108" s="15"/>
      <c r="K108" s="15"/>
      <c r="L108" s="15"/>
      <c r="M108" s="15"/>
      <c r="N108" s="15"/>
      <c r="O108" s="15"/>
      <c r="P108" s="15"/>
      <c r="Q108" s="15"/>
      <c r="R108" s="15"/>
      <c r="S108" s="15"/>
      <c r="T108" s="15"/>
      <c r="U108" s="15"/>
      <c r="V108" s="15"/>
      <c r="W108" s="15"/>
      <c r="X108" s="15"/>
      <c r="Y108" s="15"/>
      <c r="Z108" s="15"/>
    </row>
    <row r="109" spans="2:26" x14ac:dyDescent="0.25">
      <c r="B109" s="15" t="e">
        <f t="shared" si="3"/>
        <v>#VALUE!</v>
      </c>
      <c r="C109" s="15" t="e">
        <f t="shared" si="5"/>
        <v>#VALUE!</v>
      </c>
      <c r="D109" s="15"/>
      <c r="E109" s="20">
        <f ca="1">IF(ISERROR(#REF!),TODAY(),#REF!)</f>
        <v>44557</v>
      </c>
      <c r="F109" s="15"/>
      <c r="G109" s="15"/>
      <c r="H109" s="21"/>
      <c r="I109" s="15"/>
      <c r="J109" s="15"/>
      <c r="K109" s="15"/>
      <c r="L109" s="15"/>
      <c r="M109" s="15"/>
      <c r="N109" s="15"/>
      <c r="O109" s="15"/>
      <c r="P109" s="15"/>
      <c r="Q109" s="15"/>
      <c r="R109" s="15"/>
      <c r="S109" s="15"/>
      <c r="T109" s="15"/>
      <c r="U109" s="15"/>
      <c r="V109" s="15"/>
      <c r="W109" s="15"/>
      <c r="X109" s="15"/>
      <c r="Y109" s="15"/>
      <c r="Z109" s="15"/>
    </row>
    <row r="110" spans="2:26" x14ac:dyDescent="0.25">
      <c r="B110" s="15" t="e">
        <f t="shared" si="3"/>
        <v>#VALUE!</v>
      </c>
      <c r="C110" s="15" t="e">
        <f t="shared" si="5"/>
        <v>#VALUE!</v>
      </c>
      <c r="D110" s="15"/>
      <c r="E110" s="20">
        <f ca="1">IF(ISERROR(#REF!),TODAY(),#REF!)</f>
        <v>44557</v>
      </c>
      <c r="F110" s="15"/>
      <c r="G110" s="15"/>
      <c r="H110" s="21"/>
      <c r="I110" s="15"/>
      <c r="J110" s="15"/>
      <c r="K110" s="15"/>
      <c r="L110" s="15"/>
      <c r="M110" s="15"/>
      <c r="N110" s="15"/>
      <c r="O110" s="15"/>
      <c r="P110" s="15"/>
      <c r="Q110" s="15"/>
      <c r="R110" s="15"/>
      <c r="S110" s="15"/>
      <c r="T110" s="15"/>
      <c r="U110" s="15"/>
      <c r="V110" s="15"/>
      <c r="W110" s="15"/>
      <c r="X110" s="15"/>
      <c r="Y110" s="15"/>
      <c r="Z110" s="15"/>
    </row>
    <row r="111" spans="2:26" x14ac:dyDescent="0.25">
      <c r="B111" s="15" t="e">
        <f t="shared" si="3"/>
        <v>#VALUE!</v>
      </c>
      <c r="C111" s="15" t="e">
        <f t="shared" si="5"/>
        <v>#VALUE!</v>
      </c>
      <c r="D111" s="15"/>
      <c r="E111" s="20">
        <f ca="1">IF(ISERROR(#REF!),TODAY(),#REF!)</f>
        <v>44557</v>
      </c>
      <c r="F111" s="15"/>
      <c r="G111" s="15"/>
      <c r="H111" s="21"/>
      <c r="I111" s="15"/>
      <c r="J111" s="15"/>
      <c r="K111" s="15"/>
      <c r="L111" s="15"/>
      <c r="M111" s="15"/>
      <c r="N111" s="15"/>
      <c r="O111" s="15"/>
      <c r="P111" s="15"/>
      <c r="Q111" s="15"/>
      <c r="R111" s="15"/>
      <c r="S111" s="15"/>
      <c r="T111" s="15"/>
      <c r="U111" s="15"/>
      <c r="V111" s="15"/>
      <c r="W111" s="15"/>
      <c r="X111" s="15"/>
      <c r="Y111" s="15"/>
      <c r="Z111" s="15"/>
    </row>
    <row r="112" spans="2:26" x14ac:dyDescent="0.25">
      <c r="B112" s="15" t="e">
        <f t="shared" si="3"/>
        <v>#VALUE!</v>
      </c>
      <c r="C112" s="15" t="e">
        <f t="shared" si="5"/>
        <v>#VALUE!</v>
      </c>
      <c r="D112" s="15"/>
      <c r="E112" s="20">
        <f ca="1">IF(ISERROR(#REF!),TODAY(),#REF!)</f>
        <v>44557</v>
      </c>
      <c r="F112" s="15"/>
      <c r="G112" s="15"/>
      <c r="H112" s="21"/>
      <c r="I112" s="15"/>
      <c r="J112" s="15"/>
      <c r="K112" s="15"/>
      <c r="L112" s="15"/>
      <c r="M112" s="15"/>
      <c r="N112" s="15"/>
      <c r="O112" s="15"/>
      <c r="P112" s="15"/>
      <c r="Q112" s="15"/>
      <c r="R112" s="15"/>
      <c r="S112" s="15"/>
      <c r="T112" s="15"/>
      <c r="U112" s="15"/>
      <c r="V112" s="15"/>
      <c r="W112" s="15"/>
      <c r="X112" s="15"/>
      <c r="Y112" s="15"/>
      <c r="Z112" s="15"/>
    </row>
    <row r="113" spans="2:26" x14ac:dyDescent="0.25">
      <c r="B113" s="15" t="e">
        <f t="shared" si="3"/>
        <v>#VALUE!</v>
      </c>
      <c r="C113" s="15" t="e">
        <f t="shared" si="5"/>
        <v>#VALUE!</v>
      </c>
      <c r="D113" s="15"/>
      <c r="E113" s="20">
        <f ca="1">IF(ISERROR(#REF!),TODAY(),#REF!)</f>
        <v>44557</v>
      </c>
      <c r="F113" s="15"/>
      <c r="G113" s="15"/>
      <c r="H113" s="21"/>
      <c r="I113" s="15"/>
      <c r="J113" s="15"/>
      <c r="K113" s="15"/>
      <c r="L113" s="15"/>
      <c r="M113" s="15"/>
      <c r="N113" s="15"/>
      <c r="O113" s="15"/>
      <c r="P113" s="15"/>
      <c r="Q113" s="15"/>
      <c r="R113" s="15"/>
      <c r="S113" s="15"/>
      <c r="T113" s="15"/>
      <c r="U113" s="15"/>
      <c r="V113" s="15"/>
      <c r="W113" s="15"/>
      <c r="X113" s="15"/>
      <c r="Y113" s="15"/>
      <c r="Z113" s="15"/>
    </row>
    <row r="114" spans="2:26" x14ac:dyDescent="0.25">
      <c r="B114" s="15" t="e">
        <f t="shared" si="3"/>
        <v>#VALUE!</v>
      </c>
      <c r="C114" s="15" t="e">
        <f t="shared" si="5"/>
        <v>#VALUE!</v>
      </c>
      <c r="D114" s="15"/>
      <c r="E114" s="20">
        <f ca="1">IF(ISERROR(#REF!),TODAY(),#REF!)</f>
        <v>44557</v>
      </c>
      <c r="F114" s="15"/>
      <c r="G114" s="15"/>
      <c r="H114" s="21"/>
      <c r="I114" s="15"/>
      <c r="J114" s="15"/>
      <c r="K114" s="15"/>
      <c r="L114" s="15"/>
      <c r="M114" s="15"/>
      <c r="N114" s="15"/>
      <c r="O114" s="15"/>
      <c r="P114" s="15"/>
      <c r="Q114" s="15"/>
      <c r="R114" s="15"/>
      <c r="S114" s="15"/>
      <c r="T114" s="15"/>
      <c r="U114" s="15"/>
      <c r="V114" s="15"/>
      <c r="W114" s="15"/>
      <c r="X114" s="15"/>
      <c r="Y114" s="15"/>
      <c r="Z114" s="15"/>
    </row>
    <row r="115" spans="2:26" x14ac:dyDescent="0.25">
      <c r="B115" s="15" t="e">
        <f t="shared" si="3"/>
        <v>#VALUE!</v>
      </c>
      <c r="C115" s="15" t="e">
        <f t="shared" si="5"/>
        <v>#VALUE!</v>
      </c>
      <c r="D115" s="15"/>
      <c r="E115" s="20">
        <f ca="1">IF(ISERROR(#REF!),TODAY(),#REF!)</f>
        <v>44557</v>
      </c>
      <c r="F115" s="15"/>
      <c r="G115" s="15"/>
      <c r="H115" s="21"/>
      <c r="I115" s="15"/>
      <c r="J115" s="15"/>
      <c r="K115" s="15"/>
      <c r="L115" s="15"/>
      <c r="M115" s="15"/>
      <c r="N115" s="15"/>
      <c r="O115" s="15"/>
      <c r="P115" s="15"/>
      <c r="Q115" s="15"/>
      <c r="R115" s="15"/>
      <c r="S115" s="15"/>
      <c r="T115" s="15"/>
      <c r="U115" s="15"/>
      <c r="V115" s="15"/>
      <c r="W115" s="15"/>
      <c r="X115" s="15"/>
      <c r="Y115" s="15"/>
      <c r="Z115" s="15"/>
    </row>
    <row r="116" spans="2:26" x14ac:dyDescent="0.25">
      <c r="B116" s="15" t="e">
        <f t="shared" si="3"/>
        <v>#VALUE!</v>
      </c>
      <c r="C116" s="15" t="e">
        <f t="shared" si="5"/>
        <v>#VALUE!</v>
      </c>
      <c r="D116" s="15"/>
      <c r="E116" s="20">
        <f ca="1">IF(ISERROR(#REF!),TODAY(),#REF!)</f>
        <v>44557</v>
      </c>
      <c r="F116" s="15"/>
      <c r="G116" s="15"/>
      <c r="H116" s="21"/>
      <c r="I116" s="15"/>
      <c r="J116" s="15"/>
      <c r="K116" s="15"/>
      <c r="L116" s="15"/>
      <c r="M116" s="15"/>
      <c r="N116" s="15"/>
      <c r="O116" s="15"/>
      <c r="P116" s="15"/>
      <c r="Q116" s="15"/>
      <c r="R116" s="15"/>
      <c r="S116" s="15"/>
      <c r="T116" s="15"/>
      <c r="U116" s="15"/>
      <c r="V116" s="15"/>
      <c r="W116" s="15"/>
      <c r="X116" s="15"/>
      <c r="Y116" s="15"/>
      <c r="Z116" s="15"/>
    </row>
    <row r="117" spans="2:26" x14ac:dyDescent="0.25">
      <c r="B117" s="15" t="e">
        <f t="shared" si="3"/>
        <v>#VALUE!</v>
      </c>
      <c r="C117" s="15" t="e">
        <f t="shared" si="5"/>
        <v>#VALUE!</v>
      </c>
      <c r="D117" s="15"/>
      <c r="E117" s="20">
        <f ca="1">IF(ISERROR(#REF!),TODAY(),#REF!)</f>
        <v>44557</v>
      </c>
      <c r="F117" s="15"/>
      <c r="G117" s="15"/>
      <c r="H117" s="21"/>
      <c r="I117" s="15"/>
      <c r="J117" s="15"/>
      <c r="K117" s="15"/>
      <c r="L117" s="15"/>
      <c r="M117" s="15"/>
      <c r="N117" s="15"/>
      <c r="O117" s="15"/>
      <c r="P117" s="15"/>
      <c r="Q117" s="15"/>
      <c r="R117" s="15"/>
      <c r="S117" s="15"/>
      <c r="T117" s="15"/>
      <c r="U117" s="15"/>
      <c r="V117" s="15"/>
      <c r="W117" s="15"/>
      <c r="X117" s="15"/>
      <c r="Y117" s="15"/>
      <c r="Z117" s="15"/>
    </row>
    <row r="118" spans="2:26" x14ac:dyDescent="0.25">
      <c r="B118" s="15" t="e">
        <f t="shared" si="3"/>
        <v>#VALUE!</v>
      </c>
      <c r="C118" s="15" t="e">
        <f t="shared" si="5"/>
        <v>#VALUE!</v>
      </c>
      <c r="D118" s="15"/>
      <c r="E118" s="20">
        <f ca="1">IF(ISERROR(#REF!),TODAY(),#REF!)</f>
        <v>44557</v>
      </c>
      <c r="F118" s="15"/>
      <c r="G118" s="15"/>
      <c r="H118" s="21"/>
      <c r="I118" s="15"/>
      <c r="J118" s="15"/>
      <c r="K118" s="15"/>
      <c r="L118" s="15"/>
      <c r="M118" s="15"/>
      <c r="N118" s="15"/>
      <c r="O118" s="15"/>
      <c r="P118" s="15"/>
      <c r="Q118" s="15"/>
      <c r="R118" s="15"/>
      <c r="S118" s="15"/>
      <c r="T118" s="15"/>
      <c r="U118" s="15"/>
      <c r="V118" s="15"/>
      <c r="W118" s="15"/>
      <c r="X118" s="15"/>
      <c r="Y118" s="15"/>
      <c r="Z118" s="15"/>
    </row>
    <row r="119" spans="2:26" x14ac:dyDescent="0.25">
      <c r="B119" s="15" t="e">
        <f t="shared" si="3"/>
        <v>#VALUE!</v>
      </c>
      <c r="C119" s="15" t="e">
        <f t="shared" si="5"/>
        <v>#VALUE!</v>
      </c>
      <c r="D119" s="15"/>
      <c r="E119" s="20">
        <f ca="1">IF(ISERROR(#REF!),TODAY(),#REF!)</f>
        <v>44557</v>
      </c>
      <c r="F119" s="15"/>
      <c r="G119" s="15"/>
      <c r="H119" s="21"/>
      <c r="I119" s="15"/>
      <c r="J119" s="15"/>
      <c r="K119" s="15"/>
      <c r="L119" s="15"/>
      <c r="M119" s="15"/>
      <c r="N119" s="15"/>
      <c r="O119" s="15"/>
      <c r="P119" s="15"/>
      <c r="Q119" s="15"/>
      <c r="R119" s="15"/>
      <c r="S119" s="15"/>
      <c r="T119" s="15"/>
      <c r="U119" s="15"/>
      <c r="V119" s="15"/>
      <c r="W119" s="15"/>
      <c r="X119" s="15"/>
      <c r="Y119" s="15"/>
      <c r="Z119" s="15"/>
    </row>
    <row r="120" spans="2:26" x14ac:dyDescent="0.25">
      <c r="B120" s="15" t="e">
        <f t="shared" si="3"/>
        <v>#VALUE!</v>
      </c>
      <c r="C120" s="15" t="e">
        <f t="shared" si="5"/>
        <v>#VALUE!</v>
      </c>
      <c r="D120" s="15"/>
      <c r="E120" s="20">
        <f ca="1">IF(ISERROR(#REF!),TODAY(),#REF!)</f>
        <v>44557</v>
      </c>
      <c r="F120" s="15"/>
      <c r="G120" s="15"/>
      <c r="H120" s="21"/>
      <c r="I120" s="15"/>
      <c r="J120" s="15"/>
      <c r="K120" s="15"/>
      <c r="L120" s="15"/>
      <c r="M120" s="15"/>
      <c r="N120" s="15"/>
      <c r="O120" s="15"/>
      <c r="P120" s="15"/>
      <c r="Q120" s="15"/>
      <c r="R120" s="15"/>
      <c r="S120" s="15"/>
      <c r="T120" s="15"/>
      <c r="U120" s="15"/>
      <c r="V120" s="15"/>
      <c r="W120" s="15"/>
      <c r="X120" s="15"/>
      <c r="Y120" s="15"/>
      <c r="Z120" s="15"/>
    </row>
    <row r="121" spans="2:26" x14ac:dyDescent="0.25">
      <c r="B121" s="15" t="e">
        <f t="shared" si="3"/>
        <v>#VALUE!</v>
      </c>
      <c r="C121" s="15" t="e">
        <f t="shared" si="5"/>
        <v>#VALUE!</v>
      </c>
      <c r="D121" s="15"/>
      <c r="E121" s="20">
        <f ca="1">IF(ISERROR(#REF!),TODAY(),#REF!)</f>
        <v>44557</v>
      </c>
      <c r="F121" s="15"/>
      <c r="G121" s="15"/>
      <c r="H121" s="21"/>
      <c r="I121" s="15"/>
      <c r="J121" s="15"/>
      <c r="K121" s="15"/>
      <c r="L121" s="15"/>
      <c r="M121" s="15"/>
      <c r="N121" s="15"/>
      <c r="O121" s="15"/>
      <c r="P121" s="15"/>
      <c r="Q121" s="15"/>
      <c r="R121" s="15"/>
      <c r="S121" s="15"/>
      <c r="T121" s="15"/>
      <c r="U121" s="15"/>
      <c r="V121" s="15"/>
      <c r="W121" s="15"/>
      <c r="X121" s="15"/>
      <c r="Y121" s="15"/>
      <c r="Z121" s="15"/>
    </row>
    <row r="122" spans="2:26" x14ac:dyDescent="0.25">
      <c r="B122" s="15" t="e">
        <f t="shared" si="3"/>
        <v>#VALUE!</v>
      </c>
      <c r="C122" s="15" t="e">
        <f t="shared" si="5"/>
        <v>#VALUE!</v>
      </c>
      <c r="D122" s="15"/>
      <c r="E122" s="20">
        <f ca="1">IF(ISERROR(#REF!),TODAY(),#REF!)</f>
        <v>44557</v>
      </c>
      <c r="F122" s="15"/>
      <c r="G122" s="15"/>
      <c r="H122" s="21"/>
      <c r="I122" s="15"/>
      <c r="J122" s="15"/>
      <c r="K122" s="15"/>
      <c r="L122" s="15"/>
      <c r="M122" s="15"/>
      <c r="N122" s="15"/>
      <c r="O122" s="15"/>
      <c r="P122" s="15"/>
      <c r="Q122" s="15"/>
      <c r="R122" s="15"/>
      <c r="S122" s="15"/>
      <c r="T122" s="15"/>
      <c r="U122" s="15"/>
      <c r="V122" s="15"/>
      <c r="W122" s="15"/>
      <c r="X122" s="15"/>
      <c r="Y122" s="15"/>
      <c r="Z122" s="15"/>
    </row>
    <row r="123" spans="2:26" x14ac:dyDescent="0.25">
      <c r="B123" s="15" t="e">
        <f t="shared" si="3"/>
        <v>#VALUE!</v>
      </c>
      <c r="C123" s="15" t="e">
        <f t="shared" si="5"/>
        <v>#VALUE!</v>
      </c>
      <c r="D123" s="15"/>
      <c r="E123" s="20">
        <f ca="1">IF(ISERROR(#REF!),TODAY(),#REF!)</f>
        <v>44557</v>
      </c>
      <c r="F123" s="15"/>
      <c r="G123" s="15"/>
      <c r="H123" s="21"/>
      <c r="I123" s="15"/>
      <c r="J123" s="15"/>
      <c r="K123" s="15"/>
      <c r="L123" s="15"/>
      <c r="M123" s="15"/>
      <c r="N123" s="15"/>
      <c r="O123" s="15"/>
      <c r="P123" s="15"/>
      <c r="Q123" s="15"/>
      <c r="R123" s="15"/>
      <c r="S123" s="15"/>
      <c r="T123" s="15"/>
      <c r="U123" s="15"/>
      <c r="V123" s="15"/>
      <c r="W123" s="15"/>
      <c r="X123" s="15"/>
      <c r="Y123" s="15"/>
      <c r="Z123" s="15"/>
    </row>
    <row r="124" spans="2:26" x14ac:dyDescent="0.25">
      <c r="B124" s="15" t="e">
        <f t="shared" si="3"/>
        <v>#VALUE!</v>
      </c>
      <c r="C124" s="15" t="e">
        <f t="shared" si="5"/>
        <v>#VALUE!</v>
      </c>
      <c r="D124" s="15"/>
      <c r="E124" s="20">
        <f ca="1">IF(ISERROR(#REF!),TODAY(),#REF!)</f>
        <v>44557</v>
      </c>
      <c r="F124" s="15"/>
      <c r="G124" s="15"/>
      <c r="H124" s="21"/>
      <c r="I124" s="15"/>
      <c r="J124" s="15"/>
      <c r="K124" s="15"/>
      <c r="L124" s="15"/>
      <c r="M124" s="15"/>
      <c r="N124" s="15"/>
      <c r="O124" s="15"/>
      <c r="P124" s="15"/>
      <c r="Q124" s="15"/>
      <c r="R124" s="15"/>
      <c r="S124" s="15"/>
      <c r="T124" s="15"/>
      <c r="U124" s="15"/>
      <c r="V124" s="15"/>
      <c r="W124" s="15"/>
      <c r="X124" s="15"/>
      <c r="Y124" s="15"/>
      <c r="Z124" s="15"/>
    </row>
    <row r="125" spans="2:26" x14ac:dyDescent="0.25">
      <c r="B125" s="15" t="e">
        <f t="shared" si="3"/>
        <v>#VALUE!</v>
      </c>
      <c r="C125" s="15" t="e">
        <f t="shared" si="5"/>
        <v>#VALUE!</v>
      </c>
      <c r="D125" s="15"/>
      <c r="E125" s="20">
        <f ca="1">IF(ISERROR(#REF!),TODAY(),#REF!)</f>
        <v>44557</v>
      </c>
      <c r="F125" s="15"/>
      <c r="G125" s="15"/>
      <c r="H125" s="21"/>
      <c r="I125" s="15"/>
      <c r="J125" s="15"/>
      <c r="K125" s="15"/>
      <c r="L125" s="15"/>
      <c r="M125" s="15"/>
      <c r="N125" s="15"/>
      <c r="O125" s="15"/>
      <c r="P125" s="15"/>
      <c r="Q125" s="15"/>
      <c r="R125" s="15"/>
      <c r="S125" s="15"/>
      <c r="T125" s="15"/>
      <c r="U125" s="15"/>
      <c r="V125" s="15"/>
      <c r="W125" s="15"/>
      <c r="X125" s="15"/>
      <c r="Y125" s="15"/>
      <c r="Z125" s="15"/>
    </row>
    <row r="126" spans="2:26" x14ac:dyDescent="0.25">
      <c r="B126" s="15" t="e">
        <f t="shared" si="3"/>
        <v>#VALUE!</v>
      </c>
      <c r="C126" s="15" t="e">
        <f t="shared" si="5"/>
        <v>#VALUE!</v>
      </c>
      <c r="D126" s="15"/>
      <c r="E126" s="20">
        <f ca="1">IF(ISERROR(#REF!),TODAY(),#REF!)</f>
        <v>44557</v>
      </c>
      <c r="F126" s="15"/>
      <c r="G126" s="15"/>
      <c r="H126" s="21"/>
      <c r="I126" s="15"/>
      <c r="J126" s="15"/>
      <c r="K126" s="15"/>
      <c r="L126" s="15"/>
      <c r="M126" s="15"/>
      <c r="N126" s="15"/>
      <c r="O126" s="15"/>
      <c r="P126" s="15"/>
      <c r="Q126" s="15"/>
      <c r="R126" s="15"/>
      <c r="S126" s="15"/>
      <c r="T126" s="15"/>
      <c r="U126" s="15"/>
      <c r="V126" s="15"/>
      <c r="W126" s="15"/>
      <c r="X126" s="15"/>
      <c r="Y126" s="15"/>
      <c r="Z126" s="15"/>
    </row>
    <row r="127" spans="2:26" x14ac:dyDescent="0.25">
      <c r="B127" s="15" t="e">
        <f t="shared" si="3"/>
        <v>#VALUE!</v>
      </c>
      <c r="C127" s="15" t="e">
        <f t="shared" si="5"/>
        <v>#VALUE!</v>
      </c>
      <c r="D127" s="15"/>
      <c r="E127" s="20">
        <f ca="1">IF(ISERROR(#REF!),TODAY(),#REF!)</f>
        <v>44557</v>
      </c>
      <c r="F127" s="15"/>
      <c r="G127" s="15"/>
      <c r="H127" s="21"/>
      <c r="I127" s="15"/>
      <c r="J127" s="15"/>
      <c r="K127" s="15"/>
      <c r="L127" s="15"/>
      <c r="M127" s="15"/>
      <c r="N127" s="15"/>
      <c r="O127" s="15"/>
      <c r="P127" s="15"/>
      <c r="Q127" s="15"/>
      <c r="R127" s="15"/>
      <c r="S127" s="15"/>
      <c r="T127" s="15"/>
      <c r="U127" s="15"/>
      <c r="V127" s="15"/>
      <c r="W127" s="15"/>
      <c r="X127" s="15"/>
      <c r="Y127" s="15"/>
      <c r="Z127" s="15"/>
    </row>
    <row r="128" spans="2:26" x14ac:dyDescent="0.25">
      <c r="B128" s="15" t="e">
        <f t="shared" si="3"/>
        <v>#VALUE!</v>
      </c>
      <c r="C128" s="15" t="e">
        <f t="shared" si="5"/>
        <v>#VALUE!</v>
      </c>
      <c r="D128" s="15"/>
      <c r="E128" s="20">
        <f ca="1">IF(ISERROR(#REF!),TODAY(),#REF!)</f>
        <v>44557</v>
      </c>
      <c r="F128" s="15"/>
      <c r="G128" s="15"/>
      <c r="H128" s="21"/>
      <c r="I128" s="15"/>
      <c r="J128" s="15"/>
      <c r="K128" s="15"/>
      <c r="L128" s="15"/>
      <c r="M128" s="15"/>
      <c r="N128" s="15"/>
      <c r="O128" s="15"/>
      <c r="P128" s="15"/>
      <c r="Q128" s="15"/>
      <c r="R128" s="15"/>
      <c r="S128" s="15"/>
      <c r="T128" s="15"/>
      <c r="U128" s="15"/>
      <c r="V128" s="15"/>
      <c r="W128" s="15"/>
      <c r="X128" s="15"/>
      <c r="Y128" s="15"/>
      <c r="Z128" s="15"/>
    </row>
    <row r="129" spans="2:26" x14ac:dyDescent="0.25">
      <c r="B129" s="15" t="e">
        <f t="shared" si="3"/>
        <v>#VALUE!</v>
      </c>
      <c r="C129" s="15" t="e">
        <f t="shared" si="5"/>
        <v>#VALUE!</v>
      </c>
      <c r="D129" s="15"/>
      <c r="E129" s="20">
        <f ca="1">IF(ISERROR(#REF!),TODAY(),#REF!)</f>
        <v>44557</v>
      </c>
      <c r="F129" s="15"/>
      <c r="G129" s="15"/>
      <c r="H129" s="21"/>
      <c r="I129" s="15"/>
      <c r="J129" s="15"/>
      <c r="K129" s="15"/>
      <c r="L129" s="15"/>
      <c r="M129" s="15"/>
      <c r="N129" s="15"/>
      <c r="O129" s="15"/>
      <c r="P129" s="15"/>
      <c r="Q129" s="15"/>
      <c r="R129" s="15"/>
      <c r="S129" s="15"/>
      <c r="T129" s="15"/>
      <c r="U129" s="15"/>
      <c r="V129" s="15"/>
      <c r="W129" s="15"/>
      <c r="X129" s="15"/>
      <c r="Y129" s="15"/>
      <c r="Z129" s="15"/>
    </row>
    <row r="130" spans="2:26" x14ac:dyDescent="0.25">
      <c r="B130" s="15" t="e">
        <f t="shared" ref="B130:B136" si="6" xml:space="preserve"> MID(A130,SEARCH(":",A130)+2,SEARCH(":",A130,SEARCH(":",A130)+1)-SEARCH(":",A130)-3)</f>
        <v>#VALUE!</v>
      </c>
      <c r="C130" s="15" t="e">
        <f t="shared" ref="C130:C136" si="7" xml:space="preserve"> MID(A130,SEARCH(":",A130)+2,SEARCH(":",A130,SEARCH(":",A130)+1)-SEARCH(":",A130)-3)</f>
        <v>#VALUE!</v>
      </c>
      <c r="D130" s="15"/>
      <c r="E130" s="20">
        <f ca="1">IF(ISERROR(#REF!),TODAY(),#REF!)</f>
        <v>44557</v>
      </c>
      <c r="F130" s="15"/>
      <c r="G130" s="15"/>
      <c r="H130" s="21"/>
      <c r="I130" s="15"/>
      <c r="J130" s="15"/>
      <c r="K130" s="15"/>
      <c r="L130" s="15"/>
      <c r="M130" s="15"/>
      <c r="N130" s="15"/>
      <c r="O130" s="15"/>
      <c r="P130" s="15"/>
      <c r="Q130" s="15"/>
      <c r="R130" s="15"/>
      <c r="S130" s="15"/>
      <c r="T130" s="15"/>
      <c r="U130" s="15"/>
      <c r="V130" s="15"/>
      <c r="W130" s="15"/>
      <c r="X130" s="15"/>
      <c r="Y130" s="15"/>
      <c r="Z130" s="15"/>
    </row>
    <row r="131" spans="2:26" x14ac:dyDescent="0.25">
      <c r="B131" s="15" t="e">
        <f t="shared" si="6"/>
        <v>#VALUE!</v>
      </c>
      <c r="C131" s="15" t="e">
        <f t="shared" si="7"/>
        <v>#VALUE!</v>
      </c>
      <c r="D131" s="15"/>
      <c r="E131" s="20">
        <f ca="1">IF(ISERROR(#REF!),TODAY(),#REF!)</f>
        <v>44557</v>
      </c>
      <c r="F131" s="15"/>
      <c r="G131" s="15"/>
      <c r="H131" s="21"/>
      <c r="I131" s="15"/>
      <c r="J131" s="15"/>
      <c r="K131" s="15"/>
      <c r="L131" s="15"/>
      <c r="M131" s="15"/>
      <c r="N131" s="15"/>
      <c r="O131" s="15"/>
      <c r="P131" s="15"/>
      <c r="Q131" s="15"/>
      <c r="R131" s="15"/>
      <c r="S131" s="15"/>
      <c r="T131" s="15"/>
      <c r="U131" s="15"/>
      <c r="V131" s="15"/>
      <c r="W131" s="15"/>
      <c r="X131" s="15"/>
      <c r="Y131" s="15"/>
      <c r="Z131" s="15"/>
    </row>
    <row r="132" spans="2:26" x14ac:dyDescent="0.25">
      <c r="B132" s="15" t="e">
        <f t="shared" si="6"/>
        <v>#VALUE!</v>
      </c>
      <c r="C132" s="15" t="e">
        <f t="shared" si="7"/>
        <v>#VALUE!</v>
      </c>
      <c r="D132" s="15"/>
      <c r="E132" s="20">
        <f ca="1">IF(ISERROR(#REF!),TODAY(),#REF!)</f>
        <v>44557</v>
      </c>
      <c r="F132" s="15"/>
      <c r="G132" s="15"/>
      <c r="H132" s="21"/>
      <c r="I132" s="15"/>
      <c r="J132" s="15"/>
      <c r="K132" s="15"/>
      <c r="L132" s="15"/>
      <c r="M132" s="15"/>
      <c r="N132" s="15"/>
      <c r="O132" s="15"/>
      <c r="P132" s="15"/>
      <c r="Q132" s="15"/>
      <c r="R132" s="15"/>
      <c r="S132" s="15"/>
      <c r="T132" s="15"/>
      <c r="U132" s="15"/>
      <c r="V132" s="15"/>
      <c r="W132" s="15"/>
      <c r="X132" s="15"/>
      <c r="Y132" s="15"/>
      <c r="Z132" s="15"/>
    </row>
    <row r="133" spans="2:26" x14ac:dyDescent="0.25">
      <c r="B133" s="15" t="e">
        <f t="shared" si="6"/>
        <v>#VALUE!</v>
      </c>
      <c r="C133" s="15" t="e">
        <f t="shared" si="7"/>
        <v>#VALUE!</v>
      </c>
      <c r="D133" s="15"/>
      <c r="E133" s="20">
        <f ca="1">IF(ISERROR(#REF!),TODAY(),#REF!)</f>
        <v>44557</v>
      </c>
      <c r="F133" s="15"/>
      <c r="G133" s="15"/>
      <c r="H133" s="21"/>
      <c r="I133" s="15"/>
      <c r="J133" s="15"/>
      <c r="K133" s="15"/>
      <c r="L133" s="15"/>
      <c r="M133" s="15"/>
      <c r="N133" s="15"/>
      <c r="O133" s="15"/>
      <c r="P133" s="15"/>
      <c r="Q133" s="15"/>
      <c r="R133" s="15"/>
      <c r="S133" s="15"/>
      <c r="T133" s="15"/>
      <c r="U133" s="15"/>
      <c r="V133" s="15"/>
      <c r="W133" s="15"/>
      <c r="X133" s="15"/>
      <c r="Y133" s="15"/>
      <c r="Z133" s="15"/>
    </row>
    <row r="134" spans="2:26" x14ac:dyDescent="0.25">
      <c r="B134" s="15" t="e">
        <f t="shared" si="6"/>
        <v>#VALUE!</v>
      </c>
      <c r="C134" s="15" t="e">
        <f t="shared" si="7"/>
        <v>#VALUE!</v>
      </c>
      <c r="D134" s="15"/>
      <c r="E134" s="20">
        <f ca="1">IF(ISERROR(#REF!),TODAY(),#REF!)</f>
        <v>44557</v>
      </c>
      <c r="F134" s="15"/>
      <c r="G134" s="15"/>
      <c r="H134" s="21"/>
      <c r="I134" s="15"/>
      <c r="J134" s="15"/>
      <c r="K134" s="15"/>
      <c r="L134" s="15"/>
      <c r="M134" s="15"/>
      <c r="N134" s="15"/>
      <c r="O134" s="15"/>
      <c r="P134" s="15"/>
      <c r="Q134" s="15"/>
      <c r="R134" s="15"/>
      <c r="S134" s="15"/>
      <c r="T134" s="15"/>
      <c r="U134" s="15"/>
      <c r="V134" s="15"/>
      <c r="W134" s="15"/>
      <c r="X134" s="15"/>
      <c r="Y134" s="15"/>
      <c r="Z134" s="15"/>
    </row>
    <row r="135" spans="2:26" x14ac:dyDescent="0.25">
      <c r="B135" s="15" t="e">
        <f t="shared" si="6"/>
        <v>#VALUE!</v>
      </c>
      <c r="C135" s="15" t="e">
        <f t="shared" si="7"/>
        <v>#VALUE!</v>
      </c>
      <c r="D135" s="15"/>
      <c r="E135" s="20"/>
      <c r="F135" s="15"/>
      <c r="G135" s="15"/>
      <c r="H135" s="21"/>
      <c r="I135" s="15"/>
      <c r="J135" s="15"/>
      <c r="K135" s="15"/>
      <c r="L135" s="15"/>
      <c r="M135" s="15"/>
      <c r="N135" s="15"/>
      <c r="O135" s="15"/>
      <c r="P135" s="15"/>
      <c r="Q135" s="15"/>
      <c r="R135" s="15"/>
      <c r="S135" s="15"/>
      <c r="T135" s="15"/>
      <c r="U135" s="15"/>
      <c r="V135" s="15"/>
      <c r="W135" s="15"/>
      <c r="X135" s="15"/>
      <c r="Y135" s="15"/>
      <c r="Z135" s="15"/>
    </row>
    <row r="136" spans="2:26" x14ac:dyDescent="0.25">
      <c r="B136" s="15" t="e">
        <f t="shared" si="6"/>
        <v>#VALUE!</v>
      </c>
      <c r="C136" s="15" t="e">
        <f t="shared" si="7"/>
        <v>#VALUE!</v>
      </c>
      <c r="D136" s="15"/>
      <c r="E136" s="20"/>
      <c r="F136" s="15"/>
      <c r="G136" s="15"/>
      <c r="H136" s="21"/>
      <c r="I136" s="15"/>
      <c r="J136" s="15"/>
      <c r="K136" s="15"/>
      <c r="L136" s="15"/>
      <c r="M136" s="15"/>
      <c r="N136" s="15"/>
      <c r="O136" s="15"/>
      <c r="P136" s="15"/>
      <c r="Q136" s="15"/>
      <c r="R136" s="15"/>
      <c r="S136" s="15"/>
      <c r="T136" s="15"/>
      <c r="U136" s="15"/>
      <c r="V136" s="15"/>
      <c r="W136" s="15"/>
      <c r="X136" s="15"/>
      <c r="Y136" s="15"/>
      <c r="Z136" s="15"/>
    </row>
  </sheetData>
  <conditionalFormatting sqref="E1 G137:G1048576 E3:E136">
    <cfRule type="expression" dxfId="34" priority="6">
      <formula>TODAY()-E1&gt;=7</formula>
    </cfRule>
    <cfRule type="expression" dxfId="33" priority="7">
      <formula>TODAY()-E1&gt;=5</formula>
    </cfRule>
    <cfRule type="expression" dxfId="32" priority="8">
      <formula>TODAY()-E1&gt;=3</formula>
    </cfRule>
  </conditionalFormatting>
  <conditionalFormatting sqref="D1 D3:D1048576">
    <cfRule type="expression" dxfId="31" priority="5">
      <formula>ISBLANK(D1)</formula>
    </cfRule>
  </conditionalFormatting>
  <conditionalFormatting sqref="E2">
    <cfRule type="expression" dxfId="30" priority="2">
      <formula>TODAY()-E2&gt;=7</formula>
    </cfRule>
    <cfRule type="expression" dxfId="29" priority="3">
      <formula>TODAY()-E2&gt;=5</formula>
    </cfRule>
    <cfRule type="expression" dxfId="28" priority="4">
      <formula>TODAY()-E2&gt;=3</formula>
    </cfRule>
  </conditionalFormatting>
  <hyperlinks>
    <hyperlink ref="F27" r:id="rId1" display="mailto:rebeccab@purecountry.com" xr:uid="{00000000-0004-0000-0200-000000000000}"/>
  </hyperlinks>
  <pageMargins left="0.7" right="0.7" top="0.75" bottom="0.75" header="0.3" footer="0.3"/>
  <pageSetup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G21"/>
  <sheetViews>
    <sheetView topLeftCell="A7" workbookViewId="0">
      <selection activeCell="B18" sqref="B18"/>
    </sheetView>
  </sheetViews>
  <sheetFormatPr defaultRowHeight="15" x14ac:dyDescent="0.25"/>
  <cols>
    <col min="1" max="1" width="28.28515625" customWidth="1"/>
    <col min="2" max="2" width="140.42578125" customWidth="1"/>
  </cols>
  <sheetData>
    <row r="1" spans="1:7" x14ac:dyDescent="0.25">
      <c r="A1" s="46" t="s">
        <v>18</v>
      </c>
      <c r="B1" s="47"/>
      <c r="C1" s="47"/>
      <c r="D1" s="47"/>
      <c r="E1" s="47"/>
      <c r="F1" s="47"/>
      <c r="G1" s="47"/>
    </row>
    <row r="2" spans="1:7" x14ac:dyDescent="0.25">
      <c r="A2" s="47"/>
      <c r="B2" s="47"/>
      <c r="C2" s="47"/>
      <c r="D2" s="47"/>
      <c r="E2" s="47"/>
      <c r="F2" s="47"/>
      <c r="G2" s="47"/>
    </row>
    <row r="3" spans="1:7" x14ac:dyDescent="0.25">
      <c r="A3" s="47"/>
      <c r="B3" s="47"/>
      <c r="C3" s="47"/>
      <c r="D3" s="47"/>
      <c r="E3" s="47"/>
      <c r="F3" s="47"/>
      <c r="G3" s="47"/>
    </row>
    <row r="4" spans="1:7" x14ac:dyDescent="0.25">
      <c r="A4" s="47"/>
      <c r="B4" s="47"/>
      <c r="C4" s="47"/>
      <c r="D4" s="47"/>
      <c r="E4" s="47"/>
      <c r="F4" s="47"/>
      <c r="G4" s="47"/>
    </row>
    <row r="5" spans="1:7" x14ac:dyDescent="0.25">
      <c r="A5" s="47"/>
      <c r="B5" s="47"/>
      <c r="C5" s="47"/>
      <c r="D5" s="47"/>
      <c r="E5" s="47"/>
      <c r="F5" s="47"/>
      <c r="G5" s="47"/>
    </row>
    <row r="6" spans="1:7" x14ac:dyDescent="0.25">
      <c r="A6" s="47"/>
      <c r="B6" s="47"/>
      <c r="C6" s="47"/>
      <c r="D6" s="47"/>
      <c r="E6" s="47"/>
      <c r="F6" s="47"/>
      <c r="G6" s="47"/>
    </row>
    <row r="7" spans="1:7" x14ac:dyDescent="0.25">
      <c r="A7" s="47"/>
      <c r="B7" s="47"/>
      <c r="C7" s="47"/>
      <c r="D7" s="47"/>
      <c r="E7" s="47"/>
      <c r="F7" s="47"/>
      <c r="G7" s="47"/>
    </row>
    <row r="8" spans="1:7" x14ac:dyDescent="0.25">
      <c r="A8" s="47"/>
      <c r="B8" s="47"/>
      <c r="C8" s="47"/>
      <c r="D8" s="47"/>
      <c r="E8" s="47"/>
      <c r="F8" s="47"/>
      <c r="G8" s="47"/>
    </row>
    <row r="9" spans="1:7" x14ac:dyDescent="0.25">
      <c r="A9" s="47"/>
      <c r="B9" s="47"/>
      <c r="C9" s="47"/>
      <c r="D9" s="47"/>
      <c r="E9" s="47"/>
      <c r="F9" s="47"/>
      <c r="G9" s="47"/>
    </row>
    <row r="10" spans="1:7" x14ac:dyDescent="0.25">
      <c r="A10" s="47"/>
      <c r="B10" s="47"/>
      <c r="C10" s="47"/>
      <c r="D10" s="47"/>
      <c r="E10" s="47"/>
      <c r="F10" s="47"/>
      <c r="G10" s="47"/>
    </row>
    <row r="11" spans="1:7" x14ac:dyDescent="0.25">
      <c r="A11" s="47"/>
      <c r="B11" s="47"/>
      <c r="C11" s="47"/>
      <c r="D11" s="47"/>
      <c r="E11" s="47"/>
      <c r="F11" s="47"/>
      <c r="G11" s="47"/>
    </row>
    <row r="12" spans="1:7" x14ac:dyDescent="0.25">
      <c r="A12" s="47"/>
      <c r="B12" s="47"/>
      <c r="C12" s="47"/>
      <c r="D12" s="47"/>
      <c r="E12" s="47"/>
      <c r="F12" s="47"/>
      <c r="G12" s="47"/>
    </row>
    <row r="13" spans="1:7" x14ac:dyDescent="0.25">
      <c r="A13" s="47"/>
      <c r="B13" s="47"/>
      <c r="C13" s="47"/>
      <c r="D13" s="47"/>
      <c r="E13" s="47"/>
      <c r="F13" s="47"/>
      <c r="G13" s="47"/>
    </row>
    <row r="14" spans="1:7" x14ac:dyDescent="0.25">
      <c r="A14" s="47"/>
      <c r="B14" s="47"/>
      <c r="C14" s="47"/>
      <c r="D14" s="47"/>
      <c r="E14" s="47"/>
      <c r="F14" s="47"/>
      <c r="G14" s="47"/>
    </row>
    <row r="15" spans="1:7" x14ac:dyDescent="0.25">
      <c r="A15" s="47"/>
      <c r="B15" s="47"/>
      <c r="C15" s="47"/>
      <c r="D15" s="47"/>
      <c r="E15" s="47"/>
      <c r="F15" s="47"/>
      <c r="G15" s="47"/>
    </row>
    <row r="16" spans="1:7" x14ac:dyDescent="0.25">
      <c r="B16" s="12" t="s">
        <v>24</v>
      </c>
    </row>
    <row r="17" spans="2:2" x14ac:dyDescent="0.25">
      <c r="B17" t="s">
        <v>25</v>
      </c>
    </row>
    <row r="18" spans="2:2" x14ac:dyDescent="0.25">
      <c r="B18" t="s">
        <v>27</v>
      </c>
    </row>
    <row r="19" spans="2:2" x14ac:dyDescent="0.25">
      <c r="B19" t="s">
        <v>28</v>
      </c>
    </row>
    <row r="20" spans="2:2" ht="15.75" thickBot="1" x14ac:dyDescent="0.3">
      <c r="B20" s="26" t="str">
        <f ca="1" xml:space="preserve"> IF(E1="done",TEXT(TODAY(),"m.d.yy")&amp;" Reach out to trading partner",TEXT(TODAY(),"m.d.yy")&amp;" "&amp;F1)</f>
        <v xml:space="preserve">12.27.21 </v>
      </c>
    </row>
    <row r="21" spans="2:2" x14ac:dyDescent="0.25">
      <c r="B21" s="17" t="e">
        <f xml:space="preserve"> MID(A21,SEARCH(":",A21)+2,SEARCH(":",A21,SEARCH(":",A21)+1)-SEARCH(":",A21)-3)</f>
        <v>#VALUE!</v>
      </c>
    </row>
  </sheetData>
  <mergeCells count="1">
    <mergeCell ref="A1:G15"/>
  </mergeCells>
  <hyperlinks>
    <hyperlink ref="B16" r:id="rId1" xr:uid="{00000000-0004-0000-0300-000000000000}"/>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general</vt:lpstr>
      <vt:lpstr>in progress</vt:lpstr>
      <vt:lpstr>pending</vt:lpstr>
      <vt:lpstr>completed</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2021-12-27T11:19:46Z</dcterms:modified>
</cp:coreProperties>
</file>